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7AB1E884-5B42-4144-8FB2-D4A6211B6B98}" xr6:coauthVersionLast="47" xr6:coauthVersionMax="47" xr10:uidLastSave="{00000000-0000-0000-0000-000000000000}"/>
  <bookViews>
    <workbookView xWindow="-120" yWindow="480" windowWidth="24240" windowHeight="13140" tabRatio="1000" activeTab="11" xr2:uid="{28A1924C-4B3D-450E-B3D7-4F4EFC79150A}"/>
  </bookViews>
  <sheets>
    <sheet name="changzhi" sheetId="1" r:id="rId1"/>
    <sheet name="datong" sheetId="2" r:id="rId2"/>
    <sheet name="jincheng" sheetId="3" r:id="rId3"/>
    <sheet name="jinzhong" sheetId="4" r:id="rId4"/>
    <sheet name="linfen" sheetId="5" r:id="rId5"/>
    <sheet name="luliang" sheetId="6" r:id="rId6"/>
    <sheet name="shuozhou" sheetId="7" r:id="rId7"/>
    <sheet name="taiyuan" sheetId="8" r:id="rId8"/>
    <sheet name="xinzhou" sheetId="9" r:id="rId9"/>
    <sheet name="yangquan" sheetId="10" r:id="rId10"/>
    <sheet name="yuncheng" sheetId="11" r:id="rId11"/>
    <sheet name="main table" sheetId="13" r:id="rId12"/>
    <sheet name="cities" sheetId="14" r:id="rId13"/>
    <sheet name="json" sheetId="15" r:id="rId14"/>
    <sheet name="county-naming" sheetId="12" r:id="rId15"/>
  </sheets>
  <externalReferences>
    <externalReference r:id="rId16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3" l="1"/>
  <c r="B29" i="13"/>
  <c r="B31" i="13"/>
  <c r="B37" i="13"/>
  <c r="B39" i="13"/>
  <c r="B40" i="13"/>
  <c r="B54" i="13"/>
  <c r="B87" i="13"/>
  <c r="B94" i="13"/>
  <c r="B102" i="13"/>
  <c r="B103" i="13"/>
  <c r="B105" i="13"/>
  <c r="B108" i="13"/>
  <c r="B119" i="13"/>
  <c r="B120" i="13"/>
  <c r="B136" i="13"/>
  <c r="B141" i="13"/>
  <c r="B142" i="13"/>
  <c r="B145" i="13"/>
  <c r="B148" i="13"/>
  <c r="B166" i="13"/>
  <c r="B176" i="13"/>
  <c r="B181" i="13"/>
  <c r="B193" i="13"/>
  <c r="B210" i="13"/>
  <c r="B220" i="13"/>
  <c r="B233" i="13"/>
  <c r="B237" i="13"/>
  <c r="B254" i="13"/>
  <c r="B272" i="13"/>
  <c r="B277" i="13"/>
  <c r="B290" i="13"/>
  <c r="B292" i="13"/>
  <c r="B294" i="13"/>
  <c r="B332" i="13"/>
  <c r="B337" i="13"/>
  <c r="B343" i="13"/>
  <c r="B352" i="13"/>
  <c r="B353" i="13"/>
  <c r="B361" i="13"/>
  <c r="B366" i="13"/>
  <c r="B370" i="13"/>
  <c r="B371" i="13"/>
  <c r="B372" i="13"/>
  <c r="B379" i="13"/>
  <c r="B403" i="13"/>
  <c r="B404" i="13"/>
  <c r="B414" i="13"/>
  <c r="B418" i="13"/>
  <c r="B419" i="13"/>
  <c r="B423" i="13"/>
  <c r="B424" i="13"/>
  <c r="B438" i="13"/>
  <c r="B439" i="13"/>
  <c r="B440" i="13"/>
  <c r="B442" i="13"/>
  <c r="B463" i="13"/>
  <c r="B478" i="13"/>
  <c r="B487" i="13"/>
  <c r="B493" i="13"/>
  <c r="B510" i="13"/>
  <c r="B530" i="13"/>
  <c r="B542" i="13"/>
  <c r="B552" i="13"/>
  <c r="B563" i="13"/>
  <c r="B566" i="13"/>
  <c r="B589" i="13"/>
  <c r="B590" i="13"/>
  <c r="B602" i="13"/>
  <c r="B604" i="13"/>
  <c r="B641" i="13"/>
  <c r="B648" i="13"/>
  <c r="B651" i="13"/>
  <c r="B663" i="13"/>
  <c r="B700" i="13"/>
  <c r="B710" i="13"/>
  <c r="B718" i="13"/>
  <c r="B739" i="13"/>
  <c r="B746" i="13"/>
  <c r="B759" i="13"/>
  <c r="B765" i="13"/>
  <c r="B774" i="13"/>
  <c r="B778" i="13"/>
  <c r="B811" i="13"/>
  <c r="B827" i="13"/>
  <c r="B830" i="13"/>
  <c r="B865" i="13"/>
  <c r="B869" i="13"/>
  <c r="B870" i="13"/>
  <c r="B875" i="13"/>
  <c r="B877" i="13"/>
  <c r="B882" i="13"/>
  <c r="B884" i="13"/>
  <c r="B916" i="13"/>
  <c r="B918" i="13"/>
  <c r="B920" i="13"/>
  <c r="B929" i="13"/>
  <c r="B933" i="13"/>
  <c r="B955" i="13"/>
  <c r="B961" i="13"/>
  <c r="B962" i="13"/>
  <c r="B969" i="13"/>
  <c r="B987" i="13"/>
  <c r="B988" i="13"/>
  <c r="B1009" i="13"/>
  <c r="B1034" i="13"/>
  <c r="B1039" i="13"/>
  <c r="B1045" i="13"/>
  <c r="B1047" i="13"/>
  <c r="B1062" i="13"/>
  <c r="B1079" i="13"/>
  <c r="B1080" i="13"/>
  <c r="B1084" i="13"/>
  <c r="B1087" i="13"/>
  <c r="B1094" i="13"/>
  <c r="B1131" i="13"/>
  <c r="B1138" i="13"/>
  <c r="B1142" i="13"/>
  <c r="B1150" i="13"/>
  <c r="B1158" i="13"/>
  <c r="B1161" i="13"/>
  <c r="B1170" i="13"/>
  <c r="B1179" i="13"/>
  <c r="B1181" i="13"/>
  <c r="B1231" i="13"/>
  <c r="B1256" i="13"/>
  <c r="B1259" i="13"/>
  <c r="B1268" i="13"/>
  <c r="B1320" i="13"/>
  <c r="B1324" i="13"/>
  <c r="B1325" i="13"/>
  <c r="B1342" i="13"/>
  <c r="B1369" i="13"/>
  <c r="B1372" i="13"/>
  <c r="B1395" i="13"/>
  <c r="B1419" i="13"/>
  <c r="B1427" i="13"/>
  <c r="B1431" i="13"/>
  <c r="B1442" i="13"/>
  <c r="B9" i="13"/>
  <c r="B14" i="13"/>
  <c r="B26" i="13"/>
  <c r="B30" i="13"/>
  <c r="B48" i="13"/>
  <c r="B67" i="13"/>
  <c r="B80" i="13"/>
  <c r="B95" i="13"/>
  <c r="B147" i="13"/>
  <c r="B149" i="13"/>
  <c r="B153" i="13"/>
  <c r="B163" i="13"/>
  <c r="B168" i="13"/>
  <c r="B170" i="13"/>
  <c r="B190" i="13"/>
  <c r="B205" i="13"/>
  <c r="B211" i="13"/>
  <c r="B216" i="13"/>
  <c r="B234" i="13"/>
  <c r="B267" i="13"/>
  <c r="B268" i="13"/>
  <c r="B291" i="13"/>
  <c r="B312" i="13"/>
  <c r="B324" i="13"/>
  <c r="B330" i="13"/>
  <c r="B335" i="13"/>
  <c r="B342" i="13"/>
  <c r="B355" i="13"/>
  <c r="B358" i="13"/>
  <c r="B401" i="13"/>
  <c r="B405" i="13"/>
  <c r="B417" i="13"/>
  <c r="B436" i="13"/>
  <c r="B445" i="13"/>
  <c r="B449" i="13"/>
  <c r="B456" i="13"/>
  <c r="B461" i="13"/>
  <c r="B464" i="13"/>
  <c r="B474" i="13"/>
  <c r="B486" i="13"/>
  <c r="B503" i="13"/>
  <c r="B511" i="13"/>
  <c r="B519" i="13"/>
  <c r="B540" i="13"/>
  <c r="B557" i="13"/>
  <c r="B558" i="13"/>
  <c r="B568" i="13"/>
  <c r="B581" i="13"/>
  <c r="B617" i="13"/>
  <c r="B653" i="13"/>
  <c r="B656" i="13"/>
  <c r="B657" i="13"/>
  <c r="B665" i="13"/>
  <c r="B671" i="13"/>
  <c r="B673" i="13"/>
  <c r="B674" i="13"/>
  <c r="B675" i="13"/>
  <c r="B689" i="13"/>
  <c r="B704" i="13"/>
  <c r="B708" i="13"/>
  <c r="B727" i="13"/>
  <c r="B728" i="13"/>
  <c r="B731" i="13"/>
  <c r="B779" i="13"/>
  <c r="B785" i="13"/>
  <c r="B792" i="13"/>
  <c r="B797" i="13"/>
  <c r="B805" i="13"/>
  <c r="B820" i="13"/>
  <c r="B821" i="13"/>
  <c r="B836" i="13"/>
  <c r="B844" i="13"/>
  <c r="B862" i="13"/>
  <c r="B866" i="13"/>
  <c r="B881" i="13"/>
  <c r="B886" i="13"/>
  <c r="B921" i="13"/>
  <c r="B934" i="13"/>
  <c r="B938" i="13"/>
  <c r="B944" i="13"/>
  <c r="B950" i="13"/>
  <c r="B957" i="13"/>
  <c r="B958" i="13"/>
  <c r="B1012" i="13"/>
  <c r="B1023" i="13"/>
  <c r="B1028" i="13"/>
  <c r="B1032" i="13"/>
  <c r="B1038" i="13"/>
  <c r="B1040" i="13"/>
  <c r="B1051" i="13"/>
  <c r="B1071" i="13"/>
  <c r="B1078" i="13"/>
  <c r="B1088" i="13"/>
  <c r="B1089" i="13"/>
  <c r="B1106" i="13"/>
  <c r="B1115" i="13"/>
  <c r="B1124" i="13"/>
  <c r="B1141" i="13"/>
  <c r="B1145" i="13"/>
  <c r="B1149" i="13"/>
  <c r="B1154" i="13"/>
  <c r="B1160" i="13"/>
  <c r="B1182" i="13"/>
  <c r="B1195" i="13"/>
  <c r="B1196" i="13"/>
  <c r="B1198" i="13"/>
  <c r="B1202" i="13"/>
  <c r="B1203" i="13"/>
  <c r="B1204" i="13"/>
  <c r="B1205" i="13"/>
  <c r="B1206" i="13"/>
  <c r="B1207" i="13"/>
  <c r="B1211" i="13"/>
  <c r="B1217" i="13"/>
  <c r="B1219" i="13"/>
  <c r="B1244" i="13"/>
  <c r="B1255" i="13"/>
  <c r="B1294" i="13"/>
  <c r="B1297" i="13"/>
  <c r="B1312" i="13"/>
  <c r="B1333" i="13"/>
  <c r="B1337" i="13"/>
  <c r="B1344" i="13"/>
  <c r="B1362" i="13"/>
  <c r="B1363" i="13"/>
  <c r="B1367" i="13"/>
  <c r="B1389" i="13"/>
  <c r="B1393" i="13"/>
  <c r="B1399" i="13"/>
  <c r="B1412" i="13"/>
  <c r="B1434" i="13"/>
  <c r="B1448" i="13"/>
  <c r="B11" i="13"/>
  <c r="B21" i="13"/>
  <c r="B52" i="13"/>
  <c r="B56" i="13"/>
  <c r="B55" i="13"/>
  <c r="B68" i="13"/>
  <c r="B133" i="13"/>
  <c r="B138" i="13"/>
  <c r="B139" i="13"/>
  <c r="B143" i="13"/>
  <c r="B151" i="13"/>
  <c r="B157" i="13"/>
  <c r="B194" i="13"/>
  <c r="B206" i="13"/>
  <c r="B255" i="13"/>
  <c r="B266" i="13"/>
  <c r="B276" i="13"/>
  <c r="B295" i="13"/>
  <c r="B304" i="13"/>
  <c r="B346" i="13"/>
  <c r="B348" i="13"/>
  <c r="B382" i="13"/>
  <c r="B395" i="13"/>
  <c r="B408" i="13"/>
  <c r="B448" i="13"/>
  <c r="B462" i="13"/>
  <c r="B468" i="13"/>
  <c r="B477" i="13"/>
  <c r="B507" i="13"/>
  <c r="B524" i="13"/>
  <c r="B545" i="13"/>
  <c r="B559" i="13"/>
  <c r="B585" i="13"/>
  <c r="B598" i="13"/>
  <c r="B619" i="13"/>
  <c r="B620" i="13"/>
  <c r="B625" i="13"/>
  <c r="B628" i="13"/>
  <c r="B631" i="13"/>
  <c r="B647" i="13"/>
  <c r="B664" i="13"/>
  <c r="B669" i="13"/>
  <c r="B677" i="13"/>
  <c r="B707" i="13"/>
  <c r="B741" i="13"/>
  <c r="B784" i="13"/>
  <c r="B818" i="13"/>
  <c r="B831" i="13"/>
  <c r="B842" i="13"/>
  <c r="B851" i="13"/>
  <c r="B888" i="13"/>
  <c r="B904" i="13"/>
  <c r="B925" i="13"/>
  <c r="B928" i="13"/>
  <c r="B937" i="13"/>
  <c r="B959" i="13"/>
  <c r="B960" i="13"/>
  <c r="B978" i="13"/>
  <c r="B1024" i="13"/>
  <c r="B1086" i="13"/>
  <c r="B1148" i="13"/>
  <c r="B1222" i="13"/>
  <c r="B1264" i="13"/>
  <c r="B1290" i="13"/>
  <c r="B1307" i="13"/>
  <c r="B1341" i="13"/>
  <c r="B1346" i="13"/>
  <c r="B1385" i="13"/>
  <c r="B1410" i="13"/>
  <c r="B1411" i="13"/>
  <c r="B1421" i="13"/>
  <c r="B1425" i="13"/>
  <c r="B1433" i="13"/>
  <c r="B3" i="13"/>
  <c r="B32" i="13"/>
  <c r="B57" i="13"/>
  <c r="B58" i="13"/>
  <c r="B60" i="13"/>
  <c r="B71" i="13"/>
  <c r="B78" i="13"/>
  <c r="B100" i="13"/>
  <c r="B104" i="13"/>
  <c r="B110" i="13"/>
  <c r="B118" i="13"/>
  <c r="B128" i="13"/>
  <c r="B146" i="13"/>
  <c r="B162" i="13"/>
  <c r="B184" i="13"/>
  <c r="B197" i="13"/>
  <c r="B208" i="13"/>
  <c r="B226" i="13"/>
  <c r="B229" i="13"/>
  <c r="B236" i="13"/>
  <c r="B244" i="13"/>
  <c r="B249" i="13"/>
  <c r="B250" i="13"/>
  <c r="B263" i="13"/>
  <c r="B275" i="13"/>
  <c r="B311" i="13"/>
  <c r="B323" i="13"/>
  <c r="B354" i="13"/>
  <c r="B359" i="13"/>
  <c r="B367" i="13"/>
  <c r="B375" i="13"/>
  <c r="B378" i="13"/>
  <c r="B396" i="13"/>
  <c r="B409" i="13"/>
  <c r="B415" i="13"/>
  <c r="B416" i="13"/>
  <c r="B425" i="13"/>
  <c r="B447" i="13"/>
  <c r="B469" i="13"/>
  <c r="B475" i="13"/>
  <c r="B490" i="13"/>
  <c r="B494" i="13"/>
  <c r="B497" i="13"/>
  <c r="B514" i="13"/>
  <c r="B515" i="13"/>
  <c r="B516" i="13"/>
  <c r="B518" i="13"/>
  <c r="B522" i="13"/>
  <c r="B529" i="13"/>
  <c r="B556" i="13"/>
  <c r="B560" i="13"/>
  <c r="B565" i="13"/>
  <c r="B573" i="13"/>
  <c r="B574" i="13"/>
  <c r="B575" i="13"/>
  <c r="B577" i="13"/>
  <c r="B583" i="13"/>
  <c r="B624" i="13"/>
  <c r="B630" i="13"/>
  <c r="B636" i="13"/>
  <c r="B659" i="13"/>
  <c r="B667" i="13"/>
  <c r="B670" i="13"/>
  <c r="B680" i="13"/>
  <c r="B681" i="13"/>
  <c r="B693" i="13"/>
  <c r="B695" i="13"/>
  <c r="B703" i="13"/>
  <c r="B729" i="13"/>
  <c r="B753" i="13"/>
  <c r="B760" i="13"/>
  <c r="B768" i="13"/>
  <c r="B771" i="13"/>
  <c r="B786" i="13"/>
  <c r="B787" i="13"/>
  <c r="B791" i="13"/>
  <c r="B819" i="13"/>
  <c r="B832" i="13"/>
  <c r="B839" i="13"/>
  <c r="B846" i="13"/>
  <c r="B850" i="13"/>
  <c r="B873" i="13"/>
  <c r="B898" i="13"/>
  <c r="B930" i="13"/>
  <c r="B932" i="13"/>
  <c r="B949" i="13"/>
  <c r="B963" i="13"/>
  <c r="B965" i="13"/>
  <c r="B966" i="13"/>
  <c r="B968" i="13"/>
  <c r="B996" i="13"/>
  <c r="B1013" i="13"/>
  <c r="B1049" i="13"/>
  <c r="B1058" i="13"/>
  <c r="B1066" i="13"/>
  <c r="B1077" i="13"/>
  <c r="B1096" i="13"/>
  <c r="B1100" i="13"/>
  <c r="B1107" i="13"/>
  <c r="B1109" i="13"/>
  <c r="B1135" i="13"/>
  <c r="B1144" i="13"/>
  <c r="B1162" i="13"/>
  <c r="B1163" i="13"/>
  <c r="B1164" i="13"/>
  <c r="B1194" i="13"/>
  <c r="B1197" i="13"/>
  <c r="B1229" i="13"/>
  <c r="B1238" i="13"/>
  <c r="B1269" i="13"/>
  <c r="B1270" i="13"/>
  <c r="B1284" i="13"/>
  <c r="B1287" i="13"/>
  <c r="B1295" i="13"/>
  <c r="B1308" i="13"/>
  <c r="B1310" i="13"/>
  <c r="B1322" i="13"/>
  <c r="B1328" i="13"/>
  <c r="B1332" i="13"/>
  <c r="B1334" i="13"/>
  <c r="B1352" i="13"/>
  <c r="B1361" i="13"/>
  <c r="B1391" i="13"/>
  <c r="B1392" i="13"/>
  <c r="B1398" i="13"/>
  <c r="B1400" i="13"/>
  <c r="B1408" i="13"/>
  <c r="B1422" i="13"/>
  <c r="B1437" i="13"/>
  <c r="B1438" i="13"/>
  <c r="B1445" i="13"/>
  <c r="B19" i="13"/>
  <c r="B22" i="13"/>
  <c r="B41" i="13"/>
  <c r="B46" i="13"/>
  <c r="B47" i="13"/>
  <c r="B53" i="13"/>
  <c r="B59" i="13"/>
  <c r="B101" i="13"/>
  <c r="B111" i="13"/>
  <c r="B122" i="13"/>
  <c r="B134" i="13"/>
  <c r="B150" i="13"/>
  <c r="B154" i="13"/>
  <c r="B172" i="13"/>
  <c r="B185" i="13"/>
  <c r="B186" i="13"/>
  <c r="B187" i="13"/>
  <c r="B191" i="13"/>
  <c r="B201" i="13"/>
  <c r="B242" i="13"/>
  <c r="B248" i="13"/>
  <c r="B251" i="13"/>
  <c r="B260" i="13"/>
  <c r="B278" i="13"/>
  <c r="B279" i="13"/>
  <c r="B293" i="13"/>
  <c r="B296" i="13"/>
  <c r="B299" i="13"/>
  <c r="B314" i="13"/>
  <c r="B317" i="13"/>
  <c r="B326" i="13"/>
  <c r="B328" i="13"/>
  <c r="B333" i="13"/>
  <c r="B334" i="13"/>
  <c r="B351" i="13"/>
  <c r="B365" i="13"/>
  <c r="B368" i="13"/>
  <c r="B384" i="13"/>
  <c r="B385" i="13"/>
  <c r="B389" i="13"/>
  <c r="B392" i="13"/>
  <c r="B400" i="13"/>
  <c r="B412" i="13"/>
  <c r="B433" i="13"/>
  <c r="B441" i="13"/>
  <c r="B451" i="13"/>
  <c r="B455" i="13"/>
  <c r="B460" i="13"/>
  <c r="B480" i="13"/>
  <c r="B489" i="13"/>
  <c r="B498" i="13"/>
  <c r="B508" i="13"/>
  <c r="B512" i="13"/>
  <c r="B531" i="13"/>
  <c r="B546" i="13"/>
  <c r="B554" i="13"/>
  <c r="B570" i="13"/>
  <c r="B580" i="13"/>
  <c r="B584" i="13"/>
  <c r="B586" i="13"/>
  <c r="B610" i="13"/>
  <c r="B616" i="13"/>
  <c r="B629" i="13"/>
  <c r="B632" i="13"/>
  <c r="B635" i="13"/>
  <c r="B649" i="13"/>
  <c r="B662" i="13"/>
  <c r="B701" i="13"/>
  <c r="B702" i="13"/>
  <c r="B734" i="13"/>
  <c r="B735" i="13"/>
  <c r="B740" i="13"/>
  <c r="B747" i="13"/>
  <c r="B751" i="13"/>
  <c r="B754" i="13"/>
  <c r="B761" i="13"/>
  <c r="B798" i="13"/>
  <c r="B799" i="13"/>
  <c r="B808" i="13"/>
  <c r="B809" i="13"/>
  <c r="B810" i="13"/>
  <c r="B826" i="13"/>
  <c r="B834" i="13"/>
  <c r="B835" i="13"/>
  <c r="B837" i="13"/>
  <c r="B847" i="13"/>
  <c r="B848" i="13"/>
  <c r="B852" i="13"/>
  <c r="B864" i="13"/>
  <c r="B876" i="13"/>
  <c r="B889" i="13"/>
  <c r="B894" i="13"/>
  <c r="B913" i="13"/>
  <c r="B917" i="13"/>
  <c r="B919" i="13"/>
  <c r="B935" i="13"/>
  <c r="B941" i="13"/>
  <c r="B946" i="13"/>
  <c r="B967" i="13"/>
  <c r="B980" i="13"/>
  <c r="B981" i="13"/>
  <c r="B984" i="13"/>
  <c r="B986" i="13"/>
  <c r="B992" i="13"/>
  <c r="B994" i="13"/>
  <c r="B1000" i="13"/>
  <c r="B1001" i="13"/>
  <c r="B1007" i="13"/>
  <c r="B1008" i="13"/>
  <c r="B1014" i="13"/>
  <c r="B1018" i="13"/>
  <c r="B1019" i="13"/>
  <c r="B1050" i="13"/>
  <c r="B1055" i="13"/>
  <c r="B1060" i="13"/>
  <c r="B1064" i="13"/>
  <c r="B1073" i="13"/>
  <c r="B1074" i="13"/>
  <c r="B1093" i="13"/>
  <c r="B1099" i="13"/>
  <c r="B1101" i="13"/>
  <c r="B1102" i="13"/>
  <c r="B1103" i="13"/>
  <c r="B1153" i="13"/>
  <c r="B1187" i="13"/>
  <c r="B1189" i="13"/>
  <c r="B1208" i="13"/>
  <c r="B1209" i="13"/>
  <c r="B1210" i="13"/>
  <c r="B1216" i="13"/>
  <c r="B1220" i="13"/>
  <c r="B1234" i="13"/>
  <c r="B1247" i="13"/>
  <c r="B1252" i="13"/>
  <c r="B1258" i="13"/>
  <c r="B1282" i="13"/>
  <c r="B1283" i="13"/>
  <c r="B1302" i="13"/>
  <c r="B1330" i="13"/>
  <c r="B1338" i="13"/>
  <c r="B1339" i="13"/>
  <c r="B1353" i="13"/>
  <c r="B1377" i="13"/>
  <c r="B1381" i="13"/>
  <c r="B1382" i="13"/>
  <c r="B1384" i="13"/>
  <c r="B1396" i="13"/>
  <c r="B1401" i="13"/>
  <c r="B1406" i="13"/>
  <c r="B1413" i="13"/>
  <c r="B1417" i="13"/>
  <c r="B1423" i="13"/>
  <c r="B1426" i="13"/>
  <c r="B1447" i="13"/>
  <c r="B2" i="13"/>
  <c r="B5" i="13"/>
  <c r="B8" i="13"/>
  <c r="B10" i="13"/>
  <c r="B25" i="13"/>
  <c r="B62" i="13"/>
  <c r="B72" i="13"/>
  <c r="B81" i="13"/>
  <c r="B82" i="13"/>
  <c r="B85" i="13"/>
  <c r="B112" i="13"/>
  <c r="B113" i="13"/>
  <c r="B121" i="13"/>
  <c r="B129" i="13"/>
  <c r="B130" i="13"/>
  <c r="B137" i="13"/>
  <c r="B144" i="13"/>
  <c r="B171" i="13"/>
  <c r="B174" i="13"/>
  <c r="B175" i="13"/>
  <c r="B182" i="13"/>
  <c r="B204" i="13"/>
  <c r="B214" i="13"/>
  <c r="B227" i="13"/>
  <c r="B259" i="13"/>
  <c r="B270" i="13"/>
  <c r="B289" i="13"/>
  <c r="B307" i="13"/>
  <c r="B308" i="13"/>
  <c r="B315" i="13"/>
  <c r="B316" i="13"/>
  <c r="B318" i="13"/>
  <c r="B362" i="13"/>
  <c r="B388" i="13"/>
  <c r="B391" i="13"/>
  <c r="B393" i="13"/>
  <c r="B420" i="13"/>
  <c r="B421" i="13"/>
  <c r="B453" i="13"/>
  <c r="B454" i="13"/>
  <c r="B465" i="13"/>
  <c r="B466" i="13"/>
  <c r="B481" i="13"/>
  <c r="B485" i="13"/>
  <c r="B491" i="13"/>
  <c r="B492" i="13"/>
  <c r="B499" i="13"/>
  <c r="B520" i="13"/>
  <c r="B523" i="13"/>
  <c r="B547" i="13"/>
  <c r="B549" i="13"/>
  <c r="B551" i="13"/>
  <c r="B555" i="13"/>
  <c r="B561" i="13"/>
  <c r="B571" i="13"/>
  <c r="B579" i="13"/>
  <c r="B582" i="13"/>
  <c r="B593" i="13"/>
  <c r="B594" i="13"/>
  <c r="B599" i="13"/>
  <c r="B603" i="13"/>
  <c r="B605" i="13"/>
  <c r="B607" i="13"/>
  <c r="B612" i="13"/>
  <c r="B614" i="13"/>
  <c r="B618" i="13"/>
  <c r="B622" i="13"/>
  <c r="B633" i="13"/>
  <c r="B655" i="13"/>
  <c r="B658" i="13"/>
  <c r="B666" i="13"/>
  <c r="B668" i="13"/>
  <c r="B683" i="13"/>
  <c r="B691" i="13"/>
  <c r="B692" i="13"/>
  <c r="B713" i="13"/>
  <c r="B714" i="13"/>
  <c r="B715" i="13"/>
  <c r="B750" i="13"/>
  <c r="B752" i="13"/>
  <c r="B762" i="13"/>
  <c r="B769" i="13"/>
  <c r="B776" i="13"/>
  <c r="B777" i="13"/>
  <c r="B780" i="13"/>
  <c r="B790" i="13"/>
  <c r="B800" i="13"/>
  <c r="B817" i="13"/>
  <c r="B824" i="13"/>
  <c r="B838" i="13"/>
  <c r="B878" i="13"/>
  <c r="B899" i="13"/>
  <c r="B903" i="13"/>
  <c r="B915" i="13"/>
  <c r="B924" i="13"/>
  <c r="B931" i="13"/>
  <c r="B936" i="13"/>
  <c r="B940" i="13"/>
  <c r="B952" i="13"/>
  <c r="B953" i="13"/>
  <c r="B982" i="13"/>
  <c r="B999" i="13"/>
  <c r="B1005" i="13"/>
  <c r="B1006" i="13"/>
  <c r="B1015" i="13"/>
  <c r="B1016" i="13"/>
  <c r="B1026" i="13"/>
  <c r="B1042" i="13"/>
  <c r="B1046" i="13"/>
  <c r="B1054" i="13"/>
  <c r="B1057" i="13"/>
  <c r="B1065" i="13"/>
  <c r="B1072" i="13"/>
  <c r="B1076" i="13"/>
  <c r="B1082" i="13"/>
  <c r="B1085" i="13"/>
  <c r="B1091" i="13"/>
  <c r="B1113" i="13"/>
  <c r="B1118" i="13"/>
  <c r="B1119" i="13"/>
  <c r="B1120" i="13"/>
  <c r="B1128" i="13"/>
  <c r="B1129" i="13"/>
  <c r="B1133" i="13"/>
  <c r="B1137" i="13"/>
  <c r="B1184" i="13"/>
  <c r="B1191" i="13"/>
  <c r="B1212" i="13"/>
  <c r="B1213" i="13"/>
  <c r="B1225" i="13"/>
  <c r="B1232" i="13"/>
  <c r="B1245" i="13"/>
  <c r="B1261" i="13"/>
  <c r="B1274" i="13"/>
  <c r="B1281" i="13"/>
  <c r="B1293" i="13"/>
  <c r="B1311" i="13"/>
  <c r="B1318" i="13"/>
  <c r="B1350" i="13"/>
  <c r="B1354" i="13"/>
  <c r="B1358" i="13"/>
  <c r="B1366" i="13"/>
  <c r="B1375" i="13"/>
  <c r="B1404" i="13"/>
  <c r="B1407" i="13"/>
  <c r="B1414" i="13"/>
  <c r="B1418" i="13"/>
  <c r="B1430" i="13"/>
  <c r="B1436" i="13"/>
  <c r="B1440" i="13"/>
  <c r="B4" i="13"/>
  <c r="B20" i="13"/>
  <c r="B23" i="13"/>
  <c r="B24" i="13"/>
  <c r="B61" i="13"/>
  <c r="B74" i="13"/>
  <c r="B155" i="13"/>
  <c r="B156" i="13"/>
  <c r="B161" i="13"/>
  <c r="B195" i="13"/>
  <c r="B196" i="13"/>
  <c r="B284" i="13"/>
  <c r="B297" i="13"/>
  <c r="B306" i="13"/>
  <c r="B313" i="13"/>
  <c r="B369" i="13"/>
  <c r="B390" i="13"/>
  <c r="B402" i="13"/>
  <c r="B407" i="13"/>
  <c r="B429" i="13"/>
  <c r="B488" i="13"/>
  <c r="B505" i="13"/>
  <c r="B513" i="13"/>
  <c r="B526" i="13"/>
  <c r="B587" i="13"/>
  <c r="B597" i="13"/>
  <c r="B679" i="13"/>
  <c r="B684" i="13"/>
  <c r="B685" i="13"/>
  <c r="B686" i="13"/>
  <c r="B733" i="13"/>
  <c r="B775" i="13"/>
  <c r="B829" i="13"/>
  <c r="B868" i="13"/>
  <c r="B893" i="13"/>
  <c r="B909" i="13"/>
  <c r="B910" i="13"/>
  <c r="B943" i="13"/>
  <c r="B954" i="13"/>
  <c r="B997" i="13"/>
  <c r="B1059" i="13"/>
  <c r="B1075" i="13"/>
  <c r="B1081" i="13"/>
  <c r="B1092" i="13"/>
  <c r="B1095" i="13"/>
  <c r="B1097" i="13"/>
  <c r="B1098" i="13"/>
  <c r="B1105" i="13"/>
  <c r="B1117" i="13"/>
  <c r="B1123" i="13"/>
  <c r="B1125" i="13"/>
  <c r="B1126" i="13"/>
  <c r="B1134" i="13"/>
  <c r="B1193" i="13"/>
  <c r="B1201" i="13"/>
  <c r="B1226" i="13"/>
  <c r="B1249" i="13"/>
  <c r="B1279" i="13"/>
  <c r="B1306" i="13"/>
  <c r="B1315" i="13"/>
  <c r="B1343" i="13"/>
  <c r="B1345" i="13"/>
  <c r="B1355" i="13"/>
  <c r="B1359" i="13"/>
  <c r="B1364" i="13"/>
  <c r="B1374" i="13"/>
  <c r="B1383" i="13"/>
  <c r="B1390" i="13"/>
  <c r="B1415" i="13"/>
  <c r="B1443" i="13"/>
  <c r="B1446" i="13"/>
  <c r="B12" i="13"/>
  <c r="B15" i="13"/>
  <c r="B28" i="13"/>
  <c r="B42" i="13"/>
  <c r="B64" i="13"/>
  <c r="B70" i="13"/>
  <c r="B89" i="13"/>
  <c r="B93" i="13"/>
  <c r="B97" i="13"/>
  <c r="B152" i="13"/>
  <c r="B183" i="13"/>
  <c r="B213" i="13"/>
  <c r="B228" i="13"/>
  <c r="B231" i="13"/>
  <c r="B240" i="13"/>
  <c r="B258" i="13"/>
  <c r="B262" i="13"/>
  <c r="B265" i="13"/>
  <c r="B298" i="13"/>
  <c r="B321" i="13"/>
  <c r="B327" i="13"/>
  <c r="B336" i="13"/>
  <c r="B381" i="13"/>
  <c r="B394" i="13"/>
  <c r="B399" i="13"/>
  <c r="B434" i="13"/>
  <c r="B437" i="13"/>
  <c r="B443" i="13"/>
  <c r="B452" i="13"/>
  <c r="B467" i="13"/>
  <c r="B471" i="13"/>
  <c r="B476" i="13"/>
  <c r="B506" i="13"/>
  <c r="B517" i="13"/>
  <c r="B527" i="13"/>
  <c r="B528" i="13"/>
  <c r="B536" i="13"/>
  <c r="B541" i="13"/>
  <c r="B567" i="13"/>
  <c r="B601" i="13"/>
  <c r="B611" i="13"/>
  <c r="B613" i="13"/>
  <c r="B621" i="13"/>
  <c r="B644" i="13"/>
  <c r="B654" i="13"/>
  <c r="B672" i="13"/>
  <c r="B676" i="13"/>
  <c r="B682" i="13"/>
  <c r="B687" i="13"/>
  <c r="B690" i="13"/>
  <c r="B696" i="13"/>
  <c r="B699" i="13"/>
  <c r="B709" i="13"/>
  <c r="B730" i="13"/>
  <c r="B757" i="13"/>
  <c r="B770" i="13"/>
  <c r="B794" i="13"/>
  <c r="B804" i="13"/>
  <c r="B807" i="13"/>
  <c r="B828" i="13"/>
  <c r="B859" i="13"/>
  <c r="B874" i="13"/>
  <c r="B907" i="13"/>
  <c r="B977" i="13"/>
  <c r="B990" i="13"/>
  <c r="B991" i="13"/>
  <c r="B1002" i="13"/>
  <c r="B1003" i="13"/>
  <c r="B1020" i="13"/>
  <c r="B1031" i="13"/>
  <c r="B1035" i="13"/>
  <c r="B1037" i="13"/>
  <c r="B1067" i="13"/>
  <c r="B1070" i="13"/>
  <c r="B1104" i="13"/>
  <c r="B1110" i="13"/>
  <c r="B1111" i="13"/>
  <c r="B1114" i="13"/>
  <c r="B1127" i="13"/>
  <c r="B1143" i="13"/>
  <c r="B1159" i="13"/>
  <c r="B1166" i="13"/>
  <c r="B1173" i="13"/>
  <c r="B1183" i="13"/>
  <c r="B1185" i="13"/>
  <c r="B1186" i="13"/>
  <c r="B1221" i="13"/>
  <c r="B1230" i="13"/>
  <c r="B1233" i="13"/>
  <c r="B1251" i="13"/>
  <c r="B1272" i="13"/>
  <c r="B1280" i="13"/>
  <c r="B1286" i="13"/>
  <c r="B1298" i="13"/>
  <c r="B1321" i="13"/>
  <c r="B1323" i="13"/>
  <c r="B1327" i="13"/>
  <c r="B1349" i="13"/>
  <c r="B1409" i="13"/>
  <c r="B1416" i="13"/>
  <c r="B1424" i="13"/>
  <c r="B1428" i="13"/>
  <c r="B16" i="13"/>
  <c r="B17" i="13"/>
  <c r="B27" i="13"/>
  <c r="B69" i="13"/>
  <c r="B86" i="13"/>
  <c r="B88" i="13"/>
  <c r="B99" i="13"/>
  <c r="B107" i="13"/>
  <c r="B106" i="13"/>
  <c r="B131" i="13"/>
  <c r="B132" i="13"/>
  <c r="B135" i="13"/>
  <c r="B158" i="13"/>
  <c r="B160" i="13"/>
  <c r="B164" i="13"/>
  <c r="B165" i="13"/>
  <c r="B177" i="13"/>
  <c r="B180" i="13"/>
  <c r="B192" i="13"/>
  <c r="B203" i="13"/>
  <c r="B207" i="13"/>
  <c r="B212" i="13"/>
  <c r="B221" i="13"/>
  <c r="B223" i="13"/>
  <c r="B225" i="13"/>
  <c r="B230" i="13"/>
  <c r="B232" i="13"/>
  <c r="B235" i="13"/>
  <c r="B241" i="13"/>
  <c r="B246" i="13"/>
  <c r="B247" i="13"/>
  <c r="B252" i="13"/>
  <c r="B253" i="13"/>
  <c r="B261" i="13"/>
  <c r="B269" i="13"/>
  <c r="B271" i="13"/>
  <c r="B273" i="13"/>
  <c r="B283" i="13"/>
  <c r="B285" i="13"/>
  <c r="B288" i="13"/>
  <c r="B300" i="13"/>
  <c r="B305" i="13"/>
  <c r="B309" i="13"/>
  <c r="B319" i="13"/>
  <c r="B320" i="13"/>
  <c r="B322" i="13"/>
  <c r="B329" i="13"/>
  <c r="B357" i="13"/>
  <c r="B373" i="13"/>
  <c r="B374" i="13"/>
  <c r="B383" i="13"/>
  <c r="B406" i="13"/>
  <c r="B410" i="13"/>
  <c r="B413" i="13"/>
  <c r="B430" i="13"/>
  <c r="B432" i="13"/>
  <c r="B446" i="13"/>
  <c r="B450" i="13"/>
  <c r="B457" i="13"/>
  <c r="B470" i="13"/>
  <c r="B472" i="13"/>
  <c r="B473" i="13"/>
  <c r="B495" i="13"/>
  <c r="B504" i="13"/>
  <c r="B509" i="13"/>
  <c r="B525" i="13"/>
  <c r="B535" i="13"/>
  <c r="B537" i="13"/>
  <c r="B538" i="13"/>
  <c r="B550" i="13"/>
  <c r="B562" i="13"/>
  <c r="B564" i="13"/>
  <c r="B569" i="13"/>
  <c r="B576" i="13"/>
  <c r="B588" i="13"/>
  <c r="B591" i="13"/>
  <c r="B592" i="13"/>
  <c r="B600" i="13"/>
  <c r="B608" i="13"/>
  <c r="B615" i="13"/>
  <c r="B643" i="13"/>
  <c r="B645" i="13"/>
  <c r="B646" i="13"/>
  <c r="B650" i="13"/>
  <c r="B694" i="13"/>
  <c r="B716" i="13"/>
  <c r="B717" i="13"/>
  <c r="B732" i="13"/>
  <c r="B748" i="13"/>
  <c r="B764" i="13"/>
  <c r="B767" i="13"/>
  <c r="B793" i="13"/>
  <c r="B803" i="13"/>
  <c r="B806" i="13"/>
  <c r="B813" i="13"/>
  <c r="B814" i="13"/>
  <c r="B841" i="13"/>
  <c r="B845" i="13"/>
  <c r="B856" i="13"/>
  <c r="B867" i="13"/>
  <c r="B871" i="13"/>
  <c r="B879" i="13"/>
  <c r="B885" i="13"/>
  <c r="B892" i="13"/>
  <c r="B896" i="13"/>
  <c r="B897" i="13"/>
  <c r="B900" i="13"/>
  <c r="B905" i="13"/>
  <c r="B906" i="13"/>
  <c r="B908" i="13"/>
  <c r="B911" i="13"/>
  <c r="B912" i="13"/>
  <c r="B922" i="13"/>
  <c r="B923" i="13"/>
  <c r="B939" i="13"/>
  <c r="B942" i="13"/>
  <c r="B945" i="13"/>
  <c r="B951" i="13"/>
  <c r="B964" i="13"/>
  <c r="B970" i="13"/>
  <c r="B972" i="13"/>
  <c r="B973" i="13"/>
  <c r="B976" i="13"/>
  <c r="B979" i="13"/>
  <c r="B983" i="13"/>
  <c r="B985" i="13"/>
  <c r="B993" i="13"/>
  <c r="B995" i="13"/>
  <c r="B1004" i="13"/>
  <c r="B1017" i="13"/>
  <c r="B1025" i="13"/>
  <c r="B1033" i="13"/>
  <c r="B1041" i="13"/>
  <c r="B1043" i="13"/>
  <c r="B1052" i="13"/>
  <c r="B1063" i="13"/>
  <c r="B1112" i="13"/>
  <c r="B1121" i="13"/>
  <c r="B1132" i="13"/>
  <c r="B1165" i="13"/>
  <c r="B1172" i="13"/>
  <c r="B1180" i="13"/>
  <c r="B1188" i="13"/>
  <c r="B1190" i="13"/>
  <c r="B1192" i="13"/>
  <c r="B1200" i="13"/>
  <c r="B1214" i="13"/>
  <c r="B1215" i="13"/>
  <c r="B1227" i="13"/>
  <c r="B1240" i="13"/>
  <c r="B1241" i="13"/>
  <c r="B1242" i="13"/>
  <c r="B1243" i="13"/>
  <c r="B1248" i="13"/>
  <c r="B1253" i="13"/>
  <c r="B1254" i="13"/>
  <c r="B1257" i="13"/>
  <c r="B1260" i="13"/>
  <c r="B1266" i="13"/>
  <c r="B1267" i="13"/>
  <c r="B1265" i="13"/>
  <c r="B1271" i="13"/>
  <c r="B1275" i="13"/>
  <c r="B1276" i="13"/>
  <c r="B1277" i="13"/>
  <c r="B1278" i="13"/>
  <c r="B1291" i="13"/>
  <c r="B1292" i="13"/>
  <c r="B1296" i="13"/>
  <c r="B1300" i="13"/>
  <c r="B1303" i="13"/>
  <c r="B1304" i="13"/>
  <c r="B1305" i="13"/>
  <c r="B1319" i="13"/>
  <c r="B1347" i="13"/>
  <c r="B1348" i="13"/>
  <c r="B1365" i="13"/>
  <c r="B1373" i="13"/>
  <c r="B1376" i="13"/>
  <c r="B1429" i="13"/>
  <c r="B1432" i="13"/>
  <c r="B1435" i="13"/>
  <c r="B1441" i="13"/>
  <c r="B1444" i="13"/>
  <c r="B18" i="13"/>
  <c r="B38" i="13"/>
  <c r="B65" i="13"/>
  <c r="B83" i="13"/>
  <c r="B96" i="13"/>
  <c r="B215" i="13"/>
  <c r="B222" i="13"/>
  <c r="B331" i="13"/>
  <c r="B344" i="13"/>
  <c r="B532" i="13"/>
  <c r="B539" i="13"/>
  <c r="B578" i="13"/>
  <c r="B652" i="13"/>
  <c r="B742" i="13"/>
  <c r="B745" i="13"/>
  <c r="B763" i="13"/>
  <c r="B772" i="13"/>
  <c r="B789" i="13"/>
  <c r="B788" i="13"/>
  <c r="B795" i="13"/>
  <c r="B812" i="13"/>
  <c r="B843" i="13"/>
  <c r="B880" i="13"/>
  <c r="B887" i="13"/>
  <c r="B895" i="13"/>
  <c r="B927" i="13"/>
  <c r="B974" i="13"/>
  <c r="B975" i="13"/>
  <c r="B1108" i="13"/>
  <c r="B1122" i="13"/>
  <c r="B1130" i="13"/>
  <c r="B1171" i="13"/>
  <c r="B1218" i="13"/>
  <c r="B1228" i="13"/>
  <c r="B1235" i="13"/>
  <c r="B1273" i="13"/>
  <c r="B1309" i="13"/>
  <c r="B1329" i="13"/>
  <c r="B1397" i="13"/>
  <c r="B6" i="13"/>
  <c r="B7" i="13"/>
  <c r="B51" i="13"/>
  <c r="B63" i="13"/>
  <c r="B66" i="13"/>
  <c r="B73" i="13"/>
  <c r="B77" i="13"/>
  <c r="B79" i="13"/>
  <c r="B84" i="13"/>
  <c r="B90" i="13"/>
  <c r="B98" i="13"/>
  <c r="B109" i="13"/>
  <c r="B114" i="13"/>
  <c r="B117" i="13"/>
  <c r="B127" i="13"/>
  <c r="B140" i="13"/>
  <c r="B159" i="13"/>
  <c r="B167" i="13"/>
  <c r="B169" i="13"/>
  <c r="B173" i="13"/>
  <c r="B202" i="13"/>
  <c r="B209" i="13"/>
  <c r="B224" i="13"/>
  <c r="B243" i="13"/>
  <c r="B245" i="13"/>
  <c r="B264" i="13"/>
  <c r="B274" i="13"/>
  <c r="B282" i="13"/>
  <c r="B286" i="13"/>
  <c r="B287" i="13"/>
  <c r="B310" i="13"/>
  <c r="B325" i="13"/>
  <c r="B345" i="13"/>
  <c r="B347" i="13"/>
  <c r="B356" i="13"/>
  <c r="B360" i="13"/>
  <c r="B376" i="13"/>
  <c r="B377" i="13"/>
  <c r="B380" i="13"/>
  <c r="B397" i="13"/>
  <c r="B398" i="13"/>
  <c r="B411" i="13"/>
  <c r="B422" i="13"/>
  <c r="B428" i="13"/>
  <c r="B431" i="13"/>
  <c r="B435" i="13"/>
  <c r="B444" i="13"/>
  <c r="B458" i="13"/>
  <c r="B459" i="13"/>
  <c r="B479" i="13"/>
  <c r="B496" i="13"/>
  <c r="B500" i="13"/>
  <c r="B501" i="13"/>
  <c r="B502" i="13"/>
  <c r="B521" i="13"/>
  <c r="B548" i="13"/>
  <c r="B553" i="13"/>
  <c r="B572" i="13"/>
  <c r="B606" i="13"/>
  <c r="B609" i="13"/>
  <c r="B623" i="13"/>
  <c r="B634" i="13"/>
  <c r="B642" i="13"/>
  <c r="B678" i="13"/>
  <c r="B688" i="13"/>
  <c r="B697" i="13"/>
  <c r="B698" i="13"/>
  <c r="B711" i="13"/>
  <c r="B712" i="13"/>
  <c r="B725" i="13"/>
  <c r="B726" i="13"/>
  <c r="B749" i="13"/>
  <c r="B758" i="13"/>
  <c r="B766" i="13"/>
  <c r="B773" i="13"/>
  <c r="B781" i="13"/>
  <c r="B782" i="13"/>
  <c r="B783" i="13"/>
  <c r="B796" i="13"/>
  <c r="B801" i="13"/>
  <c r="B802" i="13"/>
  <c r="B816" i="13"/>
  <c r="B815" i="13"/>
  <c r="B822" i="13"/>
  <c r="B823" i="13"/>
  <c r="B825" i="13"/>
  <c r="B833" i="13"/>
  <c r="B840" i="13"/>
  <c r="B849" i="13"/>
  <c r="B857" i="13"/>
  <c r="B858" i="13"/>
  <c r="B863" i="13"/>
  <c r="B872" i="13"/>
  <c r="B883" i="13"/>
  <c r="B890" i="13"/>
  <c r="B891" i="13"/>
  <c r="B901" i="13"/>
  <c r="B902" i="13"/>
  <c r="B914" i="13"/>
  <c r="B926" i="13"/>
  <c r="B956" i="13"/>
  <c r="B971" i="13"/>
  <c r="B989" i="13"/>
  <c r="B998" i="13"/>
  <c r="B1010" i="13"/>
  <c r="B1011" i="13"/>
  <c r="B1027" i="13"/>
  <c r="B1036" i="13"/>
  <c r="B1044" i="13"/>
  <c r="B1048" i="13"/>
  <c r="B1053" i="13"/>
  <c r="B1056" i="13"/>
  <c r="B1061" i="13"/>
  <c r="B1083" i="13"/>
  <c r="B1090" i="13"/>
  <c r="B1116" i="13"/>
  <c r="B1136" i="13"/>
  <c r="B1167" i="13"/>
  <c r="B1199" i="13"/>
  <c r="B1239" i="13"/>
  <c r="B1246" i="13"/>
  <c r="B1250" i="13"/>
  <c r="B1262" i="13"/>
  <c r="B1263" i="13"/>
  <c r="B1285" i="13"/>
  <c r="B1288" i="13"/>
  <c r="B1289" i="13"/>
  <c r="B1299" i="13"/>
  <c r="B1301" i="13"/>
  <c r="B1326" i="13"/>
  <c r="B1331" i="13"/>
  <c r="B1340" i="13"/>
  <c r="B1351" i="13"/>
  <c r="B1360" i="13"/>
  <c r="B1368" i="13"/>
  <c r="B1370" i="13"/>
  <c r="B1371" i="13"/>
  <c r="B1378" i="13"/>
  <c r="B1386" i="13"/>
  <c r="B1394" i="13"/>
  <c r="B1405" i="13"/>
  <c r="B1420" i="13"/>
  <c r="B1439" i="13"/>
  <c r="N13" i="13"/>
  <c r="O13" i="13" s="1"/>
  <c r="N29" i="13"/>
  <c r="O29" i="13" s="1"/>
  <c r="N31" i="13"/>
  <c r="O31" i="13" s="1"/>
  <c r="N37" i="13"/>
  <c r="O37" i="13" s="1"/>
  <c r="N39" i="13"/>
  <c r="O39" i="13" s="1"/>
  <c r="N40" i="13"/>
  <c r="O40" i="13" s="1"/>
  <c r="N54" i="13"/>
  <c r="O54" i="13" s="1"/>
  <c r="N87" i="13"/>
  <c r="O87" i="13" s="1"/>
  <c r="N94" i="13"/>
  <c r="O94" i="13" s="1"/>
  <c r="N102" i="13"/>
  <c r="O102" i="13" s="1"/>
  <c r="N103" i="13"/>
  <c r="O103" i="13" s="1"/>
  <c r="N105" i="13"/>
  <c r="O105" i="13" s="1"/>
  <c r="N108" i="13"/>
  <c r="O108" i="13" s="1"/>
  <c r="N119" i="13"/>
  <c r="O119" i="13" s="1"/>
  <c r="N120" i="13"/>
  <c r="O120" i="13" s="1"/>
  <c r="N136" i="13"/>
  <c r="O136" i="13" s="1"/>
  <c r="N141" i="13"/>
  <c r="O141" i="13" s="1"/>
  <c r="N142" i="13"/>
  <c r="O142" i="13" s="1"/>
  <c r="N145" i="13"/>
  <c r="O145" i="13" s="1"/>
  <c r="N148" i="13"/>
  <c r="O148" i="13" s="1"/>
  <c r="N166" i="13"/>
  <c r="O166" i="13" s="1"/>
  <c r="N176" i="13"/>
  <c r="O176" i="13" s="1"/>
  <c r="N181" i="13"/>
  <c r="O181" i="13" s="1"/>
  <c r="N188" i="13"/>
  <c r="N189" i="13"/>
  <c r="N193" i="13"/>
  <c r="O193" i="13" s="1"/>
  <c r="N210" i="13"/>
  <c r="O210" i="13" s="1"/>
  <c r="N217" i="13"/>
  <c r="N220" i="13"/>
  <c r="O220" i="13" s="1"/>
  <c r="N233" i="13"/>
  <c r="O233" i="13" s="1"/>
  <c r="N237" i="13"/>
  <c r="O237" i="13" s="1"/>
  <c r="N254" i="13"/>
  <c r="O254" i="13" s="1"/>
  <c r="N272" i="13"/>
  <c r="O272" i="13" s="1"/>
  <c r="N277" i="13"/>
  <c r="O277" i="13" s="1"/>
  <c r="N290" i="13"/>
  <c r="O290" i="13" s="1"/>
  <c r="N292" i="13"/>
  <c r="O292" i="13" s="1"/>
  <c r="N294" i="13"/>
  <c r="O294" i="13" s="1"/>
  <c r="N332" i="13"/>
  <c r="O332" i="13" s="1"/>
  <c r="N337" i="13"/>
  <c r="O337" i="13" s="1"/>
  <c r="N343" i="13"/>
  <c r="O343" i="13" s="1"/>
  <c r="N352" i="13"/>
  <c r="O352" i="13" s="1"/>
  <c r="N353" i="13"/>
  <c r="O353" i="13" s="1"/>
  <c r="N361" i="13"/>
  <c r="O361" i="13" s="1"/>
  <c r="N363" i="13"/>
  <c r="N366" i="13"/>
  <c r="O366" i="13" s="1"/>
  <c r="N370" i="13"/>
  <c r="O370" i="13" s="1"/>
  <c r="N371" i="13"/>
  <c r="O371" i="13" s="1"/>
  <c r="N372" i="13"/>
  <c r="O372" i="13" s="1"/>
  <c r="N379" i="13"/>
  <c r="O379" i="13" s="1"/>
  <c r="N403" i="13"/>
  <c r="O403" i="13" s="1"/>
  <c r="N404" i="13"/>
  <c r="O404" i="13" s="1"/>
  <c r="N414" i="13"/>
  <c r="O414" i="13" s="1"/>
  <c r="N418" i="13"/>
  <c r="O418" i="13" s="1"/>
  <c r="N419" i="13"/>
  <c r="O419" i="13" s="1"/>
  <c r="N423" i="13"/>
  <c r="O423" i="13" s="1"/>
  <c r="N424" i="13"/>
  <c r="O424" i="13" s="1"/>
  <c r="N438" i="13"/>
  <c r="O438" i="13" s="1"/>
  <c r="N439" i="13"/>
  <c r="O439" i="13" s="1"/>
  <c r="N440" i="13"/>
  <c r="O440" i="13" s="1"/>
  <c r="N442" i="13"/>
  <c r="O442" i="13" s="1"/>
  <c r="N463" i="13"/>
  <c r="O463" i="13" s="1"/>
  <c r="N478" i="13"/>
  <c r="O478" i="13" s="1"/>
  <c r="N482" i="13"/>
  <c r="N487" i="13"/>
  <c r="O487" i="13" s="1"/>
  <c r="N493" i="13"/>
  <c r="O493" i="13" s="1"/>
  <c r="N510" i="13"/>
  <c r="O510" i="13" s="1"/>
  <c r="N530" i="13"/>
  <c r="O530" i="13" s="1"/>
  <c r="N542" i="13"/>
  <c r="O542" i="13" s="1"/>
  <c r="N552" i="13"/>
  <c r="O552" i="13" s="1"/>
  <c r="N563" i="13"/>
  <c r="O563" i="13" s="1"/>
  <c r="N566" i="13"/>
  <c r="O566" i="13" s="1"/>
  <c r="N589" i="13"/>
  <c r="O589" i="13" s="1"/>
  <c r="N590" i="13"/>
  <c r="O590" i="13" s="1"/>
  <c r="N602" i="13"/>
  <c r="O602" i="13" s="1"/>
  <c r="N604" i="13"/>
  <c r="O604" i="13" s="1"/>
  <c r="N626" i="13"/>
  <c r="N637" i="13"/>
  <c r="N641" i="13"/>
  <c r="O641" i="13" s="1"/>
  <c r="N648" i="13"/>
  <c r="O648" i="13" s="1"/>
  <c r="N651" i="13"/>
  <c r="O651" i="13" s="1"/>
  <c r="N663" i="13"/>
  <c r="O663" i="13" s="1"/>
  <c r="N700" i="13"/>
  <c r="O700" i="13" s="1"/>
  <c r="N710" i="13"/>
  <c r="O710" i="13" s="1"/>
  <c r="N718" i="13"/>
  <c r="O718" i="13" s="1"/>
  <c r="N739" i="13"/>
  <c r="O739" i="13" s="1"/>
  <c r="N743" i="13"/>
  <c r="N746" i="13"/>
  <c r="O746" i="13" s="1"/>
  <c r="N759" i="13"/>
  <c r="O759" i="13" s="1"/>
  <c r="N765" i="13"/>
  <c r="O765" i="13" s="1"/>
  <c r="N774" i="13"/>
  <c r="O774" i="13" s="1"/>
  <c r="N778" i="13"/>
  <c r="O778" i="13" s="1"/>
  <c r="N811" i="13"/>
  <c r="O811" i="13" s="1"/>
  <c r="N827" i="13"/>
  <c r="O827" i="13" s="1"/>
  <c r="N830" i="13"/>
  <c r="O830" i="13" s="1"/>
  <c r="N865" i="13"/>
  <c r="O865" i="13" s="1"/>
  <c r="N869" i="13"/>
  <c r="O869" i="13" s="1"/>
  <c r="N870" i="13"/>
  <c r="O870" i="13" s="1"/>
  <c r="N875" i="13"/>
  <c r="O875" i="13" s="1"/>
  <c r="N877" i="13"/>
  <c r="O877" i="13" s="1"/>
  <c r="N882" i="13"/>
  <c r="O882" i="13" s="1"/>
  <c r="N884" i="13"/>
  <c r="O884" i="13" s="1"/>
  <c r="N916" i="13"/>
  <c r="O916" i="13" s="1"/>
  <c r="N918" i="13"/>
  <c r="O918" i="13" s="1"/>
  <c r="N920" i="13"/>
  <c r="O920" i="13" s="1"/>
  <c r="N929" i="13"/>
  <c r="O929" i="13" s="1"/>
  <c r="N933" i="13"/>
  <c r="O933" i="13" s="1"/>
  <c r="N955" i="13"/>
  <c r="O955" i="13" s="1"/>
  <c r="N961" i="13"/>
  <c r="O961" i="13" s="1"/>
  <c r="N962" i="13"/>
  <c r="O962" i="13" s="1"/>
  <c r="N969" i="13"/>
  <c r="O969" i="13" s="1"/>
  <c r="N987" i="13"/>
  <c r="O987" i="13" s="1"/>
  <c r="N988" i="13"/>
  <c r="O988" i="13" s="1"/>
  <c r="N1009" i="13"/>
  <c r="O1009" i="13" s="1"/>
  <c r="N1034" i="13"/>
  <c r="O1034" i="13" s="1"/>
  <c r="N1039" i="13"/>
  <c r="O1039" i="13" s="1"/>
  <c r="N1045" i="13"/>
  <c r="O1045" i="13" s="1"/>
  <c r="N1047" i="13"/>
  <c r="O1047" i="13" s="1"/>
  <c r="N1062" i="13"/>
  <c r="O1062" i="13" s="1"/>
  <c r="N1079" i="13"/>
  <c r="O1079" i="13" s="1"/>
  <c r="N1080" i="13"/>
  <c r="O1080" i="13" s="1"/>
  <c r="N1084" i="13"/>
  <c r="O1084" i="13" s="1"/>
  <c r="N1087" i="13"/>
  <c r="O1087" i="13" s="1"/>
  <c r="N1094" i="13"/>
  <c r="O1094" i="13" s="1"/>
  <c r="N1131" i="13"/>
  <c r="O1131" i="13" s="1"/>
  <c r="N1138" i="13"/>
  <c r="O1138" i="13" s="1"/>
  <c r="N1142" i="13"/>
  <c r="O1142" i="13" s="1"/>
  <c r="N1150" i="13"/>
  <c r="O1150" i="13" s="1"/>
  <c r="N1151" i="13"/>
  <c r="N1155" i="13"/>
  <c r="N1158" i="13"/>
  <c r="O1158" i="13" s="1"/>
  <c r="N1161" i="13"/>
  <c r="O1161" i="13" s="1"/>
  <c r="N1170" i="13"/>
  <c r="O1170" i="13" s="1"/>
  <c r="N1179" i="13"/>
  <c r="O1179" i="13" s="1"/>
  <c r="N1181" i="13"/>
  <c r="O1181" i="13" s="1"/>
  <c r="N1231" i="13"/>
  <c r="O1231" i="13" s="1"/>
  <c r="N1236" i="13"/>
  <c r="N1256" i="13"/>
  <c r="O1256" i="13" s="1"/>
  <c r="N1259" i="13"/>
  <c r="O1259" i="13" s="1"/>
  <c r="N1268" i="13"/>
  <c r="O1268" i="13" s="1"/>
  <c r="N1320" i="13"/>
  <c r="O1320" i="13" s="1"/>
  <c r="N1324" i="13"/>
  <c r="O1324" i="13" s="1"/>
  <c r="N1325" i="13"/>
  <c r="O1325" i="13" s="1"/>
  <c r="N1342" i="13"/>
  <c r="O1342" i="13" s="1"/>
  <c r="N1369" i="13"/>
  <c r="O1369" i="13" s="1"/>
  <c r="N1372" i="13"/>
  <c r="O1372" i="13" s="1"/>
  <c r="N1379" i="13"/>
  <c r="B1379" i="13" s="1"/>
  <c r="N1387" i="13"/>
  <c r="B1387" i="13" s="1"/>
  <c r="N1395" i="13"/>
  <c r="O1395" i="13" s="1"/>
  <c r="N1419" i="13"/>
  <c r="O1419" i="13" s="1"/>
  <c r="N1427" i="13"/>
  <c r="O1427" i="13" s="1"/>
  <c r="N1431" i="13"/>
  <c r="O1431" i="13" s="1"/>
  <c r="N1442" i="13"/>
  <c r="O1442" i="13" s="1"/>
  <c r="N9" i="13"/>
  <c r="O9" i="13" s="1"/>
  <c r="N14" i="13"/>
  <c r="O14" i="13" s="1"/>
  <c r="N26" i="13"/>
  <c r="O26" i="13" s="1"/>
  <c r="N30" i="13"/>
  <c r="O30" i="13" s="1"/>
  <c r="N43" i="13"/>
  <c r="N48" i="13"/>
  <c r="O48" i="13" s="1"/>
  <c r="N49" i="13"/>
  <c r="N67" i="13"/>
  <c r="O67" i="13" s="1"/>
  <c r="N80" i="13"/>
  <c r="O80" i="13" s="1"/>
  <c r="N95" i="13"/>
  <c r="O95" i="13" s="1"/>
  <c r="N147" i="13"/>
  <c r="O147" i="13" s="1"/>
  <c r="N149" i="13"/>
  <c r="O149" i="13" s="1"/>
  <c r="N153" i="13"/>
  <c r="O153" i="13" s="1"/>
  <c r="N163" i="13"/>
  <c r="O163" i="13" s="1"/>
  <c r="N168" i="13"/>
  <c r="O168" i="13" s="1"/>
  <c r="N170" i="13"/>
  <c r="O170" i="13" s="1"/>
  <c r="N190" i="13"/>
  <c r="O190" i="13" s="1"/>
  <c r="N205" i="13"/>
  <c r="O205" i="13" s="1"/>
  <c r="N211" i="13"/>
  <c r="O211" i="13" s="1"/>
  <c r="N216" i="13"/>
  <c r="O216" i="13" s="1"/>
  <c r="N218" i="13"/>
  <c r="N234" i="13"/>
  <c r="O234" i="13" s="1"/>
  <c r="N267" i="13"/>
  <c r="O267" i="13" s="1"/>
  <c r="N268" i="13"/>
  <c r="O268" i="13" s="1"/>
  <c r="N291" i="13"/>
  <c r="O291" i="13" s="1"/>
  <c r="N312" i="13"/>
  <c r="O312" i="13" s="1"/>
  <c r="N324" i="13"/>
  <c r="O324" i="13" s="1"/>
  <c r="N330" i="13"/>
  <c r="O330" i="13" s="1"/>
  <c r="N335" i="13"/>
  <c r="O335" i="13" s="1"/>
  <c r="N338" i="13"/>
  <c r="N342" i="13"/>
  <c r="O342" i="13" s="1"/>
  <c r="N355" i="13"/>
  <c r="O355" i="13" s="1"/>
  <c r="N358" i="13"/>
  <c r="O358" i="13" s="1"/>
  <c r="N401" i="13"/>
  <c r="O401" i="13" s="1"/>
  <c r="N405" i="13"/>
  <c r="O405" i="13" s="1"/>
  <c r="N417" i="13"/>
  <c r="O417" i="13" s="1"/>
  <c r="N436" i="13"/>
  <c r="O436" i="13" s="1"/>
  <c r="N445" i="13"/>
  <c r="O445" i="13" s="1"/>
  <c r="N449" i="13"/>
  <c r="O449" i="13" s="1"/>
  <c r="N456" i="13"/>
  <c r="O456" i="13" s="1"/>
  <c r="N461" i="13"/>
  <c r="O461" i="13" s="1"/>
  <c r="N464" i="13"/>
  <c r="O464" i="13" s="1"/>
  <c r="N474" i="13"/>
  <c r="O474" i="13" s="1"/>
  <c r="N486" i="13"/>
  <c r="O486" i="13" s="1"/>
  <c r="N503" i="13"/>
  <c r="O503" i="13" s="1"/>
  <c r="N511" i="13"/>
  <c r="O511" i="13" s="1"/>
  <c r="N519" i="13"/>
  <c r="O519" i="13" s="1"/>
  <c r="N540" i="13"/>
  <c r="O540" i="13" s="1"/>
  <c r="N557" i="13"/>
  <c r="O557" i="13" s="1"/>
  <c r="N558" i="13"/>
  <c r="O558" i="13" s="1"/>
  <c r="N568" i="13"/>
  <c r="O568" i="13" s="1"/>
  <c r="N581" i="13"/>
  <c r="O581" i="13" s="1"/>
  <c r="N617" i="13"/>
  <c r="O617" i="13" s="1"/>
  <c r="N638" i="13"/>
  <c r="N653" i="13"/>
  <c r="O653" i="13" s="1"/>
  <c r="N656" i="13"/>
  <c r="O656" i="13" s="1"/>
  <c r="N657" i="13"/>
  <c r="O657" i="13" s="1"/>
  <c r="N665" i="13"/>
  <c r="O665" i="13" s="1"/>
  <c r="N671" i="13"/>
  <c r="O671" i="13" s="1"/>
  <c r="N673" i="13"/>
  <c r="O673" i="13" s="1"/>
  <c r="N674" i="13"/>
  <c r="O674" i="13" s="1"/>
  <c r="N675" i="13"/>
  <c r="O675" i="13" s="1"/>
  <c r="N689" i="13"/>
  <c r="O689" i="13" s="1"/>
  <c r="N704" i="13"/>
  <c r="O704" i="13" s="1"/>
  <c r="N708" i="13"/>
  <c r="O708" i="13" s="1"/>
  <c r="N723" i="13"/>
  <c r="N727" i="13"/>
  <c r="O727" i="13" s="1"/>
  <c r="N728" i="13"/>
  <c r="O728" i="13" s="1"/>
  <c r="N731" i="13"/>
  <c r="O731" i="13" s="1"/>
  <c r="N736" i="13"/>
  <c r="N755" i="13"/>
  <c r="N779" i="13"/>
  <c r="O779" i="13" s="1"/>
  <c r="N785" i="13"/>
  <c r="O785" i="13" s="1"/>
  <c r="N792" i="13"/>
  <c r="O792" i="13" s="1"/>
  <c r="N797" i="13"/>
  <c r="O797" i="13" s="1"/>
  <c r="N805" i="13"/>
  <c r="O805" i="13" s="1"/>
  <c r="N820" i="13"/>
  <c r="O820" i="13" s="1"/>
  <c r="N821" i="13"/>
  <c r="O821" i="13" s="1"/>
  <c r="N836" i="13"/>
  <c r="O836" i="13" s="1"/>
  <c r="N844" i="13"/>
  <c r="O844" i="13" s="1"/>
  <c r="N862" i="13"/>
  <c r="O862" i="13" s="1"/>
  <c r="N866" i="13"/>
  <c r="O866" i="13" s="1"/>
  <c r="N881" i="13"/>
  <c r="O881" i="13" s="1"/>
  <c r="N886" i="13"/>
  <c r="O886" i="13" s="1"/>
  <c r="N921" i="13"/>
  <c r="O921" i="13" s="1"/>
  <c r="N934" i="13"/>
  <c r="O934" i="13" s="1"/>
  <c r="N938" i="13"/>
  <c r="O938" i="13" s="1"/>
  <c r="N944" i="13"/>
  <c r="O944" i="13" s="1"/>
  <c r="N950" i="13"/>
  <c r="O950" i="13" s="1"/>
  <c r="N957" i="13"/>
  <c r="O957" i="13" s="1"/>
  <c r="N958" i="13"/>
  <c r="O958" i="13" s="1"/>
  <c r="N1012" i="13"/>
  <c r="O1012" i="13" s="1"/>
  <c r="N1023" i="13"/>
  <c r="O1023" i="13" s="1"/>
  <c r="N1028" i="13"/>
  <c r="O1028" i="13" s="1"/>
  <c r="N1032" i="13"/>
  <c r="O1032" i="13" s="1"/>
  <c r="N1038" i="13"/>
  <c r="O1038" i="13" s="1"/>
  <c r="N1040" i="13"/>
  <c r="O1040" i="13" s="1"/>
  <c r="N1051" i="13"/>
  <c r="O1051" i="13" s="1"/>
  <c r="N1071" i="13"/>
  <c r="O1071" i="13" s="1"/>
  <c r="N1078" i="13"/>
  <c r="O1078" i="13" s="1"/>
  <c r="N1088" i="13"/>
  <c r="O1088" i="13" s="1"/>
  <c r="N1089" i="13"/>
  <c r="O1089" i="13" s="1"/>
  <c r="N1106" i="13"/>
  <c r="O1106" i="13" s="1"/>
  <c r="N1115" i="13"/>
  <c r="O1115" i="13" s="1"/>
  <c r="N1124" i="13"/>
  <c r="O1124" i="13" s="1"/>
  <c r="N1139" i="13"/>
  <c r="N1141" i="13"/>
  <c r="O1141" i="13" s="1"/>
  <c r="N1145" i="13"/>
  <c r="O1145" i="13" s="1"/>
  <c r="N1149" i="13"/>
  <c r="O1149" i="13" s="1"/>
  <c r="N1154" i="13"/>
  <c r="O1154" i="13" s="1"/>
  <c r="N1156" i="13"/>
  <c r="N1160" i="13"/>
  <c r="O1160" i="13" s="1"/>
  <c r="N1182" i="13"/>
  <c r="O1182" i="13" s="1"/>
  <c r="N1195" i="13"/>
  <c r="O1195" i="13" s="1"/>
  <c r="N1196" i="13"/>
  <c r="O1196" i="13" s="1"/>
  <c r="N1198" i="13"/>
  <c r="O1198" i="13" s="1"/>
  <c r="N1202" i="13"/>
  <c r="O1202" i="13" s="1"/>
  <c r="N1203" i="13"/>
  <c r="O1203" i="13" s="1"/>
  <c r="N1204" i="13"/>
  <c r="O1204" i="13" s="1"/>
  <c r="N1205" i="13"/>
  <c r="O1205" i="13" s="1"/>
  <c r="N1206" i="13"/>
  <c r="O1206" i="13" s="1"/>
  <c r="N1207" i="13"/>
  <c r="O1207" i="13" s="1"/>
  <c r="N1211" i="13"/>
  <c r="O1211" i="13" s="1"/>
  <c r="N1217" i="13"/>
  <c r="O1217" i="13" s="1"/>
  <c r="N1219" i="13"/>
  <c r="O1219" i="13" s="1"/>
  <c r="N1244" i="13"/>
  <c r="O1244" i="13" s="1"/>
  <c r="N1255" i="13"/>
  <c r="O1255" i="13" s="1"/>
  <c r="N1294" i="13"/>
  <c r="O1294" i="13" s="1"/>
  <c r="N1297" i="13"/>
  <c r="O1297" i="13" s="1"/>
  <c r="N1312" i="13"/>
  <c r="O1312" i="13" s="1"/>
  <c r="N1333" i="13"/>
  <c r="O1333" i="13" s="1"/>
  <c r="N1335" i="13"/>
  <c r="B1335" i="13" s="1"/>
  <c r="N1337" i="13"/>
  <c r="O1337" i="13" s="1"/>
  <c r="N1344" i="13"/>
  <c r="O1344" i="13" s="1"/>
  <c r="N1362" i="13"/>
  <c r="O1362" i="13" s="1"/>
  <c r="N1363" i="13"/>
  <c r="O1363" i="13" s="1"/>
  <c r="N1367" i="13"/>
  <c r="O1367" i="13" s="1"/>
  <c r="N1389" i="13"/>
  <c r="O1389" i="13" s="1"/>
  <c r="N1393" i="13"/>
  <c r="O1393" i="13" s="1"/>
  <c r="N1399" i="13"/>
  <c r="O1399" i="13" s="1"/>
  <c r="N1402" i="13"/>
  <c r="N1412" i="13"/>
  <c r="O1412" i="13" s="1"/>
  <c r="N1434" i="13"/>
  <c r="O1434" i="13" s="1"/>
  <c r="N1448" i="13"/>
  <c r="O1448" i="13" s="1"/>
  <c r="N11" i="13"/>
  <c r="O11" i="13" s="1"/>
  <c r="N21" i="13"/>
  <c r="O21" i="13" s="1"/>
  <c r="N33" i="13"/>
  <c r="N50" i="13"/>
  <c r="N52" i="13"/>
  <c r="O52" i="13" s="1"/>
  <c r="N56" i="13"/>
  <c r="O56" i="13" s="1"/>
  <c r="N55" i="13"/>
  <c r="O55" i="13" s="1"/>
  <c r="N68" i="13"/>
  <c r="O68" i="13" s="1"/>
  <c r="N133" i="13"/>
  <c r="O133" i="13" s="1"/>
  <c r="N138" i="13"/>
  <c r="O138" i="13" s="1"/>
  <c r="N139" i="13"/>
  <c r="O139" i="13" s="1"/>
  <c r="N143" i="13"/>
  <c r="O143" i="13" s="1"/>
  <c r="N151" i="13"/>
  <c r="O151" i="13" s="1"/>
  <c r="N157" i="13"/>
  <c r="O157" i="13" s="1"/>
  <c r="N178" i="13"/>
  <c r="N194" i="13"/>
  <c r="O194" i="13" s="1"/>
  <c r="N198" i="13"/>
  <c r="N199" i="13"/>
  <c r="N206" i="13"/>
  <c r="O206" i="13" s="1"/>
  <c r="N219" i="13"/>
  <c r="N238" i="13"/>
  <c r="N255" i="13"/>
  <c r="O255" i="13" s="1"/>
  <c r="N266" i="13"/>
  <c r="O266" i="13" s="1"/>
  <c r="N276" i="13"/>
  <c r="O276" i="13" s="1"/>
  <c r="N280" i="13"/>
  <c r="N295" i="13"/>
  <c r="O295" i="13" s="1"/>
  <c r="N304" i="13"/>
  <c r="O304" i="13" s="1"/>
  <c r="N346" i="13"/>
  <c r="O346" i="13" s="1"/>
  <c r="N348" i="13"/>
  <c r="O348" i="13" s="1"/>
  <c r="N364" i="13"/>
  <c r="N382" i="13"/>
  <c r="O382" i="13" s="1"/>
  <c r="N395" i="13"/>
  <c r="O395" i="13" s="1"/>
  <c r="N408" i="13"/>
  <c r="O408" i="13" s="1"/>
  <c r="N448" i="13"/>
  <c r="O448" i="13" s="1"/>
  <c r="N462" i="13"/>
  <c r="O462" i="13" s="1"/>
  <c r="N468" i="13"/>
  <c r="O468" i="13" s="1"/>
  <c r="N477" i="13"/>
  <c r="O477" i="13" s="1"/>
  <c r="N507" i="13"/>
  <c r="O507" i="13" s="1"/>
  <c r="N524" i="13"/>
  <c r="O524" i="13" s="1"/>
  <c r="N545" i="13"/>
  <c r="O545" i="13" s="1"/>
  <c r="N559" i="13"/>
  <c r="O559" i="13" s="1"/>
  <c r="N585" i="13"/>
  <c r="O585" i="13" s="1"/>
  <c r="N598" i="13"/>
  <c r="O598" i="13" s="1"/>
  <c r="N619" i="13"/>
  <c r="O619" i="13" s="1"/>
  <c r="N620" i="13"/>
  <c r="O620" i="13" s="1"/>
  <c r="N625" i="13"/>
  <c r="O625" i="13" s="1"/>
  <c r="N628" i="13"/>
  <c r="O628" i="13" s="1"/>
  <c r="N631" i="13"/>
  <c r="O631" i="13" s="1"/>
  <c r="N647" i="13"/>
  <c r="O647" i="13" s="1"/>
  <c r="N664" i="13"/>
  <c r="O664" i="13" s="1"/>
  <c r="N669" i="13"/>
  <c r="O669" i="13" s="1"/>
  <c r="N677" i="13"/>
  <c r="O677" i="13" s="1"/>
  <c r="N707" i="13"/>
  <c r="O707" i="13" s="1"/>
  <c r="N719" i="13"/>
  <c r="N724" i="13"/>
  <c r="N737" i="13"/>
  <c r="N741" i="13"/>
  <c r="O741" i="13" s="1"/>
  <c r="N784" i="13"/>
  <c r="O784" i="13" s="1"/>
  <c r="N818" i="13"/>
  <c r="O818" i="13" s="1"/>
  <c r="N831" i="13"/>
  <c r="O831" i="13" s="1"/>
  <c r="N842" i="13"/>
  <c r="O842" i="13" s="1"/>
  <c r="N851" i="13"/>
  <c r="O851" i="13" s="1"/>
  <c r="N888" i="13"/>
  <c r="O888" i="13" s="1"/>
  <c r="N904" i="13"/>
  <c r="O904" i="13" s="1"/>
  <c r="N925" i="13"/>
  <c r="O925" i="13" s="1"/>
  <c r="N928" i="13"/>
  <c r="O928" i="13" s="1"/>
  <c r="N937" i="13"/>
  <c r="O937" i="13" s="1"/>
  <c r="N959" i="13"/>
  <c r="O959" i="13" s="1"/>
  <c r="N960" i="13"/>
  <c r="O960" i="13" s="1"/>
  <c r="N978" i="13"/>
  <c r="O978" i="13" s="1"/>
  <c r="N1024" i="13"/>
  <c r="O1024" i="13" s="1"/>
  <c r="N1086" i="13"/>
  <c r="O1086" i="13" s="1"/>
  <c r="N1148" i="13"/>
  <c r="O1148" i="13" s="1"/>
  <c r="N1146" i="13"/>
  <c r="N1157" i="13"/>
  <c r="N1222" i="13"/>
  <c r="O1222" i="13" s="1"/>
  <c r="N1264" i="13"/>
  <c r="O1264" i="13" s="1"/>
  <c r="N1290" i="13"/>
  <c r="O1290" i="13" s="1"/>
  <c r="N1307" i="13"/>
  <c r="O1307" i="13" s="1"/>
  <c r="N1341" i="13"/>
  <c r="O1341" i="13" s="1"/>
  <c r="N1346" i="13"/>
  <c r="O1346" i="13" s="1"/>
  <c r="N1385" i="13"/>
  <c r="O1385" i="13" s="1"/>
  <c r="N1410" i="13"/>
  <c r="O1410" i="13" s="1"/>
  <c r="N1411" i="13"/>
  <c r="O1411" i="13" s="1"/>
  <c r="N1421" i="13"/>
  <c r="O1421" i="13" s="1"/>
  <c r="N1425" i="13"/>
  <c r="O1425" i="13" s="1"/>
  <c r="N1433" i="13"/>
  <c r="O1433" i="13" s="1"/>
  <c r="N3" i="13"/>
  <c r="O3" i="13" s="1"/>
  <c r="N32" i="13"/>
  <c r="O32" i="13" s="1"/>
  <c r="N44" i="13"/>
  <c r="N45" i="13"/>
  <c r="N57" i="13"/>
  <c r="O57" i="13" s="1"/>
  <c r="N58" i="13"/>
  <c r="O58" i="13" s="1"/>
  <c r="N60" i="13"/>
  <c r="O60" i="13" s="1"/>
  <c r="N71" i="13"/>
  <c r="O71" i="13" s="1"/>
  <c r="N78" i="13"/>
  <c r="O78" i="13" s="1"/>
  <c r="N100" i="13"/>
  <c r="O100" i="13" s="1"/>
  <c r="N104" i="13"/>
  <c r="O104" i="13" s="1"/>
  <c r="N110" i="13"/>
  <c r="O110" i="13" s="1"/>
  <c r="N118" i="13"/>
  <c r="O118" i="13" s="1"/>
  <c r="N123" i="13"/>
  <c r="N124" i="13"/>
  <c r="N128" i="13"/>
  <c r="O128" i="13" s="1"/>
  <c r="N146" i="13"/>
  <c r="O146" i="13" s="1"/>
  <c r="N162" i="13"/>
  <c r="O162" i="13" s="1"/>
  <c r="N184" i="13"/>
  <c r="O184" i="13" s="1"/>
  <c r="N197" i="13"/>
  <c r="O197" i="13" s="1"/>
  <c r="N208" i="13"/>
  <c r="O208" i="13" s="1"/>
  <c r="N226" i="13"/>
  <c r="O226" i="13" s="1"/>
  <c r="N229" i="13"/>
  <c r="O229" i="13" s="1"/>
  <c r="N236" i="13"/>
  <c r="O236" i="13" s="1"/>
  <c r="N244" i="13"/>
  <c r="O244" i="13" s="1"/>
  <c r="N249" i="13"/>
  <c r="O249" i="13" s="1"/>
  <c r="N250" i="13"/>
  <c r="O250" i="13" s="1"/>
  <c r="N263" i="13"/>
  <c r="O263" i="13" s="1"/>
  <c r="N275" i="13"/>
  <c r="O275" i="13" s="1"/>
  <c r="N311" i="13"/>
  <c r="O311" i="13" s="1"/>
  <c r="N323" i="13"/>
  <c r="O323" i="13" s="1"/>
  <c r="N354" i="13"/>
  <c r="O354" i="13" s="1"/>
  <c r="N359" i="13"/>
  <c r="O359" i="13" s="1"/>
  <c r="N367" i="13"/>
  <c r="O367" i="13" s="1"/>
  <c r="N375" i="13"/>
  <c r="O375" i="13" s="1"/>
  <c r="N378" i="13"/>
  <c r="O378" i="13" s="1"/>
  <c r="N396" i="13"/>
  <c r="O396" i="13" s="1"/>
  <c r="N409" i="13"/>
  <c r="O409" i="13" s="1"/>
  <c r="N415" i="13"/>
  <c r="O415" i="13" s="1"/>
  <c r="N416" i="13"/>
  <c r="O416" i="13" s="1"/>
  <c r="N425" i="13"/>
  <c r="O425" i="13" s="1"/>
  <c r="N447" i="13"/>
  <c r="O447" i="13" s="1"/>
  <c r="N469" i="13"/>
  <c r="O469" i="13" s="1"/>
  <c r="N475" i="13"/>
  <c r="O475" i="13" s="1"/>
  <c r="N483" i="13"/>
  <c r="N490" i="13"/>
  <c r="O490" i="13" s="1"/>
  <c r="N494" i="13"/>
  <c r="O494" i="13" s="1"/>
  <c r="N497" i="13"/>
  <c r="O497" i="13" s="1"/>
  <c r="N514" i="13"/>
  <c r="O514" i="13" s="1"/>
  <c r="N515" i="13"/>
  <c r="O515" i="13" s="1"/>
  <c r="N516" i="13"/>
  <c r="O516" i="13" s="1"/>
  <c r="N518" i="13"/>
  <c r="O518" i="13" s="1"/>
  <c r="N522" i="13"/>
  <c r="O522" i="13" s="1"/>
  <c r="N529" i="13"/>
  <c r="O529" i="13" s="1"/>
  <c r="N556" i="13"/>
  <c r="O556" i="13" s="1"/>
  <c r="N560" i="13"/>
  <c r="O560" i="13" s="1"/>
  <c r="N565" i="13"/>
  <c r="O565" i="13" s="1"/>
  <c r="N573" i="13"/>
  <c r="O573" i="13" s="1"/>
  <c r="N574" i="13"/>
  <c r="O574" i="13" s="1"/>
  <c r="N575" i="13"/>
  <c r="O575" i="13" s="1"/>
  <c r="N577" i="13"/>
  <c r="O577" i="13" s="1"/>
  <c r="N583" i="13"/>
  <c r="O583" i="13" s="1"/>
  <c r="N595" i="13"/>
  <c r="N624" i="13"/>
  <c r="O624" i="13" s="1"/>
  <c r="N630" i="13"/>
  <c r="O630" i="13" s="1"/>
  <c r="N636" i="13"/>
  <c r="O636" i="13" s="1"/>
  <c r="N659" i="13"/>
  <c r="O659" i="13" s="1"/>
  <c r="N660" i="13"/>
  <c r="N667" i="13"/>
  <c r="O667" i="13" s="1"/>
  <c r="N670" i="13"/>
  <c r="O670" i="13" s="1"/>
  <c r="N680" i="13"/>
  <c r="O680" i="13" s="1"/>
  <c r="N681" i="13"/>
  <c r="O681" i="13" s="1"/>
  <c r="N693" i="13"/>
  <c r="O693" i="13" s="1"/>
  <c r="N695" i="13"/>
  <c r="O695" i="13" s="1"/>
  <c r="N703" i="13"/>
  <c r="O703" i="13" s="1"/>
  <c r="N729" i="13"/>
  <c r="O729" i="13" s="1"/>
  <c r="N753" i="13"/>
  <c r="O753" i="13" s="1"/>
  <c r="N760" i="13"/>
  <c r="O760" i="13" s="1"/>
  <c r="N768" i="13"/>
  <c r="O768" i="13" s="1"/>
  <c r="N771" i="13"/>
  <c r="O771" i="13" s="1"/>
  <c r="N786" i="13"/>
  <c r="O786" i="13" s="1"/>
  <c r="N787" i="13"/>
  <c r="O787" i="13" s="1"/>
  <c r="N791" i="13"/>
  <c r="O791" i="13" s="1"/>
  <c r="N819" i="13"/>
  <c r="O819" i="13" s="1"/>
  <c r="N832" i="13"/>
  <c r="O832" i="13" s="1"/>
  <c r="N839" i="13"/>
  <c r="O839" i="13" s="1"/>
  <c r="N846" i="13"/>
  <c r="O846" i="13" s="1"/>
  <c r="N850" i="13"/>
  <c r="O850" i="13" s="1"/>
  <c r="N873" i="13"/>
  <c r="O873" i="13" s="1"/>
  <c r="N898" i="13"/>
  <c r="O898" i="13" s="1"/>
  <c r="N930" i="13"/>
  <c r="O930" i="13" s="1"/>
  <c r="N932" i="13"/>
  <c r="O932" i="13" s="1"/>
  <c r="N949" i="13"/>
  <c r="O949" i="13" s="1"/>
  <c r="N963" i="13"/>
  <c r="O963" i="13" s="1"/>
  <c r="N965" i="13"/>
  <c r="O965" i="13" s="1"/>
  <c r="N966" i="13"/>
  <c r="O966" i="13" s="1"/>
  <c r="N968" i="13"/>
  <c r="O968" i="13" s="1"/>
  <c r="N996" i="13"/>
  <c r="O996" i="13" s="1"/>
  <c r="N1013" i="13"/>
  <c r="O1013" i="13" s="1"/>
  <c r="N1049" i="13"/>
  <c r="O1049" i="13" s="1"/>
  <c r="N1058" i="13"/>
  <c r="O1058" i="13" s="1"/>
  <c r="N1066" i="13"/>
  <c r="O1066" i="13" s="1"/>
  <c r="N1077" i="13"/>
  <c r="O1077" i="13" s="1"/>
  <c r="N1096" i="13"/>
  <c r="O1096" i="13" s="1"/>
  <c r="N1100" i="13"/>
  <c r="O1100" i="13" s="1"/>
  <c r="N1107" i="13"/>
  <c r="O1107" i="13" s="1"/>
  <c r="N1109" i="13"/>
  <c r="O1109" i="13" s="1"/>
  <c r="N1135" i="13"/>
  <c r="O1135" i="13" s="1"/>
  <c r="N1144" i="13"/>
  <c r="O1144" i="13" s="1"/>
  <c r="N1162" i="13"/>
  <c r="O1162" i="13" s="1"/>
  <c r="N1163" i="13"/>
  <c r="O1163" i="13" s="1"/>
  <c r="N1164" i="13"/>
  <c r="O1164" i="13" s="1"/>
  <c r="N1168" i="13"/>
  <c r="N1169" i="13"/>
  <c r="N1194" i="13"/>
  <c r="O1194" i="13" s="1"/>
  <c r="N1197" i="13"/>
  <c r="O1197" i="13" s="1"/>
  <c r="N1229" i="13"/>
  <c r="O1229" i="13" s="1"/>
  <c r="N1238" i="13"/>
  <c r="O1238" i="13" s="1"/>
  <c r="N1269" i="13"/>
  <c r="O1269" i="13" s="1"/>
  <c r="N1270" i="13"/>
  <c r="O1270" i="13" s="1"/>
  <c r="N1284" i="13"/>
  <c r="O1284" i="13" s="1"/>
  <c r="N1287" i="13"/>
  <c r="O1287" i="13" s="1"/>
  <c r="N1295" i="13"/>
  <c r="O1295" i="13" s="1"/>
  <c r="N1308" i="13"/>
  <c r="O1308" i="13" s="1"/>
  <c r="N1310" i="13"/>
  <c r="O1310" i="13" s="1"/>
  <c r="N1322" i="13"/>
  <c r="O1322" i="13" s="1"/>
  <c r="N1328" i="13"/>
  <c r="O1328" i="13" s="1"/>
  <c r="N1332" i="13"/>
  <c r="O1332" i="13" s="1"/>
  <c r="N1334" i="13"/>
  <c r="O1334" i="13" s="1"/>
  <c r="N1352" i="13"/>
  <c r="O1352" i="13" s="1"/>
  <c r="N1356" i="13"/>
  <c r="N1361" i="13"/>
  <c r="O1361" i="13" s="1"/>
  <c r="N1391" i="13"/>
  <c r="O1391" i="13" s="1"/>
  <c r="N1392" i="13"/>
  <c r="O1392" i="13" s="1"/>
  <c r="N1398" i="13"/>
  <c r="O1398" i="13" s="1"/>
  <c r="N1400" i="13"/>
  <c r="O1400" i="13" s="1"/>
  <c r="N1408" i="13"/>
  <c r="O1408" i="13" s="1"/>
  <c r="N1422" i="13"/>
  <c r="O1422" i="13" s="1"/>
  <c r="N1437" i="13"/>
  <c r="O1437" i="13" s="1"/>
  <c r="N1438" i="13"/>
  <c r="O1438" i="13" s="1"/>
  <c r="N1445" i="13"/>
  <c r="O1445" i="13" s="1"/>
  <c r="N19" i="13"/>
  <c r="O19" i="13" s="1"/>
  <c r="N22" i="13"/>
  <c r="O22" i="13" s="1"/>
  <c r="N41" i="13"/>
  <c r="O41" i="13" s="1"/>
  <c r="N46" i="13"/>
  <c r="O46" i="13" s="1"/>
  <c r="N47" i="13"/>
  <c r="O47" i="13" s="1"/>
  <c r="N53" i="13"/>
  <c r="O53" i="13" s="1"/>
  <c r="N59" i="13"/>
  <c r="O59" i="13" s="1"/>
  <c r="N75" i="13"/>
  <c r="N101" i="13"/>
  <c r="O101" i="13" s="1"/>
  <c r="N111" i="13"/>
  <c r="O111" i="13" s="1"/>
  <c r="N122" i="13"/>
  <c r="O122" i="13" s="1"/>
  <c r="N134" i="13"/>
  <c r="O134" i="13" s="1"/>
  <c r="N150" i="13"/>
  <c r="O150" i="13" s="1"/>
  <c r="N154" i="13"/>
  <c r="O154" i="13" s="1"/>
  <c r="N172" i="13"/>
  <c r="O172" i="13" s="1"/>
  <c r="N179" i="13"/>
  <c r="N185" i="13"/>
  <c r="O185" i="13" s="1"/>
  <c r="N186" i="13"/>
  <c r="O186" i="13" s="1"/>
  <c r="N187" i="13"/>
  <c r="O187" i="13" s="1"/>
  <c r="N191" i="13"/>
  <c r="O191" i="13" s="1"/>
  <c r="N201" i="13"/>
  <c r="O201" i="13" s="1"/>
  <c r="N242" i="13"/>
  <c r="O242" i="13" s="1"/>
  <c r="N248" i="13"/>
  <c r="O248" i="13" s="1"/>
  <c r="N251" i="13"/>
  <c r="O251" i="13" s="1"/>
  <c r="N256" i="13"/>
  <c r="N260" i="13"/>
  <c r="O260" i="13" s="1"/>
  <c r="N278" i="13"/>
  <c r="O278" i="13" s="1"/>
  <c r="N279" i="13"/>
  <c r="O279" i="13" s="1"/>
  <c r="N293" i="13"/>
  <c r="O293" i="13" s="1"/>
  <c r="N296" i="13"/>
  <c r="O296" i="13" s="1"/>
  <c r="N299" i="13"/>
  <c r="O299" i="13" s="1"/>
  <c r="N301" i="13"/>
  <c r="N314" i="13"/>
  <c r="O314" i="13" s="1"/>
  <c r="N317" i="13"/>
  <c r="O317" i="13" s="1"/>
  <c r="N326" i="13"/>
  <c r="O326" i="13" s="1"/>
  <c r="N328" i="13"/>
  <c r="O328" i="13" s="1"/>
  <c r="N333" i="13"/>
  <c r="O333" i="13" s="1"/>
  <c r="N334" i="13"/>
  <c r="O334" i="13" s="1"/>
  <c r="N339" i="13"/>
  <c r="N349" i="13"/>
  <c r="N351" i="13"/>
  <c r="O351" i="13" s="1"/>
  <c r="N365" i="13"/>
  <c r="O365" i="13" s="1"/>
  <c r="N368" i="13"/>
  <c r="O368" i="13" s="1"/>
  <c r="N384" i="13"/>
  <c r="O384" i="13" s="1"/>
  <c r="N385" i="13"/>
  <c r="O385" i="13" s="1"/>
  <c r="N389" i="13"/>
  <c r="O389" i="13" s="1"/>
  <c r="N392" i="13"/>
  <c r="O392" i="13" s="1"/>
  <c r="N400" i="13"/>
  <c r="O400" i="13" s="1"/>
  <c r="N412" i="13"/>
  <c r="O412" i="13" s="1"/>
  <c r="N433" i="13"/>
  <c r="O433" i="13" s="1"/>
  <c r="N441" i="13"/>
  <c r="O441" i="13" s="1"/>
  <c r="N451" i="13"/>
  <c r="O451" i="13" s="1"/>
  <c r="N455" i="13"/>
  <c r="O455" i="13" s="1"/>
  <c r="N460" i="13"/>
  <c r="O460" i="13" s="1"/>
  <c r="N480" i="13"/>
  <c r="O480" i="13" s="1"/>
  <c r="N484" i="13"/>
  <c r="N489" i="13"/>
  <c r="O489" i="13" s="1"/>
  <c r="N498" i="13"/>
  <c r="O498" i="13" s="1"/>
  <c r="N508" i="13"/>
  <c r="O508" i="13" s="1"/>
  <c r="N512" i="13"/>
  <c r="O512" i="13" s="1"/>
  <c r="N531" i="13"/>
  <c r="O531" i="13" s="1"/>
  <c r="N533" i="13"/>
  <c r="N546" i="13"/>
  <c r="O546" i="13" s="1"/>
  <c r="N554" i="13"/>
  <c r="O554" i="13" s="1"/>
  <c r="N570" i="13"/>
  <c r="O570" i="13" s="1"/>
  <c r="N580" i="13"/>
  <c r="O580" i="13" s="1"/>
  <c r="N584" i="13"/>
  <c r="O584" i="13" s="1"/>
  <c r="N586" i="13"/>
  <c r="O586" i="13" s="1"/>
  <c r="N610" i="13"/>
  <c r="O610" i="13" s="1"/>
  <c r="N616" i="13"/>
  <c r="O616" i="13" s="1"/>
  <c r="N629" i="13"/>
  <c r="O629" i="13" s="1"/>
  <c r="N632" i="13"/>
  <c r="O632" i="13" s="1"/>
  <c r="N635" i="13"/>
  <c r="O635" i="13" s="1"/>
  <c r="N639" i="13"/>
  <c r="N649" i="13"/>
  <c r="O649" i="13" s="1"/>
  <c r="N661" i="13"/>
  <c r="N662" i="13"/>
  <c r="O662" i="13" s="1"/>
  <c r="N701" i="13"/>
  <c r="O701" i="13" s="1"/>
  <c r="N702" i="13"/>
  <c r="O702" i="13" s="1"/>
  <c r="N734" i="13"/>
  <c r="O734" i="13" s="1"/>
  <c r="N735" i="13"/>
  <c r="O735" i="13" s="1"/>
  <c r="N738" i="13"/>
  <c r="N740" i="13"/>
  <c r="O740" i="13" s="1"/>
  <c r="N747" i="13"/>
  <c r="O747" i="13" s="1"/>
  <c r="N751" i="13"/>
  <c r="O751" i="13" s="1"/>
  <c r="N754" i="13"/>
  <c r="O754" i="13" s="1"/>
  <c r="N761" i="13"/>
  <c r="O761" i="13" s="1"/>
  <c r="N798" i="13"/>
  <c r="O798" i="13" s="1"/>
  <c r="N799" i="13"/>
  <c r="O799" i="13" s="1"/>
  <c r="N808" i="13"/>
  <c r="O808" i="13" s="1"/>
  <c r="N809" i="13"/>
  <c r="O809" i="13" s="1"/>
  <c r="N810" i="13"/>
  <c r="O810" i="13" s="1"/>
  <c r="N826" i="13"/>
  <c r="O826" i="13" s="1"/>
  <c r="N834" i="13"/>
  <c r="O834" i="13" s="1"/>
  <c r="N835" i="13"/>
  <c r="O835" i="13" s="1"/>
  <c r="N837" i="13"/>
  <c r="O837" i="13" s="1"/>
  <c r="N847" i="13"/>
  <c r="O847" i="13" s="1"/>
  <c r="N848" i="13"/>
  <c r="O848" i="13" s="1"/>
  <c r="N852" i="13"/>
  <c r="O852" i="13" s="1"/>
  <c r="N864" i="13"/>
  <c r="O864" i="13" s="1"/>
  <c r="N876" i="13"/>
  <c r="O876" i="13" s="1"/>
  <c r="N889" i="13"/>
  <c r="O889" i="13" s="1"/>
  <c r="N894" i="13"/>
  <c r="O894" i="13" s="1"/>
  <c r="N913" i="13"/>
  <c r="O913" i="13" s="1"/>
  <c r="N917" i="13"/>
  <c r="O917" i="13" s="1"/>
  <c r="N919" i="13"/>
  <c r="O919" i="13" s="1"/>
  <c r="N935" i="13"/>
  <c r="O935" i="13" s="1"/>
  <c r="N941" i="13"/>
  <c r="O941" i="13" s="1"/>
  <c r="N946" i="13"/>
  <c r="O946" i="13" s="1"/>
  <c r="N967" i="13"/>
  <c r="O967" i="13" s="1"/>
  <c r="N980" i="13"/>
  <c r="O980" i="13" s="1"/>
  <c r="N981" i="13"/>
  <c r="O981" i="13" s="1"/>
  <c r="N984" i="13"/>
  <c r="O984" i="13" s="1"/>
  <c r="N986" i="13"/>
  <c r="O986" i="13" s="1"/>
  <c r="N992" i="13"/>
  <c r="O992" i="13" s="1"/>
  <c r="N994" i="13"/>
  <c r="O994" i="13" s="1"/>
  <c r="N1000" i="13"/>
  <c r="O1000" i="13" s="1"/>
  <c r="N1001" i="13"/>
  <c r="O1001" i="13" s="1"/>
  <c r="N1007" i="13"/>
  <c r="O1007" i="13" s="1"/>
  <c r="N1008" i="13"/>
  <c r="O1008" i="13" s="1"/>
  <c r="N1014" i="13"/>
  <c r="O1014" i="13" s="1"/>
  <c r="N1018" i="13"/>
  <c r="O1018" i="13" s="1"/>
  <c r="N1019" i="13"/>
  <c r="O1019" i="13" s="1"/>
  <c r="N1021" i="13"/>
  <c r="N1022" i="13"/>
  <c r="N1029" i="13"/>
  <c r="N1050" i="13"/>
  <c r="O1050" i="13" s="1"/>
  <c r="N1055" i="13"/>
  <c r="O1055" i="13" s="1"/>
  <c r="N1060" i="13"/>
  <c r="O1060" i="13" s="1"/>
  <c r="N1064" i="13"/>
  <c r="O1064" i="13" s="1"/>
  <c r="N1073" i="13"/>
  <c r="O1073" i="13" s="1"/>
  <c r="N1074" i="13"/>
  <c r="O1074" i="13" s="1"/>
  <c r="N1093" i="13"/>
  <c r="O1093" i="13" s="1"/>
  <c r="N1099" i="13"/>
  <c r="O1099" i="13" s="1"/>
  <c r="N1101" i="13"/>
  <c r="O1101" i="13" s="1"/>
  <c r="N1102" i="13"/>
  <c r="O1102" i="13" s="1"/>
  <c r="N1103" i="13"/>
  <c r="O1103" i="13" s="1"/>
  <c r="N1153" i="13"/>
  <c r="O1153" i="13" s="1"/>
  <c r="N1152" i="13"/>
  <c r="N1174" i="13"/>
  <c r="N1177" i="13"/>
  <c r="N1187" i="13"/>
  <c r="O1187" i="13" s="1"/>
  <c r="N1189" i="13"/>
  <c r="O1189" i="13" s="1"/>
  <c r="N1208" i="13"/>
  <c r="O1208" i="13" s="1"/>
  <c r="N1209" i="13"/>
  <c r="O1209" i="13" s="1"/>
  <c r="N1210" i="13"/>
  <c r="O1210" i="13" s="1"/>
  <c r="N1216" i="13"/>
  <c r="O1216" i="13" s="1"/>
  <c r="N1220" i="13"/>
  <c r="O1220" i="13" s="1"/>
  <c r="N1234" i="13"/>
  <c r="O1234" i="13" s="1"/>
  <c r="N1247" i="13"/>
  <c r="O1247" i="13" s="1"/>
  <c r="N1252" i="13"/>
  <c r="O1252" i="13" s="1"/>
  <c r="N1258" i="13"/>
  <c r="O1258" i="13" s="1"/>
  <c r="N1282" i="13"/>
  <c r="O1282" i="13" s="1"/>
  <c r="N1283" i="13"/>
  <c r="O1283" i="13" s="1"/>
  <c r="N1302" i="13"/>
  <c r="O1302" i="13" s="1"/>
  <c r="N1330" i="13"/>
  <c r="O1330" i="13" s="1"/>
  <c r="N1336" i="13"/>
  <c r="N1338" i="13"/>
  <c r="O1338" i="13" s="1"/>
  <c r="N1339" i="13"/>
  <c r="O1339" i="13" s="1"/>
  <c r="N1353" i="13"/>
  <c r="O1353" i="13" s="1"/>
  <c r="N1377" i="13"/>
  <c r="O1377" i="13" s="1"/>
  <c r="N1381" i="13"/>
  <c r="O1381" i="13" s="1"/>
  <c r="N1382" i="13"/>
  <c r="O1382" i="13" s="1"/>
  <c r="N1384" i="13"/>
  <c r="O1384" i="13" s="1"/>
  <c r="N1396" i="13"/>
  <c r="O1396" i="13" s="1"/>
  <c r="N1401" i="13"/>
  <c r="O1401" i="13" s="1"/>
  <c r="N1406" i="13"/>
  <c r="O1406" i="13" s="1"/>
  <c r="N1413" i="13"/>
  <c r="O1413" i="13" s="1"/>
  <c r="N1417" i="13"/>
  <c r="O1417" i="13" s="1"/>
  <c r="N1423" i="13"/>
  <c r="O1423" i="13" s="1"/>
  <c r="N1426" i="13"/>
  <c r="O1426" i="13" s="1"/>
  <c r="N1447" i="13"/>
  <c r="O1447" i="13" s="1"/>
  <c r="N2" i="13"/>
  <c r="O2" i="13" s="1"/>
  <c r="N5" i="13"/>
  <c r="O5" i="13" s="1"/>
  <c r="N8" i="13"/>
  <c r="O8" i="13" s="1"/>
  <c r="N10" i="13"/>
  <c r="O10" i="13" s="1"/>
  <c r="N25" i="13"/>
  <c r="O25" i="13" s="1"/>
  <c r="N62" i="13"/>
  <c r="O62" i="13" s="1"/>
  <c r="N72" i="13"/>
  <c r="O72" i="13" s="1"/>
  <c r="N76" i="13"/>
  <c r="N81" i="13"/>
  <c r="O81" i="13" s="1"/>
  <c r="N82" i="13"/>
  <c r="O82" i="13" s="1"/>
  <c r="N85" i="13"/>
  <c r="O85" i="13" s="1"/>
  <c r="N112" i="13"/>
  <c r="O112" i="13" s="1"/>
  <c r="N113" i="13"/>
  <c r="O113" i="13" s="1"/>
  <c r="N115" i="13"/>
  <c r="N121" i="13"/>
  <c r="O121" i="13" s="1"/>
  <c r="N129" i="13"/>
  <c r="O129" i="13" s="1"/>
  <c r="N130" i="13"/>
  <c r="O130" i="13" s="1"/>
  <c r="N137" i="13"/>
  <c r="O137" i="13" s="1"/>
  <c r="N144" i="13"/>
  <c r="O144" i="13" s="1"/>
  <c r="N171" i="13"/>
  <c r="O171" i="13" s="1"/>
  <c r="N174" i="13"/>
  <c r="O174" i="13" s="1"/>
  <c r="N175" i="13"/>
  <c r="O175" i="13" s="1"/>
  <c r="N182" i="13"/>
  <c r="O182" i="13" s="1"/>
  <c r="N204" i="13"/>
  <c r="O204" i="13" s="1"/>
  <c r="N214" i="13"/>
  <c r="O214" i="13" s="1"/>
  <c r="N227" i="13"/>
  <c r="O227" i="13" s="1"/>
  <c r="N257" i="13"/>
  <c r="N259" i="13"/>
  <c r="O259" i="13" s="1"/>
  <c r="N270" i="13"/>
  <c r="O270" i="13" s="1"/>
  <c r="N281" i="13"/>
  <c r="N289" i="13"/>
  <c r="O289" i="13" s="1"/>
  <c r="N307" i="13"/>
  <c r="O307" i="13" s="1"/>
  <c r="N308" i="13"/>
  <c r="O308" i="13" s="1"/>
  <c r="N315" i="13"/>
  <c r="O315" i="13" s="1"/>
  <c r="N316" i="13"/>
  <c r="O316" i="13" s="1"/>
  <c r="N318" i="13"/>
  <c r="O318" i="13" s="1"/>
  <c r="N362" i="13"/>
  <c r="O362" i="13" s="1"/>
  <c r="N388" i="13"/>
  <c r="O388" i="13" s="1"/>
  <c r="N391" i="13"/>
  <c r="O391" i="13" s="1"/>
  <c r="N393" i="13"/>
  <c r="O393" i="13" s="1"/>
  <c r="N420" i="13"/>
  <c r="O420" i="13" s="1"/>
  <c r="N421" i="13"/>
  <c r="O421" i="13" s="1"/>
  <c r="N453" i="13"/>
  <c r="O453" i="13" s="1"/>
  <c r="N454" i="13"/>
  <c r="O454" i="13" s="1"/>
  <c r="N465" i="13"/>
  <c r="O465" i="13" s="1"/>
  <c r="N466" i="13"/>
  <c r="O466" i="13" s="1"/>
  <c r="N481" i="13"/>
  <c r="O481" i="13" s="1"/>
  <c r="N485" i="13"/>
  <c r="O485" i="13" s="1"/>
  <c r="N491" i="13"/>
  <c r="O491" i="13" s="1"/>
  <c r="N492" i="13"/>
  <c r="O492" i="13" s="1"/>
  <c r="N499" i="13"/>
  <c r="O499" i="13" s="1"/>
  <c r="N520" i="13"/>
  <c r="O520" i="13" s="1"/>
  <c r="N523" i="13"/>
  <c r="O523" i="13" s="1"/>
  <c r="N547" i="13"/>
  <c r="O547" i="13" s="1"/>
  <c r="N549" i="13"/>
  <c r="O549" i="13" s="1"/>
  <c r="N551" i="13"/>
  <c r="O551" i="13" s="1"/>
  <c r="N555" i="13"/>
  <c r="O555" i="13" s="1"/>
  <c r="N561" i="13"/>
  <c r="O561" i="13" s="1"/>
  <c r="N571" i="13"/>
  <c r="O571" i="13" s="1"/>
  <c r="N579" i="13"/>
  <c r="O579" i="13" s="1"/>
  <c r="N582" i="13"/>
  <c r="O582" i="13" s="1"/>
  <c r="N593" i="13"/>
  <c r="O593" i="13" s="1"/>
  <c r="N594" i="13"/>
  <c r="O594" i="13" s="1"/>
  <c r="N599" i="13"/>
  <c r="O599" i="13" s="1"/>
  <c r="N603" i="13"/>
  <c r="O603" i="13" s="1"/>
  <c r="N605" i="13"/>
  <c r="O605" i="13" s="1"/>
  <c r="N607" i="13"/>
  <c r="O607" i="13" s="1"/>
  <c r="N612" i="13"/>
  <c r="O612" i="13" s="1"/>
  <c r="N614" i="13"/>
  <c r="O614" i="13" s="1"/>
  <c r="N618" i="13"/>
  <c r="O618" i="13" s="1"/>
  <c r="N622" i="13"/>
  <c r="O622" i="13" s="1"/>
  <c r="N633" i="13"/>
  <c r="O633" i="13" s="1"/>
  <c r="N655" i="13"/>
  <c r="O655" i="13" s="1"/>
  <c r="N658" i="13"/>
  <c r="O658" i="13" s="1"/>
  <c r="N666" i="13"/>
  <c r="O666" i="13" s="1"/>
  <c r="N668" i="13"/>
  <c r="O668" i="13" s="1"/>
  <c r="N683" i="13"/>
  <c r="O683" i="13" s="1"/>
  <c r="N691" i="13"/>
  <c r="O691" i="13" s="1"/>
  <c r="N692" i="13"/>
  <c r="O692" i="13" s="1"/>
  <c r="N713" i="13"/>
  <c r="O713" i="13" s="1"/>
  <c r="N714" i="13"/>
  <c r="O714" i="13" s="1"/>
  <c r="N715" i="13"/>
  <c r="O715" i="13" s="1"/>
  <c r="N750" i="13"/>
  <c r="O750" i="13" s="1"/>
  <c r="N752" i="13"/>
  <c r="O752" i="13" s="1"/>
  <c r="N762" i="13"/>
  <c r="O762" i="13" s="1"/>
  <c r="N769" i="13"/>
  <c r="O769" i="13" s="1"/>
  <c r="N776" i="13"/>
  <c r="O776" i="13" s="1"/>
  <c r="N777" i="13"/>
  <c r="O777" i="13" s="1"/>
  <c r="N780" i="13"/>
  <c r="O780" i="13" s="1"/>
  <c r="N790" i="13"/>
  <c r="O790" i="13" s="1"/>
  <c r="N800" i="13"/>
  <c r="O800" i="13" s="1"/>
  <c r="N817" i="13"/>
  <c r="O817" i="13" s="1"/>
  <c r="N824" i="13"/>
  <c r="O824" i="13" s="1"/>
  <c r="N838" i="13"/>
  <c r="O838" i="13" s="1"/>
  <c r="N853" i="13"/>
  <c r="N854" i="13"/>
  <c r="N860" i="13"/>
  <c r="N878" i="13"/>
  <c r="O878" i="13" s="1"/>
  <c r="N899" i="13"/>
  <c r="O899" i="13" s="1"/>
  <c r="N903" i="13"/>
  <c r="O903" i="13" s="1"/>
  <c r="N915" i="13"/>
  <c r="O915" i="13" s="1"/>
  <c r="N924" i="13"/>
  <c r="O924" i="13" s="1"/>
  <c r="N931" i="13"/>
  <c r="O931" i="13" s="1"/>
  <c r="N936" i="13"/>
  <c r="O936" i="13" s="1"/>
  <c r="N940" i="13"/>
  <c r="O940" i="13" s="1"/>
  <c r="N947" i="13"/>
  <c r="N952" i="13"/>
  <c r="O952" i="13" s="1"/>
  <c r="N953" i="13"/>
  <c r="O953" i="13" s="1"/>
  <c r="N982" i="13"/>
  <c r="O982" i="13" s="1"/>
  <c r="N999" i="13"/>
  <c r="O999" i="13" s="1"/>
  <c r="N1005" i="13"/>
  <c r="O1005" i="13" s="1"/>
  <c r="N1006" i="13"/>
  <c r="O1006" i="13" s="1"/>
  <c r="N1015" i="13"/>
  <c r="O1015" i="13" s="1"/>
  <c r="N1016" i="13"/>
  <c r="O1016" i="13" s="1"/>
  <c r="N1026" i="13"/>
  <c r="O1026" i="13" s="1"/>
  <c r="N1042" i="13"/>
  <c r="O1042" i="13" s="1"/>
  <c r="N1046" i="13"/>
  <c r="O1046" i="13" s="1"/>
  <c r="N1054" i="13"/>
  <c r="O1054" i="13" s="1"/>
  <c r="N1057" i="13"/>
  <c r="O1057" i="13" s="1"/>
  <c r="N1065" i="13"/>
  <c r="O1065" i="13" s="1"/>
  <c r="N1068" i="13"/>
  <c r="N1072" i="13"/>
  <c r="O1072" i="13" s="1"/>
  <c r="N1076" i="13"/>
  <c r="O1076" i="13" s="1"/>
  <c r="N1082" i="13"/>
  <c r="O1082" i="13" s="1"/>
  <c r="N1085" i="13"/>
  <c r="O1085" i="13" s="1"/>
  <c r="N1091" i="13"/>
  <c r="O1091" i="13" s="1"/>
  <c r="N1113" i="13"/>
  <c r="O1113" i="13" s="1"/>
  <c r="N1118" i="13"/>
  <c r="O1118" i="13" s="1"/>
  <c r="N1119" i="13"/>
  <c r="O1119" i="13" s="1"/>
  <c r="N1120" i="13"/>
  <c r="O1120" i="13" s="1"/>
  <c r="N1128" i="13"/>
  <c r="O1128" i="13" s="1"/>
  <c r="N1129" i="13"/>
  <c r="O1129" i="13" s="1"/>
  <c r="N1133" i="13"/>
  <c r="O1133" i="13" s="1"/>
  <c r="N1137" i="13"/>
  <c r="O1137" i="13" s="1"/>
  <c r="N1147" i="13"/>
  <c r="N1184" i="13"/>
  <c r="O1184" i="13" s="1"/>
  <c r="N1191" i="13"/>
  <c r="O1191" i="13" s="1"/>
  <c r="N1212" i="13"/>
  <c r="O1212" i="13" s="1"/>
  <c r="N1213" i="13"/>
  <c r="O1213" i="13" s="1"/>
  <c r="N1223" i="13"/>
  <c r="N1225" i="13"/>
  <c r="O1225" i="13" s="1"/>
  <c r="N1232" i="13"/>
  <c r="O1232" i="13" s="1"/>
  <c r="N1237" i="13"/>
  <c r="N1245" i="13"/>
  <c r="O1245" i="13" s="1"/>
  <c r="N1261" i="13"/>
  <c r="O1261" i="13" s="1"/>
  <c r="N1274" i="13"/>
  <c r="O1274" i="13" s="1"/>
  <c r="N1281" i="13"/>
  <c r="O1281" i="13" s="1"/>
  <c r="N1293" i="13"/>
  <c r="O1293" i="13" s="1"/>
  <c r="N1311" i="13"/>
  <c r="O1311" i="13" s="1"/>
  <c r="N1318" i="13"/>
  <c r="O1318" i="13" s="1"/>
  <c r="N1350" i="13"/>
  <c r="O1350" i="13" s="1"/>
  <c r="N1354" i="13"/>
  <c r="O1354" i="13" s="1"/>
  <c r="N1358" i="13"/>
  <c r="O1358" i="13" s="1"/>
  <c r="N1366" i="13"/>
  <c r="O1366" i="13" s="1"/>
  <c r="N1375" i="13"/>
  <c r="O1375" i="13" s="1"/>
  <c r="N1404" i="13"/>
  <c r="O1404" i="13" s="1"/>
  <c r="N1407" i="13"/>
  <c r="O1407" i="13" s="1"/>
  <c r="N1414" i="13"/>
  <c r="O1414" i="13" s="1"/>
  <c r="N1418" i="13"/>
  <c r="O1418" i="13" s="1"/>
  <c r="N1430" i="13"/>
  <c r="O1430" i="13" s="1"/>
  <c r="N1436" i="13"/>
  <c r="O1436" i="13" s="1"/>
  <c r="N1440" i="13"/>
  <c r="O1440" i="13" s="1"/>
  <c r="N4" i="13"/>
  <c r="O4" i="13" s="1"/>
  <c r="N20" i="13"/>
  <c r="O20" i="13" s="1"/>
  <c r="N23" i="13"/>
  <c r="O23" i="13" s="1"/>
  <c r="N24" i="13"/>
  <c r="O24" i="13" s="1"/>
  <c r="N34" i="13"/>
  <c r="N61" i="13"/>
  <c r="O61" i="13" s="1"/>
  <c r="N74" i="13"/>
  <c r="O74" i="13" s="1"/>
  <c r="N155" i="13"/>
  <c r="O155" i="13" s="1"/>
  <c r="N156" i="13"/>
  <c r="O156" i="13" s="1"/>
  <c r="N161" i="13"/>
  <c r="O161" i="13" s="1"/>
  <c r="N195" i="13"/>
  <c r="O195" i="13" s="1"/>
  <c r="N196" i="13"/>
  <c r="O196" i="13" s="1"/>
  <c r="N284" i="13"/>
  <c r="O284" i="13" s="1"/>
  <c r="N297" i="13"/>
  <c r="O297" i="13" s="1"/>
  <c r="N306" i="13"/>
  <c r="O306" i="13" s="1"/>
  <c r="N313" i="13"/>
  <c r="O313" i="13" s="1"/>
  <c r="N340" i="13"/>
  <c r="N369" i="13"/>
  <c r="O369" i="13" s="1"/>
  <c r="N390" i="13"/>
  <c r="O390" i="13" s="1"/>
  <c r="N402" i="13"/>
  <c r="O402" i="13" s="1"/>
  <c r="N407" i="13"/>
  <c r="O407" i="13" s="1"/>
  <c r="N429" i="13"/>
  <c r="O429" i="13" s="1"/>
  <c r="N488" i="13"/>
  <c r="O488" i="13" s="1"/>
  <c r="N505" i="13"/>
  <c r="O505" i="13" s="1"/>
  <c r="N513" i="13"/>
  <c r="O513" i="13" s="1"/>
  <c r="N526" i="13"/>
  <c r="O526" i="13" s="1"/>
  <c r="N587" i="13"/>
  <c r="O587" i="13" s="1"/>
  <c r="N597" i="13"/>
  <c r="O597" i="13" s="1"/>
  <c r="N679" i="13"/>
  <c r="O679" i="13" s="1"/>
  <c r="N684" i="13"/>
  <c r="O684" i="13" s="1"/>
  <c r="N685" i="13"/>
  <c r="O685" i="13" s="1"/>
  <c r="N686" i="13"/>
  <c r="O686" i="13" s="1"/>
  <c r="N720" i="13"/>
  <c r="N733" i="13"/>
  <c r="O733" i="13" s="1"/>
  <c r="N744" i="13"/>
  <c r="N756" i="13"/>
  <c r="N775" i="13"/>
  <c r="O775" i="13" s="1"/>
  <c r="N829" i="13"/>
  <c r="O829" i="13" s="1"/>
  <c r="N868" i="13"/>
  <c r="O868" i="13" s="1"/>
  <c r="N893" i="13"/>
  <c r="O893" i="13" s="1"/>
  <c r="N909" i="13"/>
  <c r="O909" i="13" s="1"/>
  <c r="N910" i="13"/>
  <c r="O910" i="13" s="1"/>
  <c r="N943" i="13"/>
  <c r="O943" i="13" s="1"/>
  <c r="N954" i="13"/>
  <c r="O954" i="13" s="1"/>
  <c r="N997" i="13"/>
  <c r="O997" i="13" s="1"/>
  <c r="N1059" i="13"/>
  <c r="O1059" i="13" s="1"/>
  <c r="N1075" i="13"/>
  <c r="O1075" i="13" s="1"/>
  <c r="N1081" i="13"/>
  <c r="O1081" i="13" s="1"/>
  <c r="N1092" i="13"/>
  <c r="O1092" i="13" s="1"/>
  <c r="N1095" i="13"/>
  <c r="O1095" i="13" s="1"/>
  <c r="N1097" i="13"/>
  <c r="O1097" i="13" s="1"/>
  <c r="N1098" i="13"/>
  <c r="O1098" i="13" s="1"/>
  <c r="N1105" i="13"/>
  <c r="O1105" i="13" s="1"/>
  <c r="N1117" i="13"/>
  <c r="O1117" i="13" s="1"/>
  <c r="N1123" i="13"/>
  <c r="O1123" i="13" s="1"/>
  <c r="N1125" i="13"/>
  <c r="O1125" i="13" s="1"/>
  <c r="N1126" i="13"/>
  <c r="O1126" i="13" s="1"/>
  <c r="N1134" i="13"/>
  <c r="O1134" i="13" s="1"/>
  <c r="N1175" i="13"/>
  <c r="N1193" i="13"/>
  <c r="O1193" i="13" s="1"/>
  <c r="N1201" i="13"/>
  <c r="O1201" i="13" s="1"/>
  <c r="N1226" i="13"/>
  <c r="O1226" i="13" s="1"/>
  <c r="N1249" i="13"/>
  <c r="O1249" i="13" s="1"/>
  <c r="N1279" i="13"/>
  <c r="O1279" i="13" s="1"/>
  <c r="N1306" i="13"/>
  <c r="O1306" i="13" s="1"/>
  <c r="N1315" i="13"/>
  <c r="O1315" i="13" s="1"/>
  <c r="N1343" i="13"/>
  <c r="O1343" i="13" s="1"/>
  <c r="N1345" i="13"/>
  <c r="O1345" i="13" s="1"/>
  <c r="N1355" i="13"/>
  <c r="O1355" i="13" s="1"/>
  <c r="N1359" i="13"/>
  <c r="O1359" i="13" s="1"/>
  <c r="N1364" i="13"/>
  <c r="O1364" i="13" s="1"/>
  <c r="N1374" i="13"/>
  <c r="O1374" i="13" s="1"/>
  <c r="N1383" i="13"/>
  <c r="O1383" i="13" s="1"/>
  <c r="N1390" i="13"/>
  <c r="O1390" i="13" s="1"/>
  <c r="N1415" i="13"/>
  <c r="O1415" i="13" s="1"/>
  <c r="N1443" i="13"/>
  <c r="O1443" i="13" s="1"/>
  <c r="N1446" i="13"/>
  <c r="O1446" i="13" s="1"/>
  <c r="N12" i="13"/>
  <c r="O12" i="13" s="1"/>
  <c r="N15" i="13"/>
  <c r="O15" i="13" s="1"/>
  <c r="N28" i="13"/>
  <c r="O28" i="13" s="1"/>
  <c r="N42" i="13"/>
  <c r="O42" i="13" s="1"/>
  <c r="N64" i="13"/>
  <c r="O64" i="13" s="1"/>
  <c r="N70" i="13"/>
  <c r="O70" i="13" s="1"/>
  <c r="N89" i="13"/>
  <c r="O89" i="13" s="1"/>
  <c r="N91" i="13"/>
  <c r="N93" i="13"/>
  <c r="O93" i="13" s="1"/>
  <c r="N97" i="13"/>
  <c r="O97" i="13" s="1"/>
  <c r="N152" i="13"/>
  <c r="O152" i="13" s="1"/>
  <c r="N183" i="13"/>
  <c r="O183" i="13" s="1"/>
  <c r="N213" i="13"/>
  <c r="O213" i="13" s="1"/>
  <c r="N228" i="13"/>
  <c r="O228" i="13" s="1"/>
  <c r="N231" i="13"/>
  <c r="O231" i="13" s="1"/>
  <c r="N240" i="13"/>
  <c r="O240" i="13" s="1"/>
  <c r="N258" i="13"/>
  <c r="O258" i="13" s="1"/>
  <c r="N262" i="13"/>
  <c r="O262" i="13" s="1"/>
  <c r="N265" i="13"/>
  <c r="O265" i="13" s="1"/>
  <c r="N298" i="13"/>
  <c r="O298" i="13" s="1"/>
  <c r="N302" i="13"/>
  <c r="N321" i="13"/>
  <c r="O321" i="13" s="1"/>
  <c r="N327" i="13"/>
  <c r="O327" i="13" s="1"/>
  <c r="N336" i="13"/>
  <c r="O336" i="13" s="1"/>
  <c r="N350" i="13"/>
  <c r="N381" i="13"/>
  <c r="O381" i="13" s="1"/>
  <c r="N394" i="13"/>
  <c r="O394" i="13" s="1"/>
  <c r="N399" i="13"/>
  <c r="O399" i="13" s="1"/>
  <c r="N426" i="13"/>
  <c r="N434" i="13"/>
  <c r="O434" i="13" s="1"/>
  <c r="N437" i="13"/>
  <c r="O437" i="13" s="1"/>
  <c r="N443" i="13"/>
  <c r="O443" i="13" s="1"/>
  <c r="N452" i="13"/>
  <c r="O452" i="13" s="1"/>
  <c r="N467" i="13"/>
  <c r="O467" i="13" s="1"/>
  <c r="N471" i="13"/>
  <c r="O471" i="13" s="1"/>
  <c r="N476" i="13"/>
  <c r="O476" i="13" s="1"/>
  <c r="N506" i="13"/>
  <c r="O506" i="13" s="1"/>
  <c r="N517" i="13"/>
  <c r="O517" i="13" s="1"/>
  <c r="N527" i="13"/>
  <c r="O527" i="13" s="1"/>
  <c r="N528" i="13"/>
  <c r="O528" i="13" s="1"/>
  <c r="N536" i="13"/>
  <c r="O536" i="13" s="1"/>
  <c r="N541" i="13"/>
  <c r="O541" i="13" s="1"/>
  <c r="N567" i="13"/>
  <c r="O567" i="13" s="1"/>
  <c r="N601" i="13"/>
  <c r="O601" i="13" s="1"/>
  <c r="N611" i="13"/>
  <c r="O611" i="13" s="1"/>
  <c r="N613" i="13"/>
  <c r="O613" i="13" s="1"/>
  <c r="N621" i="13"/>
  <c r="O621" i="13" s="1"/>
  <c r="N644" i="13"/>
  <c r="O644" i="13" s="1"/>
  <c r="N654" i="13"/>
  <c r="O654" i="13" s="1"/>
  <c r="N672" i="13"/>
  <c r="O672" i="13" s="1"/>
  <c r="N676" i="13"/>
  <c r="O676" i="13" s="1"/>
  <c r="N682" i="13"/>
  <c r="O682" i="13" s="1"/>
  <c r="N687" i="13"/>
  <c r="O687" i="13" s="1"/>
  <c r="N690" i="13"/>
  <c r="O690" i="13" s="1"/>
  <c r="N696" i="13"/>
  <c r="O696" i="13" s="1"/>
  <c r="N699" i="13"/>
  <c r="O699" i="13" s="1"/>
  <c r="N705" i="13"/>
  <c r="N706" i="13"/>
  <c r="N709" i="13"/>
  <c r="O709" i="13" s="1"/>
  <c r="N730" i="13"/>
  <c r="O730" i="13" s="1"/>
  <c r="N757" i="13"/>
  <c r="O757" i="13" s="1"/>
  <c r="N770" i="13"/>
  <c r="O770" i="13" s="1"/>
  <c r="N794" i="13"/>
  <c r="O794" i="13" s="1"/>
  <c r="N804" i="13"/>
  <c r="O804" i="13" s="1"/>
  <c r="N807" i="13"/>
  <c r="O807" i="13" s="1"/>
  <c r="N828" i="13"/>
  <c r="O828" i="13" s="1"/>
  <c r="N859" i="13"/>
  <c r="O859" i="13" s="1"/>
  <c r="N874" i="13"/>
  <c r="O874" i="13" s="1"/>
  <c r="N907" i="13"/>
  <c r="O907" i="13" s="1"/>
  <c r="N977" i="13"/>
  <c r="O977" i="13" s="1"/>
  <c r="N990" i="13"/>
  <c r="O990" i="13" s="1"/>
  <c r="N991" i="13"/>
  <c r="O991" i="13" s="1"/>
  <c r="N1002" i="13"/>
  <c r="O1002" i="13" s="1"/>
  <c r="N1003" i="13"/>
  <c r="O1003" i="13" s="1"/>
  <c r="N1020" i="13"/>
  <c r="O1020" i="13" s="1"/>
  <c r="N1031" i="13"/>
  <c r="O1031" i="13" s="1"/>
  <c r="N1035" i="13"/>
  <c r="O1035" i="13" s="1"/>
  <c r="N1037" i="13"/>
  <c r="O1037" i="13" s="1"/>
  <c r="N1067" i="13"/>
  <c r="O1067" i="13" s="1"/>
  <c r="N1070" i="13"/>
  <c r="O1070" i="13" s="1"/>
  <c r="N1104" i="13"/>
  <c r="O1104" i="13" s="1"/>
  <c r="N1110" i="13"/>
  <c r="O1110" i="13" s="1"/>
  <c r="N1111" i="13"/>
  <c r="O1111" i="13" s="1"/>
  <c r="N1114" i="13"/>
  <c r="O1114" i="13" s="1"/>
  <c r="N1127" i="13"/>
  <c r="O1127" i="13" s="1"/>
  <c r="N1143" i="13"/>
  <c r="O1143" i="13" s="1"/>
  <c r="N1159" i="13"/>
  <c r="O1159" i="13" s="1"/>
  <c r="N1166" i="13"/>
  <c r="O1166" i="13" s="1"/>
  <c r="N1173" i="13"/>
  <c r="O1173" i="13" s="1"/>
  <c r="N1183" i="13"/>
  <c r="O1183" i="13" s="1"/>
  <c r="N1185" i="13"/>
  <c r="O1185" i="13" s="1"/>
  <c r="N1186" i="13"/>
  <c r="O1186" i="13" s="1"/>
  <c r="N1221" i="13"/>
  <c r="O1221" i="13" s="1"/>
  <c r="N1230" i="13"/>
  <c r="O1230" i="13" s="1"/>
  <c r="N1233" i="13"/>
  <c r="O1233" i="13" s="1"/>
  <c r="N1251" i="13"/>
  <c r="O1251" i="13" s="1"/>
  <c r="N1272" i="13"/>
  <c r="O1272" i="13" s="1"/>
  <c r="N1280" i="13"/>
  <c r="O1280" i="13" s="1"/>
  <c r="N1286" i="13"/>
  <c r="O1286" i="13" s="1"/>
  <c r="N1298" i="13"/>
  <c r="O1298" i="13" s="1"/>
  <c r="N1313" i="13"/>
  <c r="N1321" i="13"/>
  <c r="O1321" i="13" s="1"/>
  <c r="N1323" i="13"/>
  <c r="O1323" i="13" s="1"/>
  <c r="N1327" i="13"/>
  <c r="O1327" i="13" s="1"/>
  <c r="N1349" i="13"/>
  <c r="O1349" i="13" s="1"/>
  <c r="N1409" i="13"/>
  <c r="O1409" i="13" s="1"/>
  <c r="N1416" i="13"/>
  <c r="O1416" i="13" s="1"/>
  <c r="N1424" i="13"/>
  <c r="O1424" i="13" s="1"/>
  <c r="N1428" i="13"/>
  <c r="O1428" i="13" s="1"/>
  <c r="N16" i="13"/>
  <c r="O16" i="13" s="1"/>
  <c r="N17" i="13"/>
  <c r="O17" i="13" s="1"/>
  <c r="N27" i="13"/>
  <c r="O27" i="13" s="1"/>
  <c r="N35" i="13"/>
  <c r="N69" i="13"/>
  <c r="O69" i="13" s="1"/>
  <c r="N86" i="13"/>
  <c r="O86" i="13" s="1"/>
  <c r="N88" i="13"/>
  <c r="O88" i="13" s="1"/>
  <c r="N99" i="13"/>
  <c r="O99" i="13" s="1"/>
  <c r="N107" i="13"/>
  <c r="O107" i="13" s="1"/>
  <c r="N106" i="13"/>
  <c r="O106" i="13" s="1"/>
  <c r="N125" i="13"/>
  <c r="N131" i="13"/>
  <c r="O131" i="13" s="1"/>
  <c r="N132" i="13"/>
  <c r="O132" i="13" s="1"/>
  <c r="N135" i="13"/>
  <c r="O135" i="13" s="1"/>
  <c r="N158" i="13"/>
  <c r="O158" i="13" s="1"/>
  <c r="N160" i="13"/>
  <c r="O160" i="13" s="1"/>
  <c r="N164" i="13"/>
  <c r="O164" i="13" s="1"/>
  <c r="N165" i="13"/>
  <c r="O165" i="13" s="1"/>
  <c r="N177" i="13"/>
  <c r="O177" i="13" s="1"/>
  <c r="N180" i="13"/>
  <c r="O180" i="13" s="1"/>
  <c r="N192" i="13"/>
  <c r="O192" i="13" s="1"/>
  <c r="N203" i="13"/>
  <c r="O203" i="13" s="1"/>
  <c r="N207" i="13"/>
  <c r="O207" i="13" s="1"/>
  <c r="N212" i="13"/>
  <c r="O212" i="13" s="1"/>
  <c r="N221" i="13"/>
  <c r="O221" i="13" s="1"/>
  <c r="N223" i="13"/>
  <c r="O223" i="13" s="1"/>
  <c r="N225" i="13"/>
  <c r="O225" i="13" s="1"/>
  <c r="N230" i="13"/>
  <c r="O230" i="13" s="1"/>
  <c r="N232" i="13"/>
  <c r="O232" i="13" s="1"/>
  <c r="N235" i="13"/>
  <c r="O235" i="13" s="1"/>
  <c r="N239" i="13"/>
  <c r="N241" i="13"/>
  <c r="O241" i="13" s="1"/>
  <c r="N246" i="13"/>
  <c r="O246" i="13" s="1"/>
  <c r="N247" i="13"/>
  <c r="O247" i="13" s="1"/>
  <c r="N252" i="13"/>
  <c r="O252" i="13" s="1"/>
  <c r="N253" i="13"/>
  <c r="O253" i="13" s="1"/>
  <c r="N261" i="13"/>
  <c r="O261" i="13" s="1"/>
  <c r="N269" i="13"/>
  <c r="O269" i="13" s="1"/>
  <c r="N271" i="13"/>
  <c r="O271" i="13" s="1"/>
  <c r="N273" i="13"/>
  <c r="O273" i="13" s="1"/>
  <c r="N283" i="13"/>
  <c r="O283" i="13" s="1"/>
  <c r="N285" i="13"/>
  <c r="O285" i="13" s="1"/>
  <c r="N288" i="13"/>
  <c r="O288" i="13" s="1"/>
  <c r="N300" i="13"/>
  <c r="O300" i="13" s="1"/>
  <c r="N305" i="13"/>
  <c r="O305" i="13" s="1"/>
  <c r="N309" i="13"/>
  <c r="O309" i="13" s="1"/>
  <c r="N319" i="13"/>
  <c r="O319" i="13" s="1"/>
  <c r="N320" i="13"/>
  <c r="O320" i="13" s="1"/>
  <c r="N322" i="13"/>
  <c r="O322" i="13" s="1"/>
  <c r="N329" i="13"/>
  <c r="O329" i="13" s="1"/>
  <c r="N357" i="13"/>
  <c r="O357" i="13" s="1"/>
  <c r="N373" i="13"/>
  <c r="O373" i="13" s="1"/>
  <c r="N374" i="13"/>
  <c r="O374" i="13" s="1"/>
  <c r="N383" i="13"/>
  <c r="O383" i="13" s="1"/>
  <c r="N406" i="13"/>
  <c r="O406" i="13" s="1"/>
  <c r="N410" i="13"/>
  <c r="O410" i="13" s="1"/>
  <c r="N413" i="13"/>
  <c r="O413" i="13" s="1"/>
  <c r="N430" i="13"/>
  <c r="O430" i="13" s="1"/>
  <c r="N432" i="13"/>
  <c r="O432" i="13" s="1"/>
  <c r="N446" i="13"/>
  <c r="O446" i="13" s="1"/>
  <c r="N450" i="13"/>
  <c r="O450" i="13" s="1"/>
  <c r="N457" i="13"/>
  <c r="O457" i="13" s="1"/>
  <c r="N470" i="13"/>
  <c r="O470" i="13" s="1"/>
  <c r="N472" i="13"/>
  <c r="O472" i="13" s="1"/>
  <c r="N473" i="13"/>
  <c r="O473" i="13" s="1"/>
  <c r="N495" i="13"/>
  <c r="O495" i="13" s="1"/>
  <c r="N504" i="13"/>
  <c r="O504" i="13" s="1"/>
  <c r="N509" i="13"/>
  <c r="O509" i="13" s="1"/>
  <c r="N525" i="13"/>
  <c r="O525" i="13" s="1"/>
  <c r="N534" i="13"/>
  <c r="N535" i="13"/>
  <c r="O535" i="13" s="1"/>
  <c r="N537" i="13"/>
  <c r="O537" i="13" s="1"/>
  <c r="N538" i="13"/>
  <c r="O538" i="13" s="1"/>
  <c r="N550" i="13"/>
  <c r="O550" i="13" s="1"/>
  <c r="N562" i="13"/>
  <c r="O562" i="13" s="1"/>
  <c r="N564" i="13"/>
  <c r="O564" i="13" s="1"/>
  <c r="N569" i="13"/>
  <c r="O569" i="13" s="1"/>
  <c r="N576" i="13"/>
  <c r="O576" i="13" s="1"/>
  <c r="N588" i="13"/>
  <c r="O588" i="13" s="1"/>
  <c r="N591" i="13"/>
  <c r="O591" i="13" s="1"/>
  <c r="N592" i="13"/>
  <c r="O592" i="13" s="1"/>
  <c r="N600" i="13"/>
  <c r="O600" i="13" s="1"/>
  <c r="N608" i="13"/>
  <c r="O608" i="13" s="1"/>
  <c r="N615" i="13"/>
  <c r="O615" i="13" s="1"/>
  <c r="N640" i="13"/>
  <c r="N643" i="13"/>
  <c r="O643" i="13" s="1"/>
  <c r="N645" i="13"/>
  <c r="O645" i="13" s="1"/>
  <c r="N646" i="13"/>
  <c r="O646" i="13" s="1"/>
  <c r="N650" i="13"/>
  <c r="O650" i="13" s="1"/>
  <c r="N694" i="13"/>
  <c r="O694" i="13" s="1"/>
  <c r="N716" i="13"/>
  <c r="O716" i="13" s="1"/>
  <c r="N717" i="13"/>
  <c r="O717" i="13" s="1"/>
  <c r="N721" i="13"/>
  <c r="N732" i="13"/>
  <c r="O732" i="13" s="1"/>
  <c r="N748" i="13"/>
  <c r="O748" i="13" s="1"/>
  <c r="N764" i="13"/>
  <c r="O764" i="13" s="1"/>
  <c r="N767" i="13"/>
  <c r="O767" i="13" s="1"/>
  <c r="N793" i="13"/>
  <c r="O793" i="13" s="1"/>
  <c r="N803" i="13"/>
  <c r="O803" i="13" s="1"/>
  <c r="N806" i="13"/>
  <c r="O806" i="13" s="1"/>
  <c r="N813" i="13"/>
  <c r="O813" i="13" s="1"/>
  <c r="N814" i="13"/>
  <c r="O814" i="13" s="1"/>
  <c r="N841" i="13"/>
  <c r="O841" i="13" s="1"/>
  <c r="N845" i="13"/>
  <c r="O845" i="13" s="1"/>
  <c r="N855" i="13"/>
  <c r="N856" i="13"/>
  <c r="O856" i="13" s="1"/>
  <c r="N867" i="13"/>
  <c r="O867" i="13" s="1"/>
  <c r="N871" i="13"/>
  <c r="O871" i="13" s="1"/>
  <c r="N879" i="13"/>
  <c r="O879" i="13" s="1"/>
  <c r="N885" i="13"/>
  <c r="O885" i="13" s="1"/>
  <c r="N892" i="13"/>
  <c r="O892" i="13" s="1"/>
  <c r="N896" i="13"/>
  <c r="O896" i="13" s="1"/>
  <c r="N897" i="13"/>
  <c r="O897" i="13" s="1"/>
  <c r="N900" i="13"/>
  <c r="O900" i="13" s="1"/>
  <c r="N905" i="13"/>
  <c r="O905" i="13" s="1"/>
  <c r="N906" i="13"/>
  <c r="O906" i="13" s="1"/>
  <c r="N908" i="13"/>
  <c r="O908" i="13" s="1"/>
  <c r="N911" i="13"/>
  <c r="O911" i="13" s="1"/>
  <c r="N912" i="13"/>
  <c r="O912" i="13" s="1"/>
  <c r="N922" i="13"/>
  <c r="O922" i="13" s="1"/>
  <c r="N923" i="13"/>
  <c r="O923" i="13" s="1"/>
  <c r="N939" i="13"/>
  <c r="O939" i="13" s="1"/>
  <c r="N942" i="13"/>
  <c r="O942" i="13" s="1"/>
  <c r="N945" i="13"/>
  <c r="O945" i="13" s="1"/>
  <c r="N951" i="13"/>
  <c r="O951" i="13" s="1"/>
  <c r="N964" i="13"/>
  <c r="O964" i="13" s="1"/>
  <c r="N970" i="13"/>
  <c r="O970" i="13" s="1"/>
  <c r="N972" i="13"/>
  <c r="O972" i="13" s="1"/>
  <c r="N973" i="13"/>
  <c r="O973" i="13" s="1"/>
  <c r="N976" i="13"/>
  <c r="O976" i="13" s="1"/>
  <c r="N979" i="13"/>
  <c r="O979" i="13" s="1"/>
  <c r="N983" i="13"/>
  <c r="O983" i="13" s="1"/>
  <c r="N985" i="13"/>
  <c r="O985" i="13" s="1"/>
  <c r="N993" i="13"/>
  <c r="O993" i="13" s="1"/>
  <c r="N995" i="13"/>
  <c r="O995" i="13" s="1"/>
  <c r="N1004" i="13"/>
  <c r="O1004" i="13" s="1"/>
  <c r="N1017" i="13"/>
  <c r="O1017" i="13" s="1"/>
  <c r="N1025" i="13"/>
  <c r="O1025" i="13" s="1"/>
  <c r="N1033" i="13"/>
  <c r="O1033" i="13" s="1"/>
  <c r="N1041" i="13"/>
  <c r="O1041" i="13" s="1"/>
  <c r="N1043" i="13"/>
  <c r="O1043" i="13" s="1"/>
  <c r="N1052" i="13"/>
  <c r="O1052" i="13" s="1"/>
  <c r="N1063" i="13"/>
  <c r="O1063" i="13" s="1"/>
  <c r="N1069" i="13"/>
  <c r="N1112" i="13"/>
  <c r="O1112" i="13" s="1"/>
  <c r="N1121" i="13"/>
  <c r="O1121" i="13" s="1"/>
  <c r="N1132" i="13"/>
  <c r="O1132" i="13" s="1"/>
  <c r="N1165" i="13"/>
  <c r="O1165" i="13" s="1"/>
  <c r="N1172" i="13"/>
  <c r="O1172" i="13" s="1"/>
  <c r="N1178" i="13"/>
  <c r="N1180" i="13"/>
  <c r="O1180" i="13" s="1"/>
  <c r="N1188" i="13"/>
  <c r="O1188" i="13" s="1"/>
  <c r="N1190" i="13"/>
  <c r="O1190" i="13" s="1"/>
  <c r="N1192" i="13"/>
  <c r="O1192" i="13" s="1"/>
  <c r="N1200" i="13"/>
  <c r="O1200" i="13" s="1"/>
  <c r="N1214" i="13"/>
  <c r="O1214" i="13" s="1"/>
  <c r="N1215" i="13"/>
  <c r="O1215" i="13" s="1"/>
  <c r="N1227" i="13"/>
  <c r="O1227" i="13" s="1"/>
  <c r="N1240" i="13"/>
  <c r="O1240" i="13" s="1"/>
  <c r="N1241" i="13"/>
  <c r="O1241" i="13" s="1"/>
  <c r="N1242" i="13"/>
  <c r="O1242" i="13" s="1"/>
  <c r="N1243" i="13"/>
  <c r="O1243" i="13" s="1"/>
  <c r="N1248" i="13"/>
  <c r="O1248" i="13" s="1"/>
  <c r="N1253" i="13"/>
  <c r="O1253" i="13" s="1"/>
  <c r="N1254" i="13"/>
  <c r="O1254" i="13" s="1"/>
  <c r="N1257" i="13"/>
  <c r="O1257" i="13" s="1"/>
  <c r="N1260" i="13"/>
  <c r="O1260" i="13" s="1"/>
  <c r="N1266" i="13"/>
  <c r="O1266" i="13" s="1"/>
  <c r="N1267" i="13"/>
  <c r="O1267" i="13" s="1"/>
  <c r="N1265" i="13"/>
  <c r="O1265" i="13" s="1"/>
  <c r="N1271" i="13"/>
  <c r="O1271" i="13" s="1"/>
  <c r="N1275" i="13"/>
  <c r="O1275" i="13" s="1"/>
  <c r="N1276" i="13"/>
  <c r="O1276" i="13" s="1"/>
  <c r="N1277" i="13"/>
  <c r="O1277" i="13" s="1"/>
  <c r="N1278" i="13"/>
  <c r="O1278" i="13" s="1"/>
  <c r="N1291" i="13"/>
  <c r="O1291" i="13" s="1"/>
  <c r="N1292" i="13"/>
  <c r="O1292" i="13" s="1"/>
  <c r="N1296" i="13"/>
  <c r="O1296" i="13" s="1"/>
  <c r="N1300" i="13"/>
  <c r="O1300" i="13" s="1"/>
  <c r="N1303" i="13"/>
  <c r="O1303" i="13" s="1"/>
  <c r="N1304" i="13"/>
  <c r="O1304" i="13" s="1"/>
  <c r="N1305" i="13"/>
  <c r="O1305" i="13" s="1"/>
  <c r="N1316" i="13"/>
  <c r="N1319" i="13"/>
  <c r="O1319" i="13" s="1"/>
  <c r="N1347" i="13"/>
  <c r="O1347" i="13" s="1"/>
  <c r="N1348" i="13"/>
  <c r="O1348" i="13" s="1"/>
  <c r="N1357" i="13"/>
  <c r="N1365" i="13"/>
  <c r="O1365" i="13" s="1"/>
  <c r="N1373" i="13"/>
  <c r="O1373" i="13" s="1"/>
  <c r="N1376" i="13"/>
  <c r="O1376" i="13" s="1"/>
  <c r="N1403" i="13"/>
  <c r="B1403" i="13" s="1"/>
  <c r="N1429" i="13"/>
  <c r="O1429" i="13" s="1"/>
  <c r="N1432" i="13"/>
  <c r="O1432" i="13" s="1"/>
  <c r="N1435" i="13"/>
  <c r="O1435" i="13" s="1"/>
  <c r="N1441" i="13"/>
  <c r="O1441" i="13" s="1"/>
  <c r="N1444" i="13"/>
  <c r="O1444" i="13" s="1"/>
  <c r="N18" i="13"/>
  <c r="O18" i="13" s="1"/>
  <c r="N38" i="13"/>
  <c r="O38" i="13" s="1"/>
  <c r="N65" i="13"/>
  <c r="O65" i="13" s="1"/>
  <c r="N83" i="13"/>
  <c r="O83" i="13" s="1"/>
  <c r="N92" i="13"/>
  <c r="N96" i="13"/>
  <c r="O96" i="13" s="1"/>
  <c r="N215" i="13"/>
  <c r="O215" i="13" s="1"/>
  <c r="N222" i="13"/>
  <c r="O222" i="13" s="1"/>
  <c r="N331" i="13"/>
  <c r="O331" i="13" s="1"/>
  <c r="N344" i="13"/>
  <c r="O344" i="13" s="1"/>
  <c r="N386" i="13"/>
  <c r="N532" i="13"/>
  <c r="O532" i="13" s="1"/>
  <c r="N539" i="13"/>
  <c r="O539" i="13" s="1"/>
  <c r="N543" i="13"/>
  <c r="N578" i="13"/>
  <c r="O578" i="13" s="1"/>
  <c r="N596" i="13"/>
  <c r="N652" i="13"/>
  <c r="O652" i="13" s="1"/>
  <c r="N742" i="13"/>
  <c r="O742" i="13" s="1"/>
  <c r="N745" i="13"/>
  <c r="O745" i="13" s="1"/>
  <c r="N763" i="13"/>
  <c r="O763" i="13" s="1"/>
  <c r="N772" i="13"/>
  <c r="O772" i="13" s="1"/>
  <c r="N789" i="13"/>
  <c r="O789" i="13" s="1"/>
  <c r="N788" i="13"/>
  <c r="O788" i="13" s="1"/>
  <c r="N795" i="13"/>
  <c r="O795" i="13" s="1"/>
  <c r="N812" i="13"/>
  <c r="O812" i="13" s="1"/>
  <c r="N843" i="13"/>
  <c r="O843" i="13" s="1"/>
  <c r="N880" i="13"/>
  <c r="O880" i="13" s="1"/>
  <c r="N887" i="13"/>
  <c r="O887" i="13" s="1"/>
  <c r="N895" i="13"/>
  <c r="O895" i="13" s="1"/>
  <c r="N927" i="13"/>
  <c r="O927" i="13" s="1"/>
  <c r="N974" i="13"/>
  <c r="O974" i="13" s="1"/>
  <c r="N975" i="13"/>
  <c r="O975" i="13" s="1"/>
  <c r="N1108" i="13"/>
  <c r="O1108" i="13" s="1"/>
  <c r="N1122" i="13"/>
  <c r="O1122" i="13" s="1"/>
  <c r="N1130" i="13"/>
  <c r="O1130" i="13" s="1"/>
  <c r="N1171" i="13"/>
  <c r="O1171" i="13" s="1"/>
  <c r="N1218" i="13"/>
  <c r="O1218" i="13" s="1"/>
  <c r="N1228" i="13"/>
  <c r="O1228" i="13" s="1"/>
  <c r="N1235" i="13"/>
  <c r="O1235" i="13" s="1"/>
  <c r="N1273" i="13"/>
  <c r="O1273" i="13" s="1"/>
  <c r="N1309" i="13"/>
  <c r="O1309" i="13" s="1"/>
  <c r="N1314" i="13"/>
  <c r="N1317" i="13"/>
  <c r="N1329" i="13"/>
  <c r="O1329" i="13" s="1"/>
  <c r="N1397" i="13"/>
  <c r="O1397" i="13" s="1"/>
  <c r="N6" i="13"/>
  <c r="O6" i="13" s="1"/>
  <c r="N7" i="13"/>
  <c r="O7" i="13" s="1"/>
  <c r="N36" i="13"/>
  <c r="N51" i="13"/>
  <c r="O51" i="13" s="1"/>
  <c r="N63" i="13"/>
  <c r="O63" i="13" s="1"/>
  <c r="N66" i="13"/>
  <c r="O66" i="13" s="1"/>
  <c r="N73" i="13"/>
  <c r="O73" i="13" s="1"/>
  <c r="N77" i="13"/>
  <c r="O77" i="13" s="1"/>
  <c r="N79" i="13"/>
  <c r="O79" i="13" s="1"/>
  <c r="N84" i="13"/>
  <c r="O84" i="13" s="1"/>
  <c r="N90" i="13"/>
  <c r="O90" i="13" s="1"/>
  <c r="N98" i="13"/>
  <c r="O98" i="13" s="1"/>
  <c r="N109" i="13"/>
  <c r="O109" i="13" s="1"/>
  <c r="N114" i="13"/>
  <c r="O114" i="13" s="1"/>
  <c r="N116" i="13"/>
  <c r="N117" i="13"/>
  <c r="O117" i="13" s="1"/>
  <c r="N126" i="13"/>
  <c r="N127" i="13"/>
  <c r="O127" i="13" s="1"/>
  <c r="N140" i="13"/>
  <c r="O140" i="13" s="1"/>
  <c r="N159" i="13"/>
  <c r="O159" i="13" s="1"/>
  <c r="N167" i="13"/>
  <c r="O167" i="13" s="1"/>
  <c r="N169" i="13"/>
  <c r="O169" i="13" s="1"/>
  <c r="N173" i="13"/>
  <c r="O173" i="13" s="1"/>
  <c r="N200" i="13"/>
  <c r="N202" i="13"/>
  <c r="O202" i="13" s="1"/>
  <c r="N209" i="13"/>
  <c r="O209" i="13" s="1"/>
  <c r="N224" i="13"/>
  <c r="O224" i="13" s="1"/>
  <c r="N243" i="13"/>
  <c r="O243" i="13" s="1"/>
  <c r="N245" i="13"/>
  <c r="O245" i="13" s="1"/>
  <c r="N264" i="13"/>
  <c r="O264" i="13" s="1"/>
  <c r="N274" i="13"/>
  <c r="O274" i="13" s="1"/>
  <c r="N282" i="13"/>
  <c r="O282" i="13" s="1"/>
  <c r="N286" i="13"/>
  <c r="O286" i="13" s="1"/>
  <c r="N287" i="13"/>
  <c r="O287" i="13" s="1"/>
  <c r="N303" i="13"/>
  <c r="N310" i="13"/>
  <c r="O310" i="13" s="1"/>
  <c r="N325" i="13"/>
  <c r="O325" i="13" s="1"/>
  <c r="N341" i="13"/>
  <c r="N345" i="13"/>
  <c r="O345" i="13" s="1"/>
  <c r="N347" i="13"/>
  <c r="O347" i="13" s="1"/>
  <c r="N356" i="13"/>
  <c r="O356" i="13" s="1"/>
  <c r="N360" i="13"/>
  <c r="O360" i="13" s="1"/>
  <c r="N376" i="13"/>
  <c r="O376" i="13" s="1"/>
  <c r="N377" i="13"/>
  <c r="O377" i="13" s="1"/>
  <c r="N380" i="13"/>
  <c r="O380" i="13" s="1"/>
  <c r="N387" i="13"/>
  <c r="N397" i="13"/>
  <c r="O397" i="13" s="1"/>
  <c r="N398" i="13"/>
  <c r="O398" i="13" s="1"/>
  <c r="N411" i="13"/>
  <c r="O411" i="13" s="1"/>
  <c r="N422" i="13"/>
  <c r="O422" i="13" s="1"/>
  <c r="N427" i="13"/>
  <c r="N428" i="13"/>
  <c r="O428" i="13" s="1"/>
  <c r="N431" i="13"/>
  <c r="O431" i="13" s="1"/>
  <c r="N435" i="13"/>
  <c r="O435" i="13" s="1"/>
  <c r="N444" i="13"/>
  <c r="O444" i="13" s="1"/>
  <c r="N458" i="13"/>
  <c r="O458" i="13" s="1"/>
  <c r="N459" i="13"/>
  <c r="O459" i="13" s="1"/>
  <c r="N479" i="13"/>
  <c r="O479" i="13" s="1"/>
  <c r="N496" i="13"/>
  <c r="O496" i="13" s="1"/>
  <c r="N500" i="13"/>
  <c r="O500" i="13" s="1"/>
  <c r="N501" i="13"/>
  <c r="O501" i="13" s="1"/>
  <c r="N502" i="13"/>
  <c r="O502" i="13" s="1"/>
  <c r="N521" i="13"/>
  <c r="O521" i="13" s="1"/>
  <c r="N544" i="13"/>
  <c r="N548" i="13"/>
  <c r="O548" i="13" s="1"/>
  <c r="N553" i="13"/>
  <c r="O553" i="13" s="1"/>
  <c r="N572" i="13"/>
  <c r="O572" i="13" s="1"/>
  <c r="N606" i="13"/>
  <c r="O606" i="13" s="1"/>
  <c r="N609" i="13"/>
  <c r="O609" i="13" s="1"/>
  <c r="N623" i="13"/>
  <c r="O623" i="13" s="1"/>
  <c r="N627" i="13"/>
  <c r="N634" i="13"/>
  <c r="O634" i="13" s="1"/>
  <c r="N642" i="13"/>
  <c r="O642" i="13" s="1"/>
  <c r="N678" i="13"/>
  <c r="O678" i="13" s="1"/>
  <c r="N688" i="13"/>
  <c r="O688" i="13" s="1"/>
  <c r="N697" i="13"/>
  <c r="O697" i="13" s="1"/>
  <c r="N698" i="13"/>
  <c r="O698" i="13" s="1"/>
  <c r="N711" i="13"/>
  <c r="O711" i="13" s="1"/>
  <c r="N712" i="13"/>
  <c r="O712" i="13" s="1"/>
  <c r="N722" i="13"/>
  <c r="N725" i="13"/>
  <c r="O725" i="13" s="1"/>
  <c r="N726" i="13"/>
  <c r="O726" i="13" s="1"/>
  <c r="N749" i="13"/>
  <c r="O749" i="13" s="1"/>
  <c r="N758" i="13"/>
  <c r="O758" i="13" s="1"/>
  <c r="N766" i="13"/>
  <c r="O766" i="13" s="1"/>
  <c r="N773" i="13"/>
  <c r="O773" i="13" s="1"/>
  <c r="N781" i="13"/>
  <c r="O781" i="13" s="1"/>
  <c r="N782" i="13"/>
  <c r="O782" i="13" s="1"/>
  <c r="N783" i="13"/>
  <c r="O783" i="13" s="1"/>
  <c r="N796" i="13"/>
  <c r="O796" i="13" s="1"/>
  <c r="N801" i="13"/>
  <c r="O801" i="13" s="1"/>
  <c r="N802" i="13"/>
  <c r="O802" i="13" s="1"/>
  <c r="N816" i="13"/>
  <c r="O816" i="13" s="1"/>
  <c r="N815" i="13"/>
  <c r="O815" i="13" s="1"/>
  <c r="N822" i="13"/>
  <c r="O822" i="13" s="1"/>
  <c r="N823" i="13"/>
  <c r="O823" i="13" s="1"/>
  <c r="N825" i="13"/>
  <c r="O825" i="13" s="1"/>
  <c r="N833" i="13"/>
  <c r="O833" i="13" s="1"/>
  <c r="N840" i="13"/>
  <c r="O840" i="13" s="1"/>
  <c r="N849" i="13"/>
  <c r="O849" i="13" s="1"/>
  <c r="N857" i="13"/>
  <c r="O857" i="13" s="1"/>
  <c r="N858" i="13"/>
  <c r="O858" i="13" s="1"/>
  <c r="N861" i="13"/>
  <c r="N863" i="13"/>
  <c r="O863" i="13" s="1"/>
  <c r="N872" i="13"/>
  <c r="O872" i="13" s="1"/>
  <c r="N883" i="13"/>
  <c r="O883" i="13" s="1"/>
  <c r="N890" i="13"/>
  <c r="O890" i="13" s="1"/>
  <c r="N891" i="13"/>
  <c r="O891" i="13" s="1"/>
  <c r="N901" i="13"/>
  <c r="O901" i="13" s="1"/>
  <c r="N902" i="13"/>
  <c r="O902" i="13" s="1"/>
  <c r="N914" i="13"/>
  <c r="O914" i="13" s="1"/>
  <c r="N926" i="13"/>
  <c r="O926" i="13" s="1"/>
  <c r="N948" i="13"/>
  <c r="N956" i="13"/>
  <c r="O956" i="13" s="1"/>
  <c r="N971" i="13"/>
  <c r="O971" i="13" s="1"/>
  <c r="N989" i="13"/>
  <c r="O989" i="13" s="1"/>
  <c r="N998" i="13"/>
  <c r="O998" i="13" s="1"/>
  <c r="N1010" i="13"/>
  <c r="O1010" i="13" s="1"/>
  <c r="N1011" i="13"/>
  <c r="O1011" i="13" s="1"/>
  <c r="N1027" i="13"/>
  <c r="O1027" i="13" s="1"/>
  <c r="N1030" i="13"/>
  <c r="N1036" i="13"/>
  <c r="O1036" i="13" s="1"/>
  <c r="N1044" i="13"/>
  <c r="O1044" i="13" s="1"/>
  <c r="N1048" i="13"/>
  <c r="O1048" i="13" s="1"/>
  <c r="N1053" i="13"/>
  <c r="O1053" i="13" s="1"/>
  <c r="N1056" i="13"/>
  <c r="O1056" i="13" s="1"/>
  <c r="N1061" i="13"/>
  <c r="O1061" i="13" s="1"/>
  <c r="N1083" i="13"/>
  <c r="O1083" i="13" s="1"/>
  <c r="N1090" i="13"/>
  <c r="O1090" i="13" s="1"/>
  <c r="N1116" i="13"/>
  <c r="O1116" i="13" s="1"/>
  <c r="N1136" i="13"/>
  <c r="O1136" i="13" s="1"/>
  <c r="N1140" i="13"/>
  <c r="N1167" i="13"/>
  <c r="O1167" i="13" s="1"/>
  <c r="N1176" i="13"/>
  <c r="N1199" i="13"/>
  <c r="O1199" i="13" s="1"/>
  <c r="N1224" i="13"/>
  <c r="N1239" i="13"/>
  <c r="O1239" i="13" s="1"/>
  <c r="N1246" i="13"/>
  <c r="O1246" i="13" s="1"/>
  <c r="N1250" i="13"/>
  <c r="O1250" i="13" s="1"/>
  <c r="N1262" i="13"/>
  <c r="O1262" i="13" s="1"/>
  <c r="N1263" i="13"/>
  <c r="O1263" i="13" s="1"/>
  <c r="N1285" i="13"/>
  <c r="O1285" i="13" s="1"/>
  <c r="N1288" i="13"/>
  <c r="O1288" i="13" s="1"/>
  <c r="N1289" i="13"/>
  <c r="O1289" i="13" s="1"/>
  <c r="N1299" i="13"/>
  <c r="O1299" i="13" s="1"/>
  <c r="N1301" i="13"/>
  <c r="O1301" i="13" s="1"/>
  <c r="N1326" i="13"/>
  <c r="O1326" i="13" s="1"/>
  <c r="N1331" i="13"/>
  <c r="O1331" i="13" s="1"/>
  <c r="N1340" i="13"/>
  <c r="O1340" i="13" s="1"/>
  <c r="N1351" i="13"/>
  <c r="O1351" i="13" s="1"/>
  <c r="N1360" i="13"/>
  <c r="O1360" i="13" s="1"/>
  <c r="N1368" i="13"/>
  <c r="O1368" i="13" s="1"/>
  <c r="N1370" i="13"/>
  <c r="O1370" i="13" s="1"/>
  <c r="N1371" i="13"/>
  <c r="O1371" i="13" s="1"/>
  <c r="N1378" i="13"/>
  <c r="O1378" i="13" s="1"/>
  <c r="N1380" i="13"/>
  <c r="N1386" i="13"/>
  <c r="O1386" i="13" s="1"/>
  <c r="N1388" i="13"/>
  <c r="N1394" i="13"/>
  <c r="O1394" i="13" s="1"/>
  <c r="N1405" i="13"/>
  <c r="O1405" i="13" s="1"/>
  <c r="N1420" i="13"/>
  <c r="O1420" i="13" s="1"/>
  <c r="N1439" i="13"/>
  <c r="O1439" i="13" s="1"/>
  <c r="M13" i="13"/>
  <c r="M29" i="13"/>
  <c r="M31" i="13"/>
  <c r="M37" i="13"/>
  <c r="M39" i="13"/>
  <c r="M40" i="13"/>
  <c r="M54" i="13"/>
  <c r="M87" i="13"/>
  <c r="M94" i="13"/>
  <c r="M102" i="13"/>
  <c r="M103" i="13"/>
  <c r="M105" i="13"/>
  <c r="M108" i="13"/>
  <c r="M119" i="13"/>
  <c r="M120" i="13"/>
  <c r="M136" i="13"/>
  <c r="M141" i="13"/>
  <c r="M142" i="13"/>
  <c r="M145" i="13"/>
  <c r="M148" i="13"/>
  <c r="M166" i="13"/>
  <c r="M176" i="13"/>
  <c r="M181" i="13"/>
  <c r="M188" i="13"/>
  <c r="M189" i="13"/>
  <c r="M193" i="13"/>
  <c r="M210" i="13"/>
  <c r="M217" i="13"/>
  <c r="M220" i="13"/>
  <c r="M233" i="13"/>
  <c r="M237" i="13"/>
  <c r="M254" i="13"/>
  <c r="M272" i="13"/>
  <c r="M277" i="13"/>
  <c r="M290" i="13"/>
  <c r="M292" i="13"/>
  <c r="M294" i="13"/>
  <c r="M332" i="13"/>
  <c r="M337" i="13"/>
  <c r="M343" i="13"/>
  <c r="M352" i="13"/>
  <c r="M353" i="13"/>
  <c r="M361" i="13"/>
  <c r="M363" i="13"/>
  <c r="M366" i="13"/>
  <c r="M370" i="13"/>
  <c r="M371" i="13"/>
  <c r="M372" i="13"/>
  <c r="M379" i="13"/>
  <c r="M403" i="13"/>
  <c r="M404" i="13"/>
  <c r="M414" i="13"/>
  <c r="M418" i="13"/>
  <c r="M419" i="13"/>
  <c r="M423" i="13"/>
  <c r="M424" i="13"/>
  <c r="M438" i="13"/>
  <c r="M439" i="13"/>
  <c r="M440" i="13"/>
  <c r="M442" i="13"/>
  <c r="M463" i="13"/>
  <c r="M478" i="13"/>
  <c r="M482" i="13"/>
  <c r="M487" i="13"/>
  <c r="M493" i="13"/>
  <c r="M510" i="13"/>
  <c r="M530" i="13"/>
  <c r="M542" i="13"/>
  <c r="M552" i="13"/>
  <c r="M563" i="13"/>
  <c r="M566" i="13"/>
  <c r="M589" i="13"/>
  <c r="M590" i="13"/>
  <c r="M602" i="13"/>
  <c r="M604" i="13"/>
  <c r="M626" i="13"/>
  <c r="M637" i="13"/>
  <c r="M641" i="13"/>
  <c r="M648" i="13"/>
  <c r="M651" i="13"/>
  <c r="M663" i="13"/>
  <c r="M700" i="13"/>
  <c r="M710" i="13"/>
  <c r="M718" i="13"/>
  <c r="M739" i="13"/>
  <c r="M743" i="13"/>
  <c r="M746" i="13"/>
  <c r="M759" i="13"/>
  <c r="M765" i="13"/>
  <c r="M774" i="13"/>
  <c r="M778" i="13"/>
  <c r="M811" i="13"/>
  <c r="M827" i="13"/>
  <c r="M830" i="13"/>
  <c r="M865" i="13"/>
  <c r="M869" i="13"/>
  <c r="M870" i="13"/>
  <c r="M875" i="13"/>
  <c r="M877" i="13"/>
  <c r="M882" i="13"/>
  <c r="M884" i="13"/>
  <c r="M916" i="13"/>
  <c r="M918" i="13"/>
  <c r="M920" i="13"/>
  <c r="M929" i="13"/>
  <c r="M933" i="13"/>
  <c r="M955" i="13"/>
  <c r="M961" i="13"/>
  <c r="M962" i="13"/>
  <c r="M969" i="13"/>
  <c r="M987" i="13"/>
  <c r="M988" i="13"/>
  <c r="M1009" i="13"/>
  <c r="M1034" i="13"/>
  <c r="M1039" i="13"/>
  <c r="M1045" i="13"/>
  <c r="M1047" i="13"/>
  <c r="M1062" i="13"/>
  <c r="M1079" i="13"/>
  <c r="M1080" i="13"/>
  <c r="M1084" i="13"/>
  <c r="M1087" i="13"/>
  <c r="M1094" i="13"/>
  <c r="M1131" i="13"/>
  <c r="M1138" i="13"/>
  <c r="M1142" i="13"/>
  <c r="M1150" i="13"/>
  <c r="M1151" i="13"/>
  <c r="M1155" i="13"/>
  <c r="M1158" i="13"/>
  <c r="M1161" i="13"/>
  <c r="M1170" i="13"/>
  <c r="M1179" i="13"/>
  <c r="M1181" i="13"/>
  <c r="M1231" i="13"/>
  <c r="M1236" i="13"/>
  <c r="M1256" i="13"/>
  <c r="M1259" i="13"/>
  <c r="M1268" i="13"/>
  <c r="M1320" i="13"/>
  <c r="M1324" i="13"/>
  <c r="M1325" i="13"/>
  <c r="M1342" i="13"/>
  <c r="M1369" i="13"/>
  <c r="M1372" i="13"/>
  <c r="M1379" i="13"/>
  <c r="M1387" i="13"/>
  <c r="M1395" i="13"/>
  <c r="M1419" i="13"/>
  <c r="M1427" i="13"/>
  <c r="M1431" i="13"/>
  <c r="M1442" i="13"/>
  <c r="M9" i="13"/>
  <c r="M14" i="13"/>
  <c r="M26" i="13"/>
  <c r="M30" i="13"/>
  <c r="M43" i="13"/>
  <c r="M48" i="13"/>
  <c r="M49" i="13"/>
  <c r="M67" i="13"/>
  <c r="M80" i="13"/>
  <c r="M95" i="13"/>
  <c r="M147" i="13"/>
  <c r="M149" i="13"/>
  <c r="M153" i="13"/>
  <c r="M163" i="13"/>
  <c r="M168" i="13"/>
  <c r="M170" i="13"/>
  <c r="M190" i="13"/>
  <c r="M205" i="13"/>
  <c r="M211" i="13"/>
  <c r="M216" i="13"/>
  <c r="M218" i="13"/>
  <c r="M234" i="13"/>
  <c r="M267" i="13"/>
  <c r="M268" i="13"/>
  <c r="M291" i="13"/>
  <c r="M312" i="13"/>
  <c r="M324" i="13"/>
  <c r="M330" i="13"/>
  <c r="M335" i="13"/>
  <c r="M338" i="13"/>
  <c r="M342" i="13"/>
  <c r="M355" i="13"/>
  <c r="M358" i="13"/>
  <c r="M401" i="13"/>
  <c r="M405" i="13"/>
  <c r="M417" i="13"/>
  <c r="M436" i="13"/>
  <c r="M445" i="13"/>
  <c r="M449" i="13"/>
  <c r="M456" i="13"/>
  <c r="M461" i="13"/>
  <c r="M464" i="13"/>
  <c r="M474" i="13"/>
  <c r="M486" i="13"/>
  <c r="M503" i="13"/>
  <c r="M511" i="13"/>
  <c r="M519" i="13"/>
  <c r="M540" i="13"/>
  <c r="M557" i="13"/>
  <c r="M558" i="13"/>
  <c r="M568" i="13"/>
  <c r="M581" i="13"/>
  <c r="M617" i="13"/>
  <c r="M638" i="13"/>
  <c r="M653" i="13"/>
  <c r="M656" i="13"/>
  <c r="M657" i="13"/>
  <c r="M665" i="13"/>
  <c r="M671" i="13"/>
  <c r="M673" i="13"/>
  <c r="M674" i="13"/>
  <c r="M675" i="13"/>
  <c r="M689" i="13"/>
  <c r="M704" i="13"/>
  <c r="M708" i="13"/>
  <c r="M723" i="13"/>
  <c r="M727" i="13"/>
  <c r="M728" i="13"/>
  <c r="M731" i="13"/>
  <c r="M736" i="13"/>
  <c r="M755" i="13"/>
  <c r="M779" i="13"/>
  <c r="M785" i="13"/>
  <c r="M792" i="13"/>
  <c r="M797" i="13"/>
  <c r="M805" i="13"/>
  <c r="M820" i="13"/>
  <c r="M821" i="13"/>
  <c r="M836" i="13"/>
  <c r="M844" i="13"/>
  <c r="M862" i="13"/>
  <c r="M866" i="13"/>
  <c r="M881" i="13"/>
  <c r="M886" i="13"/>
  <c r="M921" i="13"/>
  <c r="M934" i="13"/>
  <c r="M938" i="13"/>
  <c r="M944" i="13"/>
  <c r="M950" i="13"/>
  <c r="M957" i="13"/>
  <c r="M958" i="13"/>
  <c r="M1012" i="13"/>
  <c r="M1023" i="13"/>
  <c r="M1028" i="13"/>
  <c r="M1032" i="13"/>
  <c r="M1038" i="13"/>
  <c r="M1040" i="13"/>
  <c r="M1051" i="13"/>
  <c r="M1071" i="13"/>
  <c r="M1078" i="13"/>
  <c r="M1088" i="13"/>
  <c r="M1089" i="13"/>
  <c r="M1106" i="13"/>
  <c r="M1115" i="13"/>
  <c r="M1124" i="13"/>
  <c r="M1139" i="13"/>
  <c r="M1141" i="13"/>
  <c r="M1145" i="13"/>
  <c r="M1149" i="13"/>
  <c r="M1154" i="13"/>
  <c r="M1156" i="13"/>
  <c r="M1160" i="13"/>
  <c r="M1182" i="13"/>
  <c r="M1195" i="13"/>
  <c r="M1196" i="13"/>
  <c r="M1198" i="13"/>
  <c r="M1202" i="13"/>
  <c r="M1203" i="13"/>
  <c r="M1204" i="13"/>
  <c r="M1205" i="13"/>
  <c r="M1206" i="13"/>
  <c r="M1207" i="13"/>
  <c r="M1211" i="13"/>
  <c r="M1217" i="13"/>
  <c r="M1219" i="13"/>
  <c r="M1244" i="13"/>
  <c r="M1255" i="13"/>
  <c r="M1294" i="13"/>
  <c r="M1297" i="13"/>
  <c r="M1312" i="13"/>
  <c r="M1333" i="13"/>
  <c r="M1335" i="13"/>
  <c r="M1337" i="13"/>
  <c r="M1344" i="13"/>
  <c r="M1362" i="13"/>
  <c r="M1363" i="13"/>
  <c r="M1367" i="13"/>
  <c r="M1389" i="13"/>
  <c r="M1393" i="13"/>
  <c r="M1399" i="13"/>
  <c r="M1402" i="13"/>
  <c r="M1412" i="13"/>
  <c r="M1434" i="13"/>
  <c r="M1448" i="13"/>
  <c r="M11" i="13"/>
  <c r="M21" i="13"/>
  <c r="M33" i="13"/>
  <c r="M50" i="13"/>
  <c r="M52" i="13"/>
  <c r="M56" i="13"/>
  <c r="M55" i="13"/>
  <c r="M68" i="13"/>
  <c r="M133" i="13"/>
  <c r="M138" i="13"/>
  <c r="M139" i="13"/>
  <c r="M143" i="13"/>
  <c r="M151" i="13"/>
  <c r="M157" i="13"/>
  <c r="M178" i="13"/>
  <c r="M194" i="13"/>
  <c r="M198" i="13"/>
  <c r="M199" i="13"/>
  <c r="M206" i="13"/>
  <c r="M219" i="13"/>
  <c r="M238" i="13"/>
  <c r="M255" i="13"/>
  <c r="M266" i="13"/>
  <c r="M276" i="13"/>
  <c r="M280" i="13"/>
  <c r="M295" i="13"/>
  <c r="M304" i="13"/>
  <c r="M346" i="13"/>
  <c r="M348" i="13"/>
  <c r="M364" i="13"/>
  <c r="M382" i="13"/>
  <c r="M395" i="13"/>
  <c r="M408" i="13"/>
  <c r="M448" i="13"/>
  <c r="M462" i="13"/>
  <c r="M468" i="13"/>
  <c r="M477" i="13"/>
  <c r="M507" i="13"/>
  <c r="M524" i="13"/>
  <c r="M545" i="13"/>
  <c r="M559" i="13"/>
  <c r="M585" i="13"/>
  <c r="M598" i="13"/>
  <c r="M619" i="13"/>
  <c r="M620" i="13"/>
  <c r="M625" i="13"/>
  <c r="M628" i="13"/>
  <c r="M631" i="13"/>
  <c r="M647" i="13"/>
  <c r="M664" i="13"/>
  <c r="M669" i="13"/>
  <c r="M677" i="13"/>
  <c r="M707" i="13"/>
  <c r="M719" i="13"/>
  <c r="M724" i="13"/>
  <c r="M737" i="13"/>
  <c r="M741" i="13"/>
  <c r="M784" i="13"/>
  <c r="M818" i="13"/>
  <c r="M831" i="13"/>
  <c r="M842" i="13"/>
  <c r="M851" i="13"/>
  <c r="M888" i="13"/>
  <c r="M904" i="13"/>
  <c r="M925" i="13"/>
  <c r="M928" i="13"/>
  <c r="M937" i="13"/>
  <c r="M959" i="13"/>
  <c r="M960" i="13"/>
  <c r="M978" i="13"/>
  <c r="M1024" i="13"/>
  <c r="M1086" i="13"/>
  <c r="M1148" i="13"/>
  <c r="M1146" i="13"/>
  <c r="M1157" i="13"/>
  <c r="M1222" i="13"/>
  <c r="M1264" i="13"/>
  <c r="M1290" i="13"/>
  <c r="M1307" i="13"/>
  <c r="M1341" i="13"/>
  <c r="M1346" i="13"/>
  <c r="M1385" i="13"/>
  <c r="M1410" i="13"/>
  <c r="M1411" i="13"/>
  <c r="M1421" i="13"/>
  <c r="M1425" i="13"/>
  <c r="M1433" i="13"/>
  <c r="M3" i="13"/>
  <c r="M32" i="13"/>
  <c r="M44" i="13"/>
  <c r="M45" i="13"/>
  <c r="M57" i="13"/>
  <c r="M58" i="13"/>
  <c r="M60" i="13"/>
  <c r="M71" i="13"/>
  <c r="M78" i="13"/>
  <c r="M100" i="13"/>
  <c r="M104" i="13"/>
  <c r="M110" i="13"/>
  <c r="M118" i="13"/>
  <c r="M123" i="13"/>
  <c r="M124" i="13"/>
  <c r="M128" i="13"/>
  <c r="M146" i="13"/>
  <c r="M162" i="13"/>
  <c r="M184" i="13"/>
  <c r="M197" i="13"/>
  <c r="M208" i="13"/>
  <c r="M226" i="13"/>
  <c r="M229" i="13"/>
  <c r="M236" i="13"/>
  <c r="M244" i="13"/>
  <c r="M249" i="13"/>
  <c r="M250" i="13"/>
  <c r="M263" i="13"/>
  <c r="M275" i="13"/>
  <c r="M311" i="13"/>
  <c r="M323" i="13"/>
  <c r="M354" i="13"/>
  <c r="M359" i="13"/>
  <c r="M367" i="13"/>
  <c r="M375" i="13"/>
  <c r="M378" i="13"/>
  <c r="M396" i="13"/>
  <c r="M409" i="13"/>
  <c r="M415" i="13"/>
  <c r="M416" i="13"/>
  <c r="M425" i="13"/>
  <c r="M447" i="13"/>
  <c r="M469" i="13"/>
  <c r="M475" i="13"/>
  <c r="M483" i="13"/>
  <c r="M490" i="13"/>
  <c r="M494" i="13"/>
  <c r="M497" i="13"/>
  <c r="M514" i="13"/>
  <c r="M515" i="13"/>
  <c r="M516" i="13"/>
  <c r="M518" i="13"/>
  <c r="M522" i="13"/>
  <c r="M529" i="13"/>
  <c r="M556" i="13"/>
  <c r="M560" i="13"/>
  <c r="M565" i="13"/>
  <c r="M573" i="13"/>
  <c r="M574" i="13"/>
  <c r="M575" i="13"/>
  <c r="M577" i="13"/>
  <c r="M583" i="13"/>
  <c r="M595" i="13"/>
  <c r="M624" i="13"/>
  <c r="M630" i="13"/>
  <c r="M636" i="13"/>
  <c r="M659" i="13"/>
  <c r="M660" i="13"/>
  <c r="M667" i="13"/>
  <c r="M670" i="13"/>
  <c r="M680" i="13"/>
  <c r="M681" i="13"/>
  <c r="M693" i="13"/>
  <c r="M695" i="13"/>
  <c r="M703" i="13"/>
  <c r="M729" i="13"/>
  <c r="M753" i="13"/>
  <c r="M760" i="13"/>
  <c r="M768" i="13"/>
  <c r="M771" i="13"/>
  <c r="M786" i="13"/>
  <c r="M787" i="13"/>
  <c r="M791" i="13"/>
  <c r="M819" i="13"/>
  <c r="M832" i="13"/>
  <c r="M839" i="13"/>
  <c r="M846" i="13"/>
  <c r="M850" i="13"/>
  <c r="M873" i="13"/>
  <c r="M898" i="13"/>
  <c r="M930" i="13"/>
  <c r="M932" i="13"/>
  <c r="M949" i="13"/>
  <c r="M963" i="13"/>
  <c r="M965" i="13"/>
  <c r="M966" i="13"/>
  <c r="M968" i="13"/>
  <c r="M996" i="13"/>
  <c r="M1013" i="13"/>
  <c r="M1049" i="13"/>
  <c r="M1058" i="13"/>
  <c r="M1066" i="13"/>
  <c r="M1077" i="13"/>
  <c r="M1096" i="13"/>
  <c r="M1100" i="13"/>
  <c r="M1107" i="13"/>
  <c r="M1109" i="13"/>
  <c r="M1135" i="13"/>
  <c r="M1144" i="13"/>
  <c r="M1162" i="13"/>
  <c r="M1163" i="13"/>
  <c r="M1164" i="13"/>
  <c r="M1168" i="13"/>
  <c r="M1169" i="13"/>
  <c r="M1194" i="13"/>
  <c r="M1197" i="13"/>
  <c r="M1229" i="13"/>
  <c r="M1238" i="13"/>
  <c r="M1269" i="13"/>
  <c r="M1270" i="13"/>
  <c r="M1284" i="13"/>
  <c r="M1287" i="13"/>
  <c r="M1295" i="13"/>
  <c r="M1308" i="13"/>
  <c r="M1310" i="13"/>
  <c r="M1322" i="13"/>
  <c r="M1328" i="13"/>
  <c r="M1332" i="13"/>
  <c r="M1334" i="13"/>
  <c r="M1352" i="13"/>
  <c r="M1356" i="13"/>
  <c r="M1361" i="13"/>
  <c r="M1391" i="13"/>
  <c r="M1392" i="13"/>
  <c r="M1398" i="13"/>
  <c r="M1400" i="13"/>
  <c r="M1408" i="13"/>
  <c r="M1422" i="13"/>
  <c r="M1437" i="13"/>
  <c r="M1438" i="13"/>
  <c r="M1445" i="13"/>
  <c r="M19" i="13"/>
  <c r="M22" i="13"/>
  <c r="M41" i="13"/>
  <c r="M46" i="13"/>
  <c r="M47" i="13"/>
  <c r="M53" i="13"/>
  <c r="M59" i="13"/>
  <c r="M75" i="13"/>
  <c r="M101" i="13"/>
  <c r="M111" i="13"/>
  <c r="M122" i="13"/>
  <c r="M134" i="13"/>
  <c r="M150" i="13"/>
  <c r="M154" i="13"/>
  <c r="M172" i="13"/>
  <c r="M179" i="13"/>
  <c r="M185" i="13"/>
  <c r="M186" i="13"/>
  <c r="M187" i="13"/>
  <c r="M191" i="13"/>
  <c r="M201" i="13"/>
  <c r="M242" i="13"/>
  <c r="M248" i="13"/>
  <c r="M251" i="13"/>
  <c r="M256" i="13"/>
  <c r="M260" i="13"/>
  <c r="M278" i="13"/>
  <c r="M279" i="13"/>
  <c r="M293" i="13"/>
  <c r="M296" i="13"/>
  <c r="M299" i="13"/>
  <c r="M301" i="13"/>
  <c r="M314" i="13"/>
  <c r="M317" i="13"/>
  <c r="M326" i="13"/>
  <c r="M328" i="13"/>
  <c r="M333" i="13"/>
  <c r="M334" i="13"/>
  <c r="M339" i="13"/>
  <c r="M349" i="13"/>
  <c r="M351" i="13"/>
  <c r="M365" i="13"/>
  <c r="M368" i="13"/>
  <c r="M384" i="13"/>
  <c r="M385" i="13"/>
  <c r="M389" i="13"/>
  <c r="M392" i="13"/>
  <c r="M400" i="13"/>
  <c r="M412" i="13"/>
  <c r="M433" i="13"/>
  <c r="M441" i="13"/>
  <c r="M451" i="13"/>
  <c r="M455" i="13"/>
  <c r="M460" i="13"/>
  <c r="M480" i="13"/>
  <c r="M484" i="13"/>
  <c r="M489" i="13"/>
  <c r="M498" i="13"/>
  <c r="M508" i="13"/>
  <c r="M512" i="13"/>
  <c r="M531" i="13"/>
  <c r="M533" i="13"/>
  <c r="M546" i="13"/>
  <c r="M554" i="13"/>
  <c r="M570" i="13"/>
  <c r="M580" i="13"/>
  <c r="M584" i="13"/>
  <c r="M586" i="13"/>
  <c r="M610" i="13"/>
  <c r="M616" i="13"/>
  <c r="M629" i="13"/>
  <c r="M632" i="13"/>
  <c r="M635" i="13"/>
  <c r="M639" i="13"/>
  <c r="M649" i="13"/>
  <c r="M661" i="13"/>
  <c r="M662" i="13"/>
  <c r="M701" i="13"/>
  <c r="M702" i="13"/>
  <c r="M734" i="13"/>
  <c r="M735" i="13"/>
  <c r="M738" i="13"/>
  <c r="M740" i="13"/>
  <c r="M747" i="13"/>
  <c r="M751" i="13"/>
  <c r="M754" i="13"/>
  <c r="M761" i="13"/>
  <c r="M798" i="13"/>
  <c r="M799" i="13"/>
  <c r="M808" i="13"/>
  <c r="M809" i="13"/>
  <c r="M810" i="13"/>
  <c r="M826" i="13"/>
  <c r="M834" i="13"/>
  <c r="M835" i="13"/>
  <c r="M837" i="13"/>
  <c r="M847" i="13"/>
  <c r="M848" i="13"/>
  <c r="M852" i="13"/>
  <c r="M864" i="13"/>
  <c r="M876" i="13"/>
  <c r="M889" i="13"/>
  <c r="M894" i="13"/>
  <c r="M913" i="13"/>
  <c r="M917" i="13"/>
  <c r="M919" i="13"/>
  <c r="M935" i="13"/>
  <c r="M941" i="13"/>
  <c r="M946" i="13"/>
  <c r="M967" i="13"/>
  <c r="M980" i="13"/>
  <c r="M981" i="13"/>
  <c r="M984" i="13"/>
  <c r="M986" i="13"/>
  <c r="M992" i="13"/>
  <c r="M994" i="13"/>
  <c r="M1000" i="13"/>
  <c r="M1001" i="13"/>
  <c r="M1007" i="13"/>
  <c r="M1008" i="13"/>
  <c r="M1014" i="13"/>
  <c r="M1018" i="13"/>
  <c r="M1019" i="13"/>
  <c r="M1021" i="13"/>
  <c r="M1022" i="13"/>
  <c r="M1029" i="13"/>
  <c r="M1050" i="13"/>
  <c r="M1055" i="13"/>
  <c r="M1060" i="13"/>
  <c r="M1064" i="13"/>
  <c r="M1073" i="13"/>
  <c r="M1074" i="13"/>
  <c r="M1093" i="13"/>
  <c r="M1099" i="13"/>
  <c r="M1101" i="13"/>
  <c r="M1102" i="13"/>
  <c r="M1103" i="13"/>
  <c r="M1153" i="13"/>
  <c r="M1152" i="13"/>
  <c r="M1174" i="13"/>
  <c r="M1177" i="13"/>
  <c r="M1187" i="13"/>
  <c r="M1189" i="13"/>
  <c r="M1208" i="13"/>
  <c r="M1209" i="13"/>
  <c r="M1210" i="13"/>
  <c r="M1216" i="13"/>
  <c r="M1220" i="13"/>
  <c r="M1234" i="13"/>
  <c r="M1247" i="13"/>
  <c r="M1252" i="13"/>
  <c r="M1258" i="13"/>
  <c r="M1282" i="13"/>
  <c r="M1283" i="13"/>
  <c r="M1302" i="13"/>
  <c r="M1330" i="13"/>
  <c r="M1336" i="13"/>
  <c r="M1338" i="13"/>
  <c r="M1339" i="13"/>
  <c r="M1353" i="13"/>
  <c r="M1377" i="13"/>
  <c r="M1381" i="13"/>
  <c r="M1382" i="13"/>
  <c r="M1384" i="13"/>
  <c r="M1396" i="13"/>
  <c r="M1401" i="13"/>
  <c r="M1406" i="13"/>
  <c r="M1413" i="13"/>
  <c r="M1417" i="13"/>
  <c r="M1423" i="13"/>
  <c r="M1426" i="13"/>
  <c r="M1447" i="13"/>
  <c r="M2" i="13"/>
  <c r="M5" i="13"/>
  <c r="M8" i="13"/>
  <c r="M10" i="13"/>
  <c r="M25" i="13"/>
  <c r="M62" i="13"/>
  <c r="M72" i="13"/>
  <c r="M76" i="13"/>
  <c r="M81" i="13"/>
  <c r="M82" i="13"/>
  <c r="M85" i="13"/>
  <c r="M112" i="13"/>
  <c r="M113" i="13"/>
  <c r="M115" i="13"/>
  <c r="M121" i="13"/>
  <c r="M129" i="13"/>
  <c r="M130" i="13"/>
  <c r="M137" i="13"/>
  <c r="M144" i="13"/>
  <c r="M171" i="13"/>
  <c r="M174" i="13"/>
  <c r="M175" i="13"/>
  <c r="M182" i="13"/>
  <c r="M204" i="13"/>
  <c r="M214" i="13"/>
  <c r="M227" i="13"/>
  <c r="M257" i="13"/>
  <c r="M259" i="13"/>
  <c r="M270" i="13"/>
  <c r="M281" i="13"/>
  <c r="M289" i="13"/>
  <c r="M307" i="13"/>
  <c r="M308" i="13"/>
  <c r="M315" i="13"/>
  <c r="M316" i="13"/>
  <c r="M318" i="13"/>
  <c r="M362" i="13"/>
  <c r="M388" i="13"/>
  <c r="M391" i="13"/>
  <c r="M393" i="13"/>
  <c r="M420" i="13"/>
  <c r="M421" i="13"/>
  <c r="M453" i="13"/>
  <c r="M454" i="13"/>
  <c r="M465" i="13"/>
  <c r="M466" i="13"/>
  <c r="M481" i="13"/>
  <c r="M485" i="13"/>
  <c r="M491" i="13"/>
  <c r="M492" i="13"/>
  <c r="M499" i="13"/>
  <c r="M520" i="13"/>
  <c r="M523" i="13"/>
  <c r="M547" i="13"/>
  <c r="M549" i="13"/>
  <c r="M551" i="13"/>
  <c r="M555" i="13"/>
  <c r="M561" i="13"/>
  <c r="M571" i="13"/>
  <c r="M579" i="13"/>
  <c r="M582" i="13"/>
  <c r="M593" i="13"/>
  <c r="M594" i="13"/>
  <c r="M599" i="13"/>
  <c r="M603" i="13"/>
  <c r="M605" i="13"/>
  <c r="M607" i="13"/>
  <c r="M612" i="13"/>
  <c r="M614" i="13"/>
  <c r="M618" i="13"/>
  <c r="M622" i="13"/>
  <c r="M633" i="13"/>
  <c r="M655" i="13"/>
  <c r="M658" i="13"/>
  <c r="M666" i="13"/>
  <c r="M668" i="13"/>
  <c r="M683" i="13"/>
  <c r="M691" i="13"/>
  <c r="M692" i="13"/>
  <c r="M713" i="13"/>
  <c r="M714" i="13"/>
  <c r="M715" i="13"/>
  <c r="M750" i="13"/>
  <c r="M752" i="13"/>
  <c r="M762" i="13"/>
  <c r="M769" i="13"/>
  <c r="M776" i="13"/>
  <c r="M777" i="13"/>
  <c r="M780" i="13"/>
  <c r="M790" i="13"/>
  <c r="M800" i="13"/>
  <c r="M817" i="13"/>
  <c r="M824" i="13"/>
  <c r="M838" i="13"/>
  <c r="M853" i="13"/>
  <c r="M854" i="13"/>
  <c r="M860" i="13"/>
  <c r="M878" i="13"/>
  <c r="M899" i="13"/>
  <c r="M903" i="13"/>
  <c r="M915" i="13"/>
  <c r="M924" i="13"/>
  <c r="M931" i="13"/>
  <c r="M936" i="13"/>
  <c r="M940" i="13"/>
  <c r="M947" i="13"/>
  <c r="M952" i="13"/>
  <c r="M953" i="13"/>
  <c r="M982" i="13"/>
  <c r="M999" i="13"/>
  <c r="M1005" i="13"/>
  <c r="M1006" i="13"/>
  <c r="M1015" i="13"/>
  <c r="M1016" i="13"/>
  <c r="M1026" i="13"/>
  <c r="M1042" i="13"/>
  <c r="M1046" i="13"/>
  <c r="M1054" i="13"/>
  <c r="M1057" i="13"/>
  <c r="M1065" i="13"/>
  <c r="M1068" i="13"/>
  <c r="M1072" i="13"/>
  <c r="M1076" i="13"/>
  <c r="M1082" i="13"/>
  <c r="M1085" i="13"/>
  <c r="M1091" i="13"/>
  <c r="M1113" i="13"/>
  <c r="M1118" i="13"/>
  <c r="M1119" i="13"/>
  <c r="M1120" i="13"/>
  <c r="M1128" i="13"/>
  <c r="M1129" i="13"/>
  <c r="M1133" i="13"/>
  <c r="M1137" i="13"/>
  <c r="M1147" i="13"/>
  <c r="M1184" i="13"/>
  <c r="M1191" i="13"/>
  <c r="M1212" i="13"/>
  <c r="M1213" i="13"/>
  <c r="M1223" i="13"/>
  <c r="M1225" i="13"/>
  <c r="M1232" i="13"/>
  <c r="M1237" i="13"/>
  <c r="M1245" i="13"/>
  <c r="M1261" i="13"/>
  <c r="M1274" i="13"/>
  <c r="M1281" i="13"/>
  <c r="M1293" i="13"/>
  <c r="M1311" i="13"/>
  <c r="M1318" i="13"/>
  <c r="M1350" i="13"/>
  <c r="M1354" i="13"/>
  <c r="M1358" i="13"/>
  <c r="M1366" i="13"/>
  <c r="M1375" i="13"/>
  <c r="M1404" i="13"/>
  <c r="M1407" i="13"/>
  <c r="M1414" i="13"/>
  <c r="M1418" i="13"/>
  <c r="M1430" i="13"/>
  <c r="M1436" i="13"/>
  <c r="M1440" i="13"/>
  <c r="M4" i="13"/>
  <c r="M20" i="13"/>
  <c r="M23" i="13"/>
  <c r="M24" i="13"/>
  <c r="M34" i="13"/>
  <c r="M61" i="13"/>
  <c r="M74" i="13"/>
  <c r="M155" i="13"/>
  <c r="M156" i="13"/>
  <c r="M161" i="13"/>
  <c r="M195" i="13"/>
  <c r="M196" i="13"/>
  <c r="M284" i="13"/>
  <c r="M297" i="13"/>
  <c r="M306" i="13"/>
  <c r="M313" i="13"/>
  <c r="M340" i="13"/>
  <c r="M369" i="13"/>
  <c r="M390" i="13"/>
  <c r="M402" i="13"/>
  <c r="M407" i="13"/>
  <c r="M429" i="13"/>
  <c r="M488" i="13"/>
  <c r="M505" i="13"/>
  <c r="M513" i="13"/>
  <c r="M526" i="13"/>
  <c r="M587" i="13"/>
  <c r="M597" i="13"/>
  <c r="M679" i="13"/>
  <c r="M684" i="13"/>
  <c r="M685" i="13"/>
  <c r="M686" i="13"/>
  <c r="M720" i="13"/>
  <c r="M733" i="13"/>
  <c r="M744" i="13"/>
  <c r="M756" i="13"/>
  <c r="M775" i="13"/>
  <c r="M829" i="13"/>
  <c r="M868" i="13"/>
  <c r="M893" i="13"/>
  <c r="M909" i="13"/>
  <c r="M910" i="13"/>
  <c r="M943" i="13"/>
  <c r="M954" i="13"/>
  <c r="M997" i="13"/>
  <c r="M1059" i="13"/>
  <c r="M1075" i="13"/>
  <c r="M1081" i="13"/>
  <c r="M1092" i="13"/>
  <c r="M1095" i="13"/>
  <c r="M1097" i="13"/>
  <c r="M1098" i="13"/>
  <c r="M1105" i="13"/>
  <c r="M1117" i="13"/>
  <c r="M1123" i="13"/>
  <c r="M1125" i="13"/>
  <c r="M1126" i="13"/>
  <c r="M1134" i="13"/>
  <c r="M1175" i="13"/>
  <c r="M1193" i="13"/>
  <c r="M1201" i="13"/>
  <c r="M1226" i="13"/>
  <c r="M1249" i="13"/>
  <c r="M1279" i="13"/>
  <c r="M1306" i="13"/>
  <c r="M1315" i="13"/>
  <c r="M1343" i="13"/>
  <c r="M1345" i="13"/>
  <c r="M1355" i="13"/>
  <c r="M1359" i="13"/>
  <c r="M1364" i="13"/>
  <c r="M1374" i="13"/>
  <c r="M1383" i="13"/>
  <c r="M1390" i="13"/>
  <c r="M1415" i="13"/>
  <c r="M1443" i="13"/>
  <c r="M1446" i="13"/>
  <c r="M12" i="13"/>
  <c r="M15" i="13"/>
  <c r="M28" i="13"/>
  <c r="M42" i="13"/>
  <c r="M64" i="13"/>
  <c r="M70" i="13"/>
  <c r="M89" i="13"/>
  <c r="M91" i="13"/>
  <c r="M93" i="13"/>
  <c r="M97" i="13"/>
  <c r="M152" i="13"/>
  <c r="M183" i="13"/>
  <c r="M213" i="13"/>
  <c r="M228" i="13"/>
  <c r="M231" i="13"/>
  <c r="M240" i="13"/>
  <c r="M258" i="13"/>
  <c r="M262" i="13"/>
  <c r="M265" i="13"/>
  <c r="M298" i="13"/>
  <c r="M302" i="13"/>
  <c r="M321" i="13"/>
  <c r="M327" i="13"/>
  <c r="M336" i="13"/>
  <c r="M350" i="13"/>
  <c r="M381" i="13"/>
  <c r="M394" i="13"/>
  <c r="M399" i="13"/>
  <c r="M426" i="13"/>
  <c r="M434" i="13"/>
  <c r="M437" i="13"/>
  <c r="M443" i="13"/>
  <c r="M452" i="13"/>
  <c r="M467" i="13"/>
  <c r="M471" i="13"/>
  <c r="M476" i="13"/>
  <c r="M506" i="13"/>
  <c r="M517" i="13"/>
  <c r="M527" i="13"/>
  <c r="M528" i="13"/>
  <c r="M536" i="13"/>
  <c r="M541" i="13"/>
  <c r="M567" i="13"/>
  <c r="M601" i="13"/>
  <c r="M611" i="13"/>
  <c r="M613" i="13"/>
  <c r="M621" i="13"/>
  <c r="M644" i="13"/>
  <c r="M654" i="13"/>
  <c r="M672" i="13"/>
  <c r="M676" i="13"/>
  <c r="M682" i="13"/>
  <c r="M687" i="13"/>
  <c r="M690" i="13"/>
  <c r="M696" i="13"/>
  <c r="M699" i="13"/>
  <c r="M705" i="13"/>
  <c r="M706" i="13"/>
  <c r="M709" i="13"/>
  <c r="M730" i="13"/>
  <c r="M757" i="13"/>
  <c r="M770" i="13"/>
  <c r="M794" i="13"/>
  <c r="M804" i="13"/>
  <c r="M807" i="13"/>
  <c r="M828" i="13"/>
  <c r="M859" i="13"/>
  <c r="M874" i="13"/>
  <c r="M907" i="13"/>
  <c r="M977" i="13"/>
  <c r="M990" i="13"/>
  <c r="M991" i="13"/>
  <c r="M1002" i="13"/>
  <c r="M1003" i="13"/>
  <c r="M1020" i="13"/>
  <c r="M1031" i="13"/>
  <c r="M1035" i="13"/>
  <c r="M1037" i="13"/>
  <c r="M1067" i="13"/>
  <c r="M1070" i="13"/>
  <c r="M1104" i="13"/>
  <c r="M1110" i="13"/>
  <c r="M1111" i="13"/>
  <c r="M1114" i="13"/>
  <c r="M1127" i="13"/>
  <c r="M1143" i="13"/>
  <c r="M1159" i="13"/>
  <c r="M1166" i="13"/>
  <c r="M1173" i="13"/>
  <c r="M1183" i="13"/>
  <c r="M1185" i="13"/>
  <c r="M1186" i="13"/>
  <c r="M1221" i="13"/>
  <c r="M1230" i="13"/>
  <c r="M1233" i="13"/>
  <c r="M1251" i="13"/>
  <c r="M1272" i="13"/>
  <c r="M1280" i="13"/>
  <c r="M1286" i="13"/>
  <c r="M1298" i="13"/>
  <c r="M1313" i="13"/>
  <c r="M1321" i="13"/>
  <c r="M1323" i="13"/>
  <c r="M1327" i="13"/>
  <c r="M1349" i="13"/>
  <c r="M1409" i="13"/>
  <c r="M1416" i="13"/>
  <c r="M1424" i="13"/>
  <c r="M1428" i="13"/>
  <c r="M16" i="13"/>
  <c r="M17" i="13"/>
  <c r="M27" i="13"/>
  <c r="M35" i="13"/>
  <c r="M69" i="13"/>
  <c r="M86" i="13"/>
  <c r="M88" i="13"/>
  <c r="M99" i="13"/>
  <c r="M107" i="13"/>
  <c r="M106" i="13"/>
  <c r="M125" i="13"/>
  <c r="M131" i="13"/>
  <c r="M132" i="13"/>
  <c r="M135" i="13"/>
  <c r="M158" i="13"/>
  <c r="M160" i="13"/>
  <c r="M164" i="13"/>
  <c r="M165" i="13"/>
  <c r="M177" i="13"/>
  <c r="M180" i="13"/>
  <c r="M192" i="13"/>
  <c r="M203" i="13"/>
  <c r="M207" i="13"/>
  <c r="M212" i="13"/>
  <c r="M221" i="13"/>
  <c r="M223" i="13"/>
  <c r="M225" i="13"/>
  <c r="M230" i="13"/>
  <c r="M232" i="13"/>
  <c r="M235" i="13"/>
  <c r="M239" i="13"/>
  <c r="M241" i="13"/>
  <c r="M246" i="13"/>
  <c r="M247" i="13"/>
  <c r="M252" i="13"/>
  <c r="M253" i="13"/>
  <c r="M261" i="13"/>
  <c r="M269" i="13"/>
  <c r="M271" i="13"/>
  <c r="M273" i="13"/>
  <c r="M283" i="13"/>
  <c r="M285" i="13"/>
  <c r="M288" i="13"/>
  <c r="M300" i="13"/>
  <c r="M305" i="13"/>
  <c r="M309" i="13"/>
  <c r="M319" i="13"/>
  <c r="M320" i="13"/>
  <c r="M322" i="13"/>
  <c r="M329" i="13"/>
  <c r="M357" i="13"/>
  <c r="M373" i="13"/>
  <c r="M374" i="13"/>
  <c r="M383" i="13"/>
  <c r="M406" i="13"/>
  <c r="M410" i="13"/>
  <c r="M413" i="13"/>
  <c r="M430" i="13"/>
  <c r="M432" i="13"/>
  <c r="M446" i="13"/>
  <c r="M450" i="13"/>
  <c r="M457" i="13"/>
  <c r="M470" i="13"/>
  <c r="M472" i="13"/>
  <c r="M473" i="13"/>
  <c r="M495" i="13"/>
  <c r="M504" i="13"/>
  <c r="M509" i="13"/>
  <c r="M525" i="13"/>
  <c r="M534" i="13"/>
  <c r="M535" i="13"/>
  <c r="M537" i="13"/>
  <c r="M538" i="13"/>
  <c r="M550" i="13"/>
  <c r="M562" i="13"/>
  <c r="M564" i="13"/>
  <c r="M569" i="13"/>
  <c r="M576" i="13"/>
  <c r="M588" i="13"/>
  <c r="M591" i="13"/>
  <c r="M592" i="13"/>
  <c r="M600" i="13"/>
  <c r="M608" i="13"/>
  <c r="M615" i="13"/>
  <c r="M640" i="13"/>
  <c r="M643" i="13"/>
  <c r="M645" i="13"/>
  <c r="M646" i="13"/>
  <c r="M650" i="13"/>
  <c r="M694" i="13"/>
  <c r="M716" i="13"/>
  <c r="M717" i="13"/>
  <c r="M721" i="13"/>
  <c r="M732" i="13"/>
  <c r="M748" i="13"/>
  <c r="M764" i="13"/>
  <c r="M767" i="13"/>
  <c r="M793" i="13"/>
  <c r="M803" i="13"/>
  <c r="M806" i="13"/>
  <c r="M813" i="13"/>
  <c r="M814" i="13"/>
  <c r="M841" i="13"/>
  <c r="M845" i="13"/>
  <c r="M855" i="13"/>
  <c r="M856" i="13"/>
  <c r="M867" i="13"/>
  <c r="M871" i="13"/>
  <c r="M879" i="13"/>
  <c r="M885" i="13"/>
  <c r="M892" i="13"/>
  <c r="M896" i="13"/>
  <c r="M897" i="13"/>
  <c r="M900" i="13"/>
  <c r="M905" i="13"/>
  <c r="M906" i="13"/>
  <c r="M908" i="13"/>
  <c r="M911" i="13"/>
  <c r="M912" i="13"/>
  <c r="M922" i="13"/>
  <c r="M923" i="13"/>
  <c r="M939" i="13"/>
  <c r="M942" i="13"/>
  <c r="M945" i="13"/>
  <c r="M951" i="13"/>
  <c r="M964" i="13"/>
  <c r="M970" i="13"/>
  <c r="M972" i="13"/>
  <c r="M973" i="13"/>
  <c r="M976" i="13"/>
  <c r="M979" i="13"/>
  <c r="M983" i="13"/>
  <c r="M985" i="13"/>
  <c r="M993" i="13"/>
  <c r="M995" i="13"/>
  <c r="M1004" i="13"/>
  <c r="M1017" i="13"/>
  <c r="M1025" i="13"/>
  <c r="M1033" i="13"/>
  <c r="M1041" i="13"/>
  <c r="M1043" i="13"/>
  <c r="M1052" i="13"/>
  <c r="M1063" i="13"/>
  <c r="M1069" i="13"/>
  <c r="M1112" i="13"/>
  <c r="M1121" i="13"/>
  <c r="M1132" i="13"/>
  <c r="M1165" i="13"/>
  <c r="M1172" i="13"/>
  <c r="M1178" i="13"/>
  <c r="M1180" i="13"/>
  <c r="M1188" i="13"/>
  <c r="M1190" i="13"/>
  <c r="M1192" i="13"/>
  <c r="M1200" i="13"/>
  <c r="M1214" i="13"/>
  <c r="M1215" i="13"/>
  <c r="M1227" i="13"/>
  <c r="M1240" i="13"/>
  <c r="M1241" i="13"/>
  <c r="M1242" i="13"/>
  <c r="M1243" i="13"/>
  <c r="M1248" i="13"/>
  <c r="M1253" i="13"/>
  <c r="M1254" i="13"/>
  <c r="M1257" i="13"/>
  <c r="M1260" i="13"/>
  <c r="M1266" i="13"/>
  <c r="M1267" i="13"/>
  <c r="M1265" i="13"/>
  <c r="M1271" i="13"/>
  <c r="M1275" i="13"/>
  <c r="M1276" i="13"/>
  <c r="M1277" i="13"/>
  <c r="M1278" i="13"/>
  <c r="M1291" i="13"/>
  <c r="M1292" i="13"/>
  <c r="M1296" i="13"/>
  <c r="M1300" i="13"/>
  <c r="M1303" i="13"/>
  <c r="M1304" i="13"/>
  <c r="M1305" i="13"/>
  <c r="M1316" i="13"/>
  <c r="M1319" i="13"/>
  <c r="M1347" i="13"/>
  <c r="M1348" i="13"/>
  <c r="M1357" i="13"/>
  <c r="M1365" i="13"/>
  <c r="M1373" i="13"/>
  <c r="M1376" i="13"/>
  <c r="M1403" i="13"/>
  <c r="M1429" i="13"/>
  <c r="M1432" i="13"/>
  <c r="M1435" i="13"/>
  <c r="M1441" i="13"/>
  <c r="M1444" i="13"/>
  <c r="M18" i="13"/>
  <c r="M38" i="13"/>
  <c r="M65" i="13"/>
  <c r="M83" i="13"/>
  <c r="M92" i="13"/>
  <c r="M96" i="13"/>
  <c r="M215" i="13"/>
  <c r="M222" i="13"/>
  <c r="M331" i="13"/>
  <c r="M344" i="13"/>
  <c r="M386" i="13"/>
  <c r="M532" i="13"/>
  <c r="M539" i="13"/>
  <c r="M543" i="13"/>
  <c r="M578" i="13"/>
  <c r="M596" i="13"/>
  <c r="M652" i="13"/>
  <c r="M742" i="13"/>
  <c r="M745" i="13"/>
  <c r="M763" i="13"/>
  <c r="M772" i="13"/>
  <c r="M789" i="13"/>
  <c r="M788" i="13"/>
  <c r="M795" i="13"/>
  <c r="M812" i="13"/>
  <c r="M843" i="13"/>
  <c r="M880" i="13"/>
  <c r="M887" i="13"/>
  <c r="M895" i="13"/>
  <c r="M927" i="13"/>
  <c r="M974" i="13"/>
  <c r="M975" i="13"/>
  <c r="M1108" i="13"/>
  <c r="M1122" i="13"/>
  <c r="M1130" i="13"/>
  <c r="M1171" i="13"/>
  <c r="M1218" i="13"/>
  <c r="M1228" i="13"/>
  <c r="M1235" i="13"/>
  <c r="M1273" i="13"/>
  <c r="M1309" i="13"/>
  <c r="M1314" i="13"/>
  <c r="M1317" i="13"/>
  <c r="M1329" i="13"/>
  <c r="M1397" i="13"/>
  <c r="M6" i="13"/>
  <c r="M7" i="13"/>
  <c r="M36" i="13"/>
  <c r="M51" i="13"/>
  <c r="M63" i="13"/>
  <c r="M66" i="13"/>
  <c r="M73" i="13"/>
  <c r="M77" i="13"/>
  <c r="M79" i="13"/>
  <c r="M84" i="13"/>
  <c r="M90" i="13"/>
  <c r="M98" i="13"/>
  <c r="M109" i="13"/>
  <c r="M114" i="13"/>
  <c r="M116" i="13"/>
  <c r="M117" i="13"/>
  <c r="M126" i="13"/>
  <c r="M127" i="13"/>
  <c r="M140" i="13"/>
  <c r="M159" i="13"/>
  <c r="M167" i="13"/>
  <c r="M169" i="13"/>
  <c r="M173" i="13"/>
  <c r="M200" i="13"/>
  <c r="M202" i="13"/>
  <c r="M209" i="13"/>
  <c r="M224" i="13"/>
  <c r="M243" i="13"/>
  <c r="M245" i="13"/>
  <c r="M264" i="13"/>
  <c r="M274" i="13"/>
  <c r="M282" i="13"/>
  <c r="M286" i="13"/>
  <c r="M287" i="13"/>
  <c r="M303" i="13"/>
  <c r="M310" i="13"/>
  <c r="M325" i="13"/>
  <c r="M341" i="13"/>
  <c r="M345" i="13"/>
  <c r="M347" i="13"/>
  <c r="M356" i="13"/>
  <c r="M360" i="13"/>
  <c r="M376" i="13"/>
  <c r="M377" i="13"/>
  <c r="M380" i="13"/>
  <c r="M387" i="13"/>
  <c r="M397" i="13"/>
  <c r="M398" i="13"/>
  <c r="M411" i="13"/>
  <c r="M422" i="13"/>
  <c r="M427" i="13"/>
  <c r="M428" i="13"/>
  <c r="M431" i="13"/>
  <c r="M435" i="13"/>
  <c r="M444" i="13"/>
  <c r="M458" i="13"/>
  <c r="M459" i="13"/>
  <c r="M479" i="13"/>
  <c r="M496" i="13"/>
  <c r="M500" i="13"/>
  <c r="M501" i="13"/>
  <c r="M502" i="13"/>
  <c r="M521" i="13"/>
  <c r="M544" i="13"/>
  <c r="M548" i="13"/>
  <c r="M553" i="13"/>
  <c r="M572" i="13"/>
  <c r="M606" i="13"/>
  <c r="M609" i="13"/>
  <c r="M623" i="13"/>
  <c r="M627" i="13"/>
  <c r="M634" i="13"/>
  <c r="M642" i="13"/>
  <c r="M678" i="13"/>
  <c r="M688" i="13"/>
  <c r="M697" i="13"/>
  <c r="M698" i="13"/>
  <c r="M711" i="13"/>
  <c r="M712" i="13"/>
  <c r="M722" i="13"/>
  <c r="M725" i="13"/>
  <c r="M726" i="13"/>
  <c r="M749" i="13"/>
  <c r="M758" i="13"/>
  <c r="M766" i="13"/>
  <c r="M773" i="13"/>
  <c r="M781" i="13"/>
  <c r="M782" i="13"/>
  <c r="M783" i="13"/>
  <c r="M796" i="13"/>
  <c r="M801" i="13"/>
  <c r="M802" i="13"/>
  <c r="M816" i="13"/>
  <c r="M815" i="13"/>
  <c r="M822" i="13"/>
  <c r="M823" i="13"/>
  <c r="M825" i="13"/>
  <c r="M833" i="13"/>
  <c r="M840" i="13"/>
  <c r="M849" i="13"/>
  <c r="M857" i="13"/>
  <c r="M858" i="13"/>
  <c r="M861" i="13"/>
  <c r="M863" i="13"/>
  <c r="M872" i="13"/>
  <c r="M883" i="13"/>
  <c r="M890" i="13"/>
  <c r="M891" i="13"/>
  <c r="M901" i="13"/>
  <c r="M902" i="13"/>
  <c r="M914" i="13"/>
  <c r="M926" i="13"/>
  <c r="M948" i="13"/>
  <c r="M956" i="13"/>
  <c r="M971" i="13"/>
  <c r="M989" i="13"/>
  <c r="M998" i="13"/>
  <c r="M1010" i="13"/>
  <c r="M1011" i="13"/>
  <c r="M1027" i="13"/>
  <c r="M1030" i="13"/>
  <c r="M1036" i="13"/>
  <c r="M1044" i="13"/>
  <c r="M1048" i="13"/>
  <c r="M1053" i="13"/>
  <c r="M1056" i="13"/>
  <c r="M1061" i="13"/>
  <c r="M1083" i="13"/>
  <c r="M1090" i="13"/>
  <c r="M1116" i="13"/>
  <c r="M1136" i="13"/>
  <c r="M1140" i="13"/>
  <c r="M1167" i="13"/>
  <c r="M1176" i="13"/>
  <c r="M1199" i="13"/>
  <c r="M1224" i="13"/>
  <c r="M1239" i="13"/>
  <c r="M1246" i="13"/>
  <c r="M1250" i="13"/>
  <c r="M1262" i="13"/>
  <c r="M1263" i="13"/>
  <c r="M1285" i="13"/>
  <c r="M1288" i="13"/>
  <c r="M1289" i="13"/>
  <c r="M1299" i="13"/>
  <c r="M1301" i="13"/>
  <c r="M1326" i="13"/>
  <c r="M1331" i="13"/>
  <c r="M1340" i="13"/>
  <c r="M1351" i="13"/>
  <c r="M1360" i="13"/>
  <c r="M1368" i="13"/>
  <c r="M1370" i="13"/>
  <c r="M1371" i="13"/>
  <c r="M1378" i="13"/>
  <c r="M1380" i="13"/>
  <c r="M1386" i="13"/>
  <c r="M1388" i="13"/>
  <c r="M1394" i="13"/>
  <c r="M1405" i="13"/>
  <c r="M1420" i="13"/>
  <c r="M1439" i="13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F13" i="13"/>
  <c r="F29" i="13"/>
  <c r="F31" i="13"/>
  <c r="F37" i="13"/>
  <c r="F39" i="13"/>
  <c r="F40" i="13"/>
  <c r="F54" i="13"/>
  <c r="F87" i="13"/>
  <c r="F94" i="13"/>
  <c r="F102" i="13"/>
  <c r="F103" i="13"/>
  <c r="F105" i="13"/>
  <c r="F108" i="13"/>
  <c r="F119" i="13"/>
  <c r="F120" i="13"/>
  <c r="F136" i="13"/>
  <c r="F141" i="13"/>
  <c r="F142" i="13"/>
  <c r="F145" i="13"/>
  <c r="F148" i="13"/>
  <c r="F166" i="13"/>
  <c r="F176" i="13"/>
  <c r="F181" i="13"/>
  <c r="F188" i="13"/>
  <c r="F189" i="13"/>
  <c r="F193" i="13"/>
  <c r="F210" i="13"/>
  <c r="F217" i="13"/>
  <c r="F220" i="13"/>
  <c r="F233" i="13"/>
  <c r="F237" i="13"/>
  <c r="F254" i="13"/>
  <c r="F272" i="13"/>
  <c r="F277" i="13"/>
  <c r="F290" i="13"/>
  <c r="F292" i="13"/>
  <c r="F294" i="13"/>
  <c r="F332" i="13"/>
  <c r="F337" i="13"/>
  <c r="F343" i="13"/>
  <c r="F352" i="13"/>
  <c r="F353" i="13"/>
  <c r="F361" i="13"/>
  <c r="F363" i="13"/>
  <c r="F366" i="13"/>
  <c r="F370" i="13"/>
  <c r="F371" i="13"/>
  <c r="F372" i="13"/>
  <c r="F379" i="13"/>
  <c r="F403" i="13"/>
  <c r="F404" i="13"/>
  <c r="F414" i="13"/>
  <c r="F418" i="13"/>
  <c r="F419" i="13"/>
  <c r="F423" i="13"/>
  <c r="F424" i="13"/>
  <c r="F438" i="13"/>
  <c r="F439" i="13"/>
  <c r="F440" i="13"/>
  <c r="F442" i="13"/>
  <c r="F463" i="13"/>
  <c r="F478" i="13"/>
  <c r="F482" i="13"/>
  <c r="F487" i="13"/>
  <c r="F493" i="13"/>
  <c r="F510" i="13"/>
  <c r="F530" i="13"/>
  <c r="F542" i="13"/>
  <c r="F552" i="13"/>
  <c r="F563" i="13"/>
  <c r="F566" i="13"/>
  <c r="F589" i="13"/>
  <c r="F590" i="13"/>
  <c r="F602" i="13"/>
  <c r="F604" i="13"/>
  <c r="F626" i="13"/>
  <c r="F637" i="13"/>
  <c r="F641" i="13"/>
  <c r="F648" i="13"/>
  <c r="F651" i="13"/>
  <c r="F663" i="13"/>
  <c r="F700" i="13"/>
  <c r="F710" i="13"/>
  <c r="F718" i="13"/>
  <c r="F739" i="13"/>
  <c r="F743" i="13"/>
  <c r="F746" i="13"/>
  <c r="F759" i="13"/>
  <c r="F765" i="13"/>
  <c r="F774" i="13"/>
  <c r="F778" i="13"/>
  <c r="F811" i="13"/>
  <c r="F827" i="13"/>
  <c r="F830" i="13"/>
  <c r="F865" i="13"/>
  <c r="F869" i="13"/>
  <c r="F870" i="13"/>
  <c r="F875" i="13"/>
  <c r="F877" i="13"/>
  <c r="F882" i="13"/>
  <c r="F884" i="13"/>
  <c r="F916" i="13"/>
  <c r="F918" i="13"/>
  <c r="F920" i="13"/>
  <c r="F929" i="13"/>
  <c r="F933" i="13"/>
  <c r="F955" i="13"/>
  <c r="F961" i="13"/>
  <c r="F962" i="13"/>
  <c r="F969" i="13"/>
  <c r="F987" i="13"/>
  <c r="F988" i="13"/>
  <c r="F1009" i="13"/>
  <c r="F1034" i="13"/>
  <c r="F1039" i="13"/>
  <c r="F1045" i="13"/>
  <c r="F1047" i="13"/>
  <c r="F1062" i="13"/>
  <c r="F1079" i="13"/>
  <c r="F1080" i="13"/>
  <c r="F1084" i="13"/>
  <c r="F1087" i="13"/>
  <c r="F1094" i="13"/>
  <c r="F1131" i="13"/>
  <c r="F1138" i="13"/>
  <c r="F1142" i="13"/>
  <c r="F1150" i="13"/>
  <c r="F1151" i="13"/>
  <c r="F1155" i="13"/>
  <c r="F1158" i="13"/>
  <c r="F1161" i="13"/>
  <c r="F1170" i="13"/>
  <c r="F1179" i="13"/>
  <c r="F1181" i="13"/>
  <c r="F1231" i="13"/>
  <c r="F1236" i="13"/>
  <c r="F1256" i="13"/>
  <c r="F1259" i="13"/>
  <c r="F1268" i="13"/>
  <c r="F1320" i="13"/>
  <c r="F1324" i="13"/>
  <c r="F1325" i="13"/>
  <c r="F1342" i="13"/>
  <c r="F1369" i="13"/>
  <c r="F1372" i="13"/>
  <c r="F1379" i="13"/>
  <c r="F1387" i="13"/>
  <c r="F1395" i="13"/>
  <c r="F1419" i="13"/>
  <c r="F1427" i="13"/>
  <c r="F1431" i="13"/>
  <c r="F1442" i="13"/>
  <c r="F9" i="13"/>
  <c r="F14" i="13"/>
  <c r="F26" i="13"/>
  <c r="F30" i="13"/>
  <c r="F43" i="13"/>
  <c r="F48" i="13"/>
  <c r="F49" i="13"/>
  <c r="F67" i="13"/>
  <c r="F80" i="13"/>
  <c r="F95" i="13"/>
  <c r="F147" i="13"/>
  <c r="F149" i="13"/>
  <c r="F153" i="13"/>
  <c r="F163" i="13"/>
  <c r="F168" i="13"/>
  <c r="F170" i="13"/>
  <c r="F190" i="13"/>
  <c r="F205" i="13"/>
  <c r="F211" i="13"/>
  <c r="F216" i="13"/>
  <c r="F218" i="13"/>
  <c r="F234" i="13"/>
  <c r="F267" i="13"/>
  <c r="F268" i="13"/>
  <c r="F291" i="13"/>
  <c r="F312" i="13"/>
  <c r="F324" i="13"/>
  <c r="F330" i="13"/>
  <c r="F335" i="13"/>
  <c r="F338" i="13"/>
  <c r="F342" i="13"/>
  <c r="F355" i="13"/>
  <c r="F358" i="13"/>
  <c r="F401" i="13"/>
  <c r="F405" i="13"/>
  <c r="F417" i="13"/>
  <c r="F436" i="13"/>
  <c r="F445" i="13"/>
  <c r="F449" i="13"/>
  <c r="F456" i="13"/>
  <c r="F461" i="13"/>
  <c r="F464" i="13"/>
  <c r="F474" i="13"/>
  <c r="F486" i="13"/>
  <c r="F503" i="13"/>
  <c r="F511" i="13"/>
  <c r="F519" i="13"/>
  <c r="F540" i="13"/>
  <c r="F557" i="13"/>
  <c r="F558" i="13"/>
  <c r="F568" i="13"/>
  <c r="F581" i="13"/>
  <c r="F617" i="13"/>
  <c r="F638" i="13"/>
  <c r="F653" i="13"/>
  <c r="F656" i="13"/>
  <c r="F657" i="13"/>
  <c r="F665" i="13"/>
  <c r="F671" i="13"/>
  <c r="F673" i="13"/>
  <c r="F674" i="13"/>
  <c r="F675" i="13"/>
  <c r="F689" i="13"/>
  <c r="F704" i="13"/>
  <c r="F708" i="13"/>
  <c r="F723" i="13"/>
  <c r="F727" i="13"/>
  <c r="F728" i="13"/>
  <c r="F731" i="13"/>
  <c r="F736" i="13"/>
  <c r="F755" i="13"/>
  <c r="F779" i="13"/>
  <c r="F785" i="13"/>
  <c r="F792" i="13"/>
  <c r="F797" i="13"/>
  <c r="F805" i="13"/>
  <c r="F820" i="13"/>
  <c r="F821" i="13"/>
  <c r="F836" i="13"/>
  <c r="F844" i="13"/>
  <c r="F862" i="13"/>
  <c r="F866" i="13"/>
  <c r="F881" i="13"/>
  <c r="F886" i="13"/>
  <c r="F921" i="13"/>
  <c r="F934" i="13"/>
  <c r="F938" i="13"/>
  <c r="F944" i="13"/>
  <c r="F950" i="13"/>
  <c r="F957" i="13"/>
  <c r="F958" i="13"/>
  <c r="F1012" i="13"/>
  <c r="F1023" i="13"/>
  <c r="F1028" i="13"/>
  <c r="F1032" i="13"/>
  <c r="F1038" i="13"/>
  <c r="F1040" i="13"/>
  <c r="F1051" i="13"/>
  <c r="F1071" i="13"/>
  <c r="F1078" i="13"/>
  <c r="F1088" i="13"/>
  <c r="F1089" i="13"/>
  <c r="F1106" i="13"/>
  <c r="F1115" i="13"/>
  <c r="F1124" i="13"/>
  <c r="F1139" i="13"/>
  <c r="F1141" i="13"/>
  <c r="F1145" i="13"/>
  <c r="F1149" i="13"/>
  <c r="F1154" i="13"/>
  <c r="F1156" i="13"/>
  <c r="F1160" i="13"/>
  <c r="F1182" i="13"/>
  <c r="F1195" i="13"/>
  <c r="F1196" i="13"/>
  <c r="F1198" i="13"/>
  <c r="F1202" i="13"/>
  <c r="F1203" i="13"/>
  <c r="F1204" i="13"/>
  <c r="F1205" i="13"/>
  <c r="F1206" i="13"/>
  <c r="F1207" i="13"/>
  <c r="F1211" i="13"/>
  <c r="F1217" i="13"/>
  <c r="F1219" i="13"/>
  <c r="F1244" i="13"/>
  <c r="F1255" i="13"/>
  <c r="F1294" i="13"/>
  <c r="F1297" i="13"/>
  <c r="F1312" i="13"/>
  <c r="F1333" i="13"/>
  <c r="F1335" i="13"/>
  <c r="F1337" i="13"/>
  <c r="F1344" i="13"/>
  <c r="F1362" i="13"/>
  <c r="F1363" i="13"/>
  <c r="F1367" i="13"/>
  <c r="F1389" i="13"/>
  <c r="F1393" i="13"/>
  <c r="F1399" i="13"/>
  <c r="F1402" i="13"/>
  <c r="F1412" i="13"/>
  <c r="F1434" i="13"/>
  <c r="F1448" i="13"/>
  <c r="F11" i="13"/>
  <c r="F21" i="13"/>
  <c r="F33" i="13"/>
  <c r="F50" i="13"/>
  <c r="F52" i="13"/>
  <c r="F56" i="13"/>
  <c r="F55" i="13"/>
  <c r="F68" i="13"/>
  <c r="F133" i="13"/>
  <c r="F138" i="13"/>
  <c r="F139" i="13"/>
  <c r="F143" i="13"/>
  <c r="F151" i="13"/>
  <c r="F157" i="13"/>
  <c r="F178" i="13"/>
  <c r="F194" i="13"/>
  <c r="F198" i="13"/>
  <c r="F199" i="13"/>
  <c r="F206" i="13"/>
  <c r="F219" i="13"/>
  <c r="F238" i="13"/>
  <c r="F255" i="13"/>
  <c r="F266" i="13"/>
  <c r="F276" i="13"/>
  <c r="F280" i="13"/>
  <c r="F295" i="13"/>
  <c r="F304" i="13"/>
  <c r="F346" i="13"/>
  <c r="F348" i="13"/>
  <c r="F364" i="13"/>
  <c r="F382" i="13"/>
  <c r="F395" i="13"/>
  <c r="F408" i="13"/>
  <c r="F448" i="13"/>
  <c r="F462" i="13"/>
  <c r="F468" i="13"/>
  <c r="F477" i="13"/>
  <c r="F507" i="13"/>
  <c r="F524" i="13"/>
  <c r="F545" i="13"/>
  <c r="F559" i="13"/>
  <c r="F585" i="13"/>
  <c r="F598" i="13"/>
  <c r="F619" i="13"/>
  <c r="F620" i="13"/>
  <c r="F625" i="13"/>
  <c r="F628" i="13"/>
  <c r="F631" i="13"/>
  <c r="F647" i="13"/>
  <c r="F664" i="13"/>
  <c r="F669" i="13"/>
  <c r="F677" i="13"/>
  <c r="F707" i="13"/>
  <c r="F719" i="13"/>
  <c r="F724" i="13"/>
  <c r="F737" i="13"/>
  <c r="F741" i="13"/>
  <c r="F784" i="13"/>
  <c r="F818" i="13"/>
  <c r="F831" i="13"/>
  <c r="F842" i="13"/>
  <c r="F851" i="13"/>
  <c r="F888" i="13"/>
  <c r="F904" i="13"/>
  <c r="F925" i="13"/>
  <c r="F928" i="13"/>
  <c r="F937" i="13"/>
  <c r="F959" i="13"/>
  <c r="F960" i="13"/>
  <c r="F978" i="13"/>
  <c r="F1024" i="13"/>
  <c r="F1086" i="13"/>
  <c r="F1148" i="13"/>
  <c r="F1146" i="13"/>
  <c r="F1157" i="13"/>
  <c r="F1222" i="13"/>
  <c r="F1264" i="13"/>
  <c r="F1290" i="13"/>
  <c r="F1307" i="13"/>
  <c r="F1341" i="13"/>
  <c r="F1346" i="13"/>
  <c r="F1385" i="13"/>
  <c r="F1410" i="13"/>
  <c r="F1411" i="13"/>
  <c r="F1421" i="13"/>
  <c r="F1425" i="13"/>
  <c r="F1433" i="13"/>
  <c r="F3" i="13"/>
  <c r="F32" i="13"/>
  <c r="F44" i="13"/>
  <c r="F45" i="13"/>
  <c r="F57" i="13"/>
  <c r="F58" i="13"/>
  <c r="F60" i="13"/>
  <c r="F71" i="13"/>
  <c r="F78" i="13"/>
  <c r="F100" i="13"/>
  <c r="F104" i="13"/>
  <c r="F110" i="13"/>
  <c r="F118" i="13"/>
  <c r="F123" i="13"/>
  <c r="F124" i="13"/>
  <c r="F128" i="13"/>
  <c r="F146" i="13"/>
  <c r="F162" i="13"/>
  <c r="F184" i="13"/>
  <c r="F197" i="13"/>
  <c r="F208" i="13"/>
  <c r="F226" i="13"/>
  <c r="F229" i="13"/>
  <c r="F236" i="13"/>
  <c r="F244" i="13"/>
  <c r="F249" i="13"/>
  <c r="F250" i="13"/>
  <c r="F263" i="13"/>
  <c r="F275" i="13"/>
  <c r="F311" i="13"/>
  <c r="F323" i="13"/>
  <c r="F354" i="13"/>
  <c r="F359" i="13"/>
  <c r="F367" i="13"/>
  <c r="F375" i="13"/>
  <c r="F378" i="13"/>
  <c r="F396" i="13"/>
  <c r="F409" i="13"/>
  <c r="F415" i="13"/>
  <c r="F416" i="13"/>
  <c r="F425" i="13"/>
  <c r="F447" i="13"/>
  <c r="F469" i="13"/>
  <c r="F475" i="13"/>
  <c r="F483" i="13"/>
  <c r="F490" i="13"/>
  <c r="F494" i="13"/>
  <c r="F497" i="13"/>
  <c r="F514" i="13"/>
  <c r="F515" i="13"/>
  <c r="F516" i="13"/>
  <c r="F518" i="13"/>
  <c r="F522" i="13"/>
  <c r="F529" i="13"/>
  <c r="F556" i="13"/>
  <c r="F560" i="13"/>
  <c r="F565" i="13"/>
  <c r="F573" i="13"/>
  <c r="F574" i="13"/>
  <c r="F575" i="13"/>
  <c r="F577" i="13"/>
  <c r="F583" i="13"/>
  <c r="F595" i="13"/>
  <c r="F624" i="13"/>
  <c r="F630" i="13"/>
  <c r="F636" i="13"/>
  <c r="F659" i="13"/>
  <c r="F660" i="13"/>
  <c r="F667" i="13"/>
  <c r="F670" i="13"/>
  <c r="F680" i="13"/>
  <c r="F681" i="13"/>
  <c r="F693" i="13"/>
  <c r="F695" i="13"/>
  <c r="F703" i="13"/>
  <c r="F729" i="13"/>
  <c r="F753" i="13"/>
  <c r="F760" i="13"/>
  <c r="F768" i="13"/>
  <c r="F771" i="13"/>
  <c r="F786" i="13"/>
  <c r="F787" i="13"/>
  <c r="F791" i="13"/>
  <c r="F819" i="13"/>
  <c r="F832" i="13"/>
  <c r="F839" i="13"/>
  <c r="F846" i="13"/>
  <c r="F850" i="13"/>
  <c r="F873" i="13"/>
  <c r="F898" i="13"/>
  <c r="F930" i="13"/>
  <c r="F932" i="13"/>
  <c r="F949" i="13"/>
  <c r="F963" i="13"/>
  <c r="F965" i="13"/>
  <c r="F966" i="13"/>
  <c r="F968" i="13"/>
  <c r="F996" i="13"/>
  <c r="F1013" i="13"/>
  <c r="F1049" i="13"/>
  <c r="F1058" i="13"/>
  <c r="F1066" i="13"/>
  <c r="F1077" i="13"/>
  <c r="F1096" i="13"/>
  <c r="F1100" i="13"/>
  <c r="F1107" i="13"/>
  <c r="F1109" i="13"/>
  <c r="F1135" i="13"/>
  <c r="F1144" i="13"/>
  <c r="F1162" i="13"/>
  <c r="F1163" i="13"/>
  <c r="F1164" i="13"/>
  <c r="F1168" i="13"/>
  <c r="F1169" i="13"/>
  <c r="F1194" i="13"/>
  <c r="F1197" i="13"/>
  <c r="F1229" i="13"/>
  <c r="F1238" i="13"/>
  <c r="F1269" i="13"/>
  <c r="F1270" i="13"/>
  <c r="F1284" i="13"/>
  <c r="F1287" i="13"/>
  <c r="F1295" i="13"/>
  <c r="F1308" i="13"/>
  <c r="F1310" i="13"/>
  <c r="F1322" i="13"/>
  <c r="F1328" i="13"/>
  <c r="F1332" i="13"/>
  <c r="F1334" i="13"/>
  <c r="F1352" i="13"/>
  <c r="F1356" i="13"/>
  <c r="F1361" i="13"/>
  <c r="F1391" i="13"/>
  <c r="F1392" i="13"/>
  <c r="F1398" i="13"/>
  <c r="F1400" i="13"/>
  <c r="F1408" i="13"/>
  <c r="F1422" i="13"/>
  <c r="F1437" i="13"/>
  <c r="F1438" i="13"/>
  <c r="F1445" i="13"/>
  <c r="F19" i="13"/>
  <c r="F22" i="13"/>
  <c r="F41" i="13"/>
  <c r="F46" i="13"/>
  <c r="F47" i="13"/>
  <c r="F53" i="13"/>
  <c r="F59" i="13"/>
  <c r="F75" i="13"/>
  <c r="F101" i="13"/>
  <c r="F111" i="13"/>
  <c r="F122" i="13"/>
  <c r="F134" i="13"/>
  <c r="F150" i="13"/>
  <c r="F154" i="13"/>
  <c r="F172" i="13"/>
  <c r="F179" i="13"/>
  <c r="F185" i="13"/>
  <c r="F186" i="13"/>
  <c r="F187" i="13"/>
  <c r="F191" i="13"/>
  <c r="F201" i="13"/>
  <c r="F242" i="13"/>
  <c r="F248" i="13"/>
  <c r="F251" i="13"/>
  <c r="F256" i="13"/>
  <c r="F260" i="13"/>
  <c r="F278" i="13"/>
  <c r="F279" i="13"/>
  <c r="F293" i="13"/>
  <c r="F296" i="13"/>
  <c r="F299" i="13"/>
  <c r="F301" i="13"/>
  <c r="F314" i="13"/>
  <c r="F317" i="13"/>
  <c r="F326" i="13"/>
  <c r="F328" i="13"/>
  <c r="F333" i="13"/>
  <c r="F334" i="13"/>
  <c r="F339" i="13"/>
  <c r="F349" i="13"/>
  <c r="F351" i="13"/>
  <c r="F365" i="13"/>
  <c r="F368" i="13"/>
  <c r="F384" i="13"/>
  <c r="F385" i="13"/>
  <c r="F389" i="13"/>
  <c r="F392" i="13"/>
  <c r="F400" i="13"/>
  <c r="F412" i="13"/>
  <c r="F433" i="13"/>
  <c r="F441" i="13"/>
  <c r="F451" i="13"/>
  <c r="F455" i="13"/>
  <c r="F460" i="13"/>
  <c r="F480" i="13"/>
  <c r="F484" i="13"/>
  <c r="F489" i="13"/>
  <c r="F498" i="13"/>
  <c r="F508" i="13"/>
  <c r="F512" i="13"/>
  <c r="F531" i="13"/>
  <c r="F533" i="13"/>
  <c r="F546" i="13"/>
  <c r="F554" i="13"/>
  <c r="F570" i="13"/>
  <c r="F580" i="13"/>
  <c r="F584" i="13"/>
  <c r="F586" i="13"/>
  <c r="F610" i="13"/>
  <c r="F616" i="13"/>
  <c r="F629" i="13"/>
  <c r="F632" i="13"/>
  <c r="F635" i="13"/>
  <c r="F639" i="13"/>
  <c r="F649" i="13"/>
  <c r="F661" i="13"/>
  <c r="F662" i="13"/>
  <c r="F701" i="13"/>
  <c r="F702" i="13"/>
  <c r="F734" i="13"/>
  <c r="F735" i="13"/>
  <c r="F738" i="13"/>
  <c r="F740" i="13"/>
  <c r="F747" i="13"/>
  <c r="F751" i="13"/>
  <c r="F754" i="13"/>
  <c r="F761" i="13"/>
  <c r="F798" i="13"/>
  <c r="F799" i="13"/>
  <c r="F808" i="13"/>
  <c r="F809" i="13"/>
  <c r="F810" i="13"/>
  <c r="F826" i="13"/>
  <c r="F834" i="13"/>
  <c r="F835" i="13"/>
  <c r="F837" i="13"/>
  <c r="F847" i="13"/>
  <c r="F848" i="13"/>
  <c r="F852" i="13"/>
  <c r="F864" i="13"/>
  <c r="F876" i="13"/>
  <c r="F889" i="13"/>
  <c r="F894" i="13"/>
  <c r="F913" i="13"/>
  <c r="F917" i="13"/>
  <c r="F919" i="13"/>
  <c r="F935" i="13"/>
  <c r="F941" i="13"/>
  <c r="F946" i="13"/>
  <c r="F967" i="13"/>
  <c r="F980" i="13"/>
  <c r="F981" i="13"/>
  <c r="F984" i="13"/>
  <c r="F986" i="13"/>
  <c r="F992" i="13"/>
  <c r="F994" i="13"/>
  <c r="F1000" i="13"/>
  <c r="F1001" i="13"/>
  <c r="F1007" i="13"/>
  <c r="F1008" i="13"/>
  <c r="F1014" i="13"/>
  <c r="F1018" i="13"/>
  <c r="F1019" i="13"/>
  <c r="F1021" i="13"/>
  <c r="F1022" i="13"/>
  <c r="F1029" i="13"/>
  <c r="F1050" i="13"/>
  <c r="F1055" i="13"/>
  <c r="F1060" i="13"/>
  <c r="F1064" i="13"/>
  <c r="F1073" i="13"/>
  <c r="F1074" i="13"/>
  <c r="F1093" i="13"/>
  <c r="F1099" i="13"/>
  <c r="F1101" i="13"/>
  <c r="F1102" i="13"/>
  <c r="F1103" i="13"/>
  <c r="F1153" i="13"/>
  <c r="F1152" i="13"/>
  <c r="F1174" i="13"/>
  <c r="F1177" i="13"/>
  <c r="F1187" i="13"/>
  <c r="F1189" i="13"/>
  <c r="F1208" i="13"/>
  <c r="F1209" i="13"/>
  <c r="F1210" i="13"/>
  <c r="F1216" i="13"/>
  <c r="F1220" i="13"/>
  <c r="F1234" i="13"/>
  <c r="F1247" i="13"/>
  <c r="F1252" i="13"/>
  <c r="F1258" i="13"/>
  <c r="F1282" i="13"/>
  <c r="F1283" i="13"/>
  <c r="F1302" i="13"/>
  <c r="F1330" i="13"/>
  <c r="F1336" i="13"/>
  <c r="F1338" i="13"/>
  <c r="F1339" i="13"/>
  <c r="F1353" i="13"/>
  <c r="F1377" i="13"/>
  <c r="F1381" i="13"/>
  <c r="F1382" i="13"/>
  <c r="F1384" i="13"/>
  <c r="F1396" i="13"/>
  <c r="F1401" i="13"/>
  <c r="F1406" i="13"/>
  <c r="F1413" i="13"/>
  <c r="F1417" i="13"/>
  <c r="F1423" i="13"/>
  <c r="F1426" i="13"/>
  <c r="F1447" i="13"/>
  <c r="F2" i="13"/>
  <c r="F5" i="13"/>
  <c r="F8" i="13"/>
  <c r="F10" i="13"/>
  <c r="F25" i="13"/>
  <c r="F62" i="13"/>
  <c r="F72" i="13"/>
  <c r="F76" i="13"/>
  <c r="F81" i="13"/>
  <c r="F82" i="13"/>
  <c r="F85" i="13"/>
  <c r="F112" i="13"/>
  <c r="F113" i="13"/>
  <c r="F115" i="13"/>
  <c r="F121" i="13"/>
  <c r="F129" i="13"/>
  <c r="F130" i="13"/>
  <c r="F137" i="13"/>
  <c r="F144" i="13"/>
  <c r="F171" i="13"/>
  <c r="F174" i="13"/>
  <c r="F175" i="13"/>
  <c r="F182" i="13"/>
  <c r="F204" i="13"/>
  <c r="F214" i="13"/>
  <c r="F227" i="13"/>
  <c r="F257" i="13"/>
  <c r="F259" i="13"/>
  <c r="F270" i="13"/>
  <c r="F281" i="13"/>
  <c r="F289" i="13"/>
  <c r="F307" i="13"/>
  <c r="F308" i="13"/>
  <c r="F315" i="13"/>
  <c r="F316" i="13"/>
  <c r="F318" i="13"/>
  <c r="F362" i="13"/>
  <c r="F388" i="13"/>
  <c r="F391" i="13"/>
  <c r="F393" i="13"/>
  <c r="F420" i="13"/>
  <c r="F421" i="13"/>
  <c r="F453" i="13"/>
  <c r="F454" i="13"/>
  <c r="F465" i="13"/>
  <c r="F466" i="13"/>
  <c r="F481" i="13"/>
  <c r="F485" i="13"/>
  <c r="F491" i="13"/>
  <c r="F492" i="13"/>
  <c r="F499" i="13"/>
  <c r="F520" i="13"/>
  <c r="F523" i="13"/>
  <c r="F547" i="13"/>
  <c r="F549" i="13"/>
  <c r="F551" i="13"/>
  <c r="F555" i="13"/>
  <c r="F561" i="13"/>
  <c r="F571" i="13"/>
  <c r="F579" i="13"/>
  <c r="F582" i="13"/>
  <c r="F593" i="13"/>
  <c r="F594" i="13"/>
  <c r="F599" i="13"/>
  <c r="F603" i="13"/>
  <c r="F605" i="13"/>
  <c r="F607" i="13"/>
  <c r="F612" i="13"/>
  <c r="F614" i="13"/>
  <c r="F618" i="13"/>
  <c r="F622" i="13"/>
  <c r="F633" i="13"/>
  <c r="F655" i="13"/>
  <c r="F658" i="13"/>
  <c r="F666" i="13"/>
  <c r="F668" i="13"/>
  <c r="F683" i="13"/>
  <c r="F691" i="13"/>
  <c r="F692" i="13"/>
  <c r="F713" i="13"/>
  <c r="F714" i="13"/>
  <c r="F715" i="13"/>
  <c r="F750" i="13"/>
  <c r="F752" i="13"/>
  <c r="F762" i="13"/>
  <c r="F769" i="13"/>
  <c r="F776" i="13"/>
  <c r="F777" i="13"/>
  <c r="F780" i="13"/>
  <c r="F790" i="13"/>
  <c r="F800" i="13"/>
  <c r="F817" i="13"/>
  <c r="F824" i="13"/>
  <c r="F838" i="13"/>
  <c r="F853" i="13"/>
  <c r="F854" i="13"/>
  <c r="F860" i="13"/>
  <c r="F878" i="13"/>
  <c r="F899" i="13"/>
  <c r="F903" i="13"/>
  <c r="F915" i="13"/>
  <c r="F924" i="13"/>
  <c r="F931" i="13"/>
  <c r="F936" i="13"/>
  <c r="F940" i="13"/>
  <c r="F947" i="13"/>
  <c r="F952" i="13"/>
  <c r="F953" i="13"/>
  <c r="F982" i="13"/>
  <c r="F999" i="13"/>
  <c r="F1005" i="13"/>
  <c r="F1006" i="13"/>
  <c r="F1015" i="13"/>
  <c r="F1016" i="13"/>
  <c r="F1026" i="13"/>
  <c r="F1042" i="13"/>
  <c r="F1046" i="13"/>
  <c r="F1054" i="13"/>
  <c r="F1057" i="13"/>
  <c r="F1065" i="13"/>
  <c r="F1068" i="13"/>
  <c r="F1072" i="13"/>
  <c r="F1076" i="13"/>
  <c r="F1082" i="13"/>
  <c r="F1085" i="13"/>
  <c r="F1091" i="13"/>
  <c r="F1113" i="13"/>
  <c r="F1118" i="13"/>
  <c r="F1119" i="13"/>
  <c r="F1120" i="13"/>
  <c r="F1128" i="13"/>
  <c r="F1129" i="13"/>
  <c r="F1133" i="13"/>
  <c r="F1137" i="13"/>
  <c r="F1147" i="13"/>
  <c r="F1184" i="13"/>
  <c r="F1191" i="13"/>
  <c r="F1212" i="13"/>
  <c r="F1213" i="13"/>
  <c r="F1223" i="13"/>
  <c r="F1225" i="13"/>
  <c r="F1232" i="13"/>
  <c r="F1237" i="13"/>
  <c r="F1245" i="13"/>
  <c r="F1261" i="13"/>
  <c r="F1274" i="13"/>
  <c r="F1281" i="13"/>
  <c r="F1293" i="13"/>
  <c r="F1311" i="13"/>
  <c r="F1318" i="13"/>
  <c r="F1350" i="13"/>
  <c r="F1354" i="13"/>
  <c r="F1358" i="13"/>
  <c r="F1366" i="13"/>
  <c r="F1375" i="13"/>
  <c r="F1404" i="13"/>
  <c r="F1407" i="13"/>
  <c r="F1414" i="13"/>
  <c r="F1418" i="13"/>
  <c r="F1430" i="13"/>
  <c r="F1436" i="13"/>
  <c r="F1440" i="13"/>
  <c r="F4" i="13"/>
  <c r="F20" i="13"/>
  <c r="F23" i="13"/>
  <c r="F24" i="13"/>
  <c r="F34" i="13"/>
  <c r="F61" i="13"/>
  <c r="F74" i="13"/>
  <c r="F155" i="13"/>
  <c r="F156" i="13"/>
  <c r="F161" i="13"/>
  <c r="F195" i="13"/>
  <c r="F196" i="13"/>
  <c r="F284" i="13"/>
  <c r="F297" i="13"/>
  <c r="F306" i="13"/>
  <c r="F313" i="13"/>
  <c r="F340" i="13"/>
  <c r="F369" i="13"/>
  <c r="F390" i="13"/>
  <c r="F402" i="13"/>
  <c r="F407" i="13"/>
  <c r="F429" i="13"/>
  <c r="F488" i="13"/>
  <c r="F505" i="13"/>
  <c r="F513" i="13"/>
  <c r="F526" i="13"/>
  <c r="F587" i="13"/>
  <c r="F597" i="13"/>
  <c r="F679" i="13"/>
  <c r="F684" i="13"/>
  <c r="F685" i="13"/>
  <c r="F686" i="13"/>
  <c r="F720" i="13"/>
  <c r="F733" i="13"/>
  <c r="F744" i="13"/>
  <c r="F756" i="13"/>
  <c r="F775" i="13"/>
  <c r="F829" i="13"/>
  <c r="F868" i="13"/>
  <c r="F893" i="13"/>
  <c r="F909" i="13"/>
  <c r="F910" i="13"/>
  <c r="F943" i="13"/>
  <c r="F954" i="13"/>
  <c r="F997" i="13"/>
  <c r="F1059" i="13"/>
  <c r="F1075" i="13"/>
  <c r="F1081" i="13"/>
  <c r="F1092" i="13"/>
  <c r="F1095" i="13"/>
  <c r="F1097" i="13"/>
  <c r="F1098" i="13"/>
  <c r="F1105" i="13"/>
  <c r="F1117" i="13"/>
  <c r="F1123" i="13"/>
  <c r="F1125" i="13"/>
  <c r="F1126" i="13"/>
  <c r="F1134" i="13"/>
  <c r="F1175" i="13"/>
  <c r="F1193" i="13"/>
  <c r="F1201" i="13"/>
  <c r="F1226" i="13"/>
  <c r="F1249" i="13"/>
  <c r="F1279" i="13"/>
  <c r="F1306" i="13"/>
  <c r="F1315" i="13"/>
  <c r="F1343" i="13"/>
  <c r="F1345" i="13"/>
  <c r="F1355" i="13"/>
  <c r="F1359" i="13"/>
  <c r="F1364" i="13"/>
  <c r="F1374" i="13"/>
  <c r="F1383" i="13"/>
  <c r="F1390" i="13"/>
  <c r="F1415" i="13"/>
  <c r="F1443" i="13"/>
  <c r="F1446" i="13"/>
  <c r="F12" i="13"/>
  <c r="F15" i="13"/>
  <c r="F28" i="13"/>
  <c r="F42" i="13"/>
  <c r="F64" i="13"/>
  <c r="F70" i="13"/>
  <c r="F89" i="13"/>
  <c r="F91" i="13"/>
  <c r="F93" i="13"/>
  <c r="F97" i="13"/>
  <c r="F152" i="13"/>
  <c r="F183" i="13"/>
  <c r="F213" i="13"/>
  <c r="F228" i="13"/>
  <c r="F231" i="13"/>
  <c r="F240" i="13"/>
  <c r="F258" i="13"/>
  <c r="F262" i="13"/>
  <c r="F265" i="13"/>
  <c r="F298" i="13"/>
  <c r="F302" i="13"/>
  <c r="F321" i="13"/>
  <c r="F327" i="13"/>
  <c r="F336" i="13"/>
  <c r="F350" i="13"/>
  <c r="F381" i="13"/>
  <c r="F394" i="13"/>
  <c r="F399" i="13"/>
  <c r="F426" i="13"/>
  <c r="F434" i="13"/>
  <c r="F437" i="13"/>
  <c r="F443" i="13"/>
  <c r="F452" i="13"/>
  <c r="F467" i="13"/>
  <c r="F471" i="13"/>
  <c r="F476" i="13"/>
  <c r="F506" i="13"/>
  <c r="F517" i="13"/>
  <c r="F527" i="13"/>
  <c r="F528" i="13"/>
  <c r="F536" i="13"/>
  <c r="F541" i="13"/>
  <c r="F567" i="13"/>
  <c r="F601" i="13"/>
  <c r="F611" i="13"/>
  <c r="F613" i="13"/>
  <c r="F621" i="13"/>
  <c r="F644" i="13"/>
  <c r="F654" i="13"/>
  <c r="F672" i="13"/>
  <c r="F676" i="13"/>
  <c r="F682" i="13"/>
  <c r="F687" i="13"/>
  <c r="F690" i="13"/>
  <c r="F696" i="13"/>
  <c r="F699" i="13"/>
  <c r="F705" i="13"/>
  <c r="F706" i="13"/>
  <c r="F709" i="13"/>
  <c r="F730" i="13"/>
  <c r="F757" i="13"/>
  <c r="F770" i="13"/>
  <c r="F794" i="13"/>
  <c r="F804" i="13"/>
  <c r="F807" i="13"/>
  <c r="F828" i="13"/>
  <c r="F859" i="13"/>
  <c r="F874" i="13"/>
  <c r="F907" i="13"/>
  <c r="F977" i="13"/>
  <c r="F990" i="13"/>
  <c r="F991" i="13"/>
  <c r="F1002" i="13"/>
  <c r="F1003" i="13"/>
  <c r="F1020" i="13"/>
  <c r="F1031" i="13"/>
  <c r="F1035" i="13"/>
  <c r="F1037" i="13"/>
  <c r="F1067" i="13"/>
  <c r="F1070" i="13"/>
  <c r="F1104" i="13"/>
  <c r="F1110" i="13"/>
  <c r="F1111" i="13"/>
  <c r="F1114" i="13"/>
  <c r="F1127" i="13"/>
  <c r="F1143" i="13"/>
  <c r="F1159" i="13"/>
  <c r="F1166" i="13"/>
  <c r="F1173" i="13"/>
  <c r="F1183" i="13"/>
  <c r="F1185" i="13"/>
  <c r="F1186" i="13"/>
  <c r="F1221" i="13"/>
  <c r="F1230" i="13"/>
  <c r="F1233" i="13"/>
  <c r="F1251" i="13"/>
  <c r="F1272" i="13"/>
  <c r="F1280" i="13"/>
  <c r="F1286" i="13"/>
  <c r="F1298" i="13"/>
  <c r="F1313" i="13"/>
  <c r="F1321" i="13"/>
  <c r="F1323" i="13"/>
  <c r="F1327" i="13"/>
  <c r="F1349" i="13"/>
  <c r="F1409" i="13"/>
  <c r="F1416" i="13"/>
  <c r="F1424" i="13"/>
  <c r="F1428" i="13"/>
  <c r="F16" i="13"/>
  <c r="F17" i="13"/>
  <c r="F27" i="13"/>
  <c r="F35" i="13"/>
  <c r="F69" i="13"/>
  <c r="F86" i="13"/>
  <c r="F88" i="13"/>
  <c r="F99" i="13"/>
  <c r="F107" i="13"/>
  <c r="F106" i="13"/>
  <c r="F125" i="13"/>
  <c r="F131" i="13"/>
  <c r="F132" i="13"/>
  <c r="F135" i="13"/>
  <c r="F158" i="13"/>
  <c r="F160" i="13"/>
  <c r="F164" i="13"/>
  <c r="F165" i="13"/>
  <c r="F177" i="13"/>
  <c r="F180" i="13"/>
  <c r="F192" i="13"/>
  <c r="F203" i="13"/>
  <c r="F207" i="13"/>
  <c r="F212" i="13"/>
  <c r="F221" i="13"/>
  <c r="F223" i="13"/>
  <c r="F225" i="13"/>
  <c r="F230" i="13"/>
  <c r="F232" i="13"/>
  <c r="F235" i="13"/>
  <c r="F239" i="13"/>
  <c r="F241" i="13"/>
  <c r="F246" i="13"/>
  <c r="F247" i="13"/>
  <c r="F252" i="13"/>
  <c r="F253" i="13"/>
  <c r="F261" i="13"/>
  <c r="F269" i="13"/>
  <c r="F271" i="13"/>
  <c r="F273" i="13"/>
  <c r="F283" i="13"/>
  <c r="F285" i="13"/>
  <c r="F288" i="13"/>
  <c r="F300" i="13"/>
  <c r="F305" i="13"/>
  <c r="F309" i="13"/>
  <c r="F319" i="13"/>
  <c r="F320" i="13"/>
  <c r="F322" i="13"/>
  <c r="F329" i="13"/>
  <c r="F357" i="13"/>
  <c r="F373" i="13"/>
  <c r="F374" i="13"/>
  <c r="F383" i="13"/>
  <c r="F406" i="13"/>
  <c r="F410" i="13"/>
  <c r="F413" i="13"/>
  <c r="F430" i="13"/>
  <c r="F432" i="13"/>
  <c r="F446" i="13"/>
  <c r="F450" i="13"/>
  <c r="F457" i="13"/>
  <c r="F470" i="13"/>
  <c r="F472" i="13"/>
  <c r="F473" i="13"/>
  <c r="F495" i="13"/>
  <c r="F504" i="13"/>
  <c r="F509" i="13"/>
  <c r="F525" i="13"/>
  <c r="F534" i="13"/>
  <c r="F535" i="13"/>
  <c r="F537" i="13"/>
  <c r="F538" i="13"/>
  <c r="F550" i="13"/>
  <c r="F562" i="13"/>
  <c r="F564" i="13"/>
  <c r="F569" i="13"/>
  <c r="F576" i="13"/>
  <c r="F588" i="13"/>
  <c r="F591" i="13"/>
  <c r="F592" i="13"/>
  <c r="F600" i="13"/>
  <c r="F608" i="13"/>
  <c r="F615" i="13"/>
  <c r="F640" i="13"/>
  <c r="F643" i="13"/>
  <c r="F645" i="13"/>
  <c r="F646" i="13"/>
  <c r="F650" i="13"/>
  <c r="F694" i="13"/>
  <c r="F716" i="13"/>
  <c r="F717" i="13"/>
  <c r="F721" i="13"/>
  <c r="F732" i="13"/>
  <c r="F748" i="13"/>
  <c r="F764" i="13"/>
  <c r="F767" i="13"/>
  <c r="F793" i="13"/>
  <c r="F803" i="13"/>
  <c r="F806" i="13"/>
  <c r="F813" i="13"/>
  <c r="F814" i="13"/>
  <c r="F841" i="13"/>
  <c r="F845" i="13"/>
  <c r="F855" i="13"/>
  <c r="F856" i="13"/>
  <c r="F867" i="13"/>
  <c r="F871" i="13"/>
  <c r="F879" i="13"/>
  <c r="F885" i="13"/>
  <c r="F892" i="13"/>
  <c r="F896" i="13"/>
  <c r="F897" i="13"/>
  <c r="F900" i="13"/>
  <c r="F905" i="13"/>
  <c r="F906" i="13"/>
  <c r="F908" i="13"/>
  <c r="F911" i="13"/>
  <c r="F912" i="13"/>
  <c r="F922" i="13"/>
  <c r="F923" i="13"/>
  <c r="F939" i="13"/>
  <c r="F942" i="13"/>
  <c r="F945" i="13"/>
  <c r="F951" i="13"/>
  <c r="F964" i="13"/>
  <c r="F970" i="13"/>
  <c r="F972" i="13"/>
  <c r="F973" i="13"/>
  <c r="F976" i="13"/>
  <c r="F979" i="13"/>
  <c r="F983" i="13"/>
  <c r="F985" i="13"/>
  <c r="F993" i="13"/>
  <c r="F995" i="13"/>
  <c r="F1004" i="13"/>
  <c r="F1017" i="13"/>
  <c r="F1025" i="13"/>
  <c r="F1033" i="13"/>
  <c r="F1041" i="13"/>
  <c r="F1043" i="13"/>
  <c r="F1052" i="13"/>
  <c r="F1063" i="13"/>
  <c r="F1069" i="13"/>
  <c r="F1112" i="13"/>
  <c r="F1121" i="13"/>
  <c r="F1132" i="13"/>
  <c r="F1165" i="13"/>
  <c r="F1172" i="13"/>
  <c r="F1178" i="13"/>
  <c r="F1180" i="13"/>
  <c r="F1188" i="13"/>
  <c r="F1190" i="13"/>
  <c r="F1192" i="13"/>
  <c r="F1200" i="13"/>
  <c r="F1214" i="13"/>
  <c r="F1215" i="13"/>
  <c r="F1227" i="13"/>
  <c r="F1240" i="13"/>
  <c r="F1241" i="13"/>
  <c r="F1242" i="13"/>
  <c r="F1243" i="13"/>
  <c r="F1248" i="13"/>
  <c r="F1253" i="13"/>
  <c r="F1254" i="13"/>
  <c r="F1257" i="13"/>
  <c r="F1260" i="13"/>
  <c r="F1266" i="13"/>
  <c r="F1267" i="13"/>
  <c r="F1265" i="13"/>
  <c r="F1271" i="13"/>
  <c r="F1275" i="13"/>
  <c r="F1276" i="13"/>
  <c r="F1277" i="13"/>
  <c r="F1278" i="13"/>
  <c r="F1291" i="13"/>
  <c r="F1292" i="13"/>
  <c r="F1296" i="13"/>
  <c r="F1300" i="13"/>
  <c r="F1303" i="13"/>
  <c r="F1304" i="13"/>
  <c r="F1305" i="13"/>
  <c r="F1316" i="13"/>
  <c r="F1319" i="13"/>
  <c r="F1347" i="13"/>
  <c r="F1348" i="13"/>
  <c r="F1357" i="13"/>
  <c r="F1365" i="13"/>
  <c r="F1373" i="13"/>
  <c r="F1376" i="13"/>
  <c r="F1403" i="13"/>
  <c r="F1429" i="13"/>
  <c r="F1432" i="13"/>
  <c r="F1435" i="13"/>
  <c r="F1441" i="13"/>
  <c r="F1444" i="13"/>
  <c r="F18" i="13"/>
  <c r="F38" i="13"/>
  <c r="F65" i="13"/>
  <c r="F83" i="13"/>
  <c r="F92" i="13"/>
  <c r="F96" i="13"/>
  <c r="F215" i="13"/>
  <c r="F222" i="13"/>
  <c r="F331" i="13"/>
  <c r="F344" i="13"/>
  <c r="F386" i="13"/>
  <c r="F532" i="13"/>
  <c r="F539" i="13"/>
  <c r="F543" i="13"/>
  <c r="F578" i="13"/>
  <c r="F596" i="13"/>
  <c r="F652" i="13"/>
  <c r="F742" i="13"/>
  <c r="F745" i="13"/>
  <c r="F763" i="13"/>
  <c r="F772" i="13"/>
  <c r="F789" i="13"/>
  <c r="F788" i="13"/>
  <c r="F795" i="13"/>
  <c r="F812" i="13"/>
  <c r="F843" i="13"/>
  <c r="F880" i="13"/>
  <c r="F887" i="13"/>
  <c r="F895" i="13"/>
  <c r="F927" i="13"/>
  <c r="F974" i="13"/>
  <c r="F975" i="13"/>
  <c r="F1108" i="13"/>
  <c r="F1122" i="13"/>
  <c r="F1130" i="13"/>
  <c r="F1171" i="13"/>
  <c r="F1218" i="13"/>
  <c r="F1228" i="13"/>
  <c r="F1235" i="13"/>
  <c r="F1273" i="13"/>
  <c r="F1309" i="13"/>
  <c r="F1314" i="13"/>
  <c r="F1317" i="13"/>
  <c r="F1329" i="13"/>
  <c r="F1397" i="13"/>
  <c r="F6" i="13"/>
  <c r="F7" i="13"/>
  <c r="F36" i="13"/>
  <c r="F51" i="13"/>
  <c r="F63" i="13"/>
  <c r="F66" i="13"/>
  <c r="F73" i="13"/>
  <c r="F77" i="13"/>
  <c r="F79" i="13"/>
  <c r="F84" i="13"/>
  <c r="F90" i="13"/>
  <c r="F98" i="13"/>
  <c r="F109" i="13"/>
  <c r="F114" i="13"/>
  <c r="F116" i="13"/>
  <c r="F117" i="13"/>
  <c r="F126" i="13"/>
  <c r="F127" i="13"/>
  <c r="F140" i="13"/>
  <c r="F159" i="13"/>
  <c r="F167" i="13"/>
  <c r="F169" i="13"/>
  <c r="F173" i="13"/>
  <c r="F200" i="13"/>
  <c r="F202" i="13"/>
  <c r="F209" i="13"/>
  <c r="F224" i="13"/>
  <c r="F243" i="13"/>
  <c r="F245" i="13"/>
  <c r="F264" i="13"/>
  <c r="F274" i="13"/>
  <c r="F282" i="13"/>
  <c r="F286" i="13"/>
  <c r="F287" i="13"/>
  <c r="F303" i="13"/>
  <c r="F310" i="13"/>
  <c r="F325" i="13"/>
  <c r="F341" i="13"/>
  <c r="F345" i="13"/>
  <c r="F347" i="13"/>
  <c r="F356" i="13"/>
  <c r="F360" i="13"/>
  <c r="F376" i="13"/>
  <c r="F377" i="13"/>
  <c r="F380" i="13"/>
  <c r="F387" i="13"/>
  <c r="F397" i="13"/>
  <c r="F398" i="13"/>
  <c r="F411" i="13"/>
  <c r="F422" i="13"/>
  <c r="F427" i="13"/>
  <c r="F428" i="13"/>
  <c r="F431" i="13"/>
  <c r="F435" i="13"/>
  <c r="F444" i="13"/>
  <c r="F458" i="13"/>
  <c r="F459" i="13"/>
  <c r="F479" i="13"/>
  <c r="F496" i="13"/>
  <c r="F500" i="13"/>
  <c r="F501" i="13"/>
  <c r="F502" i="13"/>
  <c r="F521" i="13"/>
  <c r="F544" i="13"/>
  <c r="F548" i="13"/>
  <c r="F553" i="13"/>
  <c r="F572" i="13"/>
  <c r="F606" i="13"/>
  <c r="F609" i="13"/>
  <c r="F623" i="13"/>
  <c r="F627" i="13"/>
  <c r="F634" i="13"/>
  <c r="F642" i="13"/>
  <c r="F678" i="13"/>
  <c r="F688" i="13"/>
  <c r="F697" i="13"/>
  <c r="F698" i="13"/>
  <c r="F711" i="13"/>
  <c r="F712" i="13"/>
  <c r="F722" i="13"/>
  <c r="F725" i="13"/>
  <c r="F726" i="13"/>
  <c r="F749" i="13"/>
  <c r="F758" i="13"/>
  <c r="F766" i="13"/>
  <c r="F773" i="13"/>
  <c r="F781" i="13"/>
  <c r="F782" i="13"/>
  <c r="F783" i="13"/>
  <c r="F796" i="13"/>
  <c r="F801" i="13"/>
  <c r="F802" i="13"/>
  <c r="F816" i="13"/>
  <c r="F815" i="13"/>
  <c r="F822" i="13"/>
  <c r="F823" i="13"/>
  <c r="F825" i="13"/>
  <c r="F833" i="13"/>
  <c r="F840" i="13"/>
  <c r="F849" i="13"/>
  <c r="F857" i="13"/>
  <c r="F858" i="13"/>
  <c r="F861" i="13"/>
  <c r="F863" i="13"/>
  <c r="F872" i="13"/>
  <c r="F883" i="13"/>
  <c r="F890" i="13"/>
  <c r="F891" i="13"/>
  <c r="F901" i="13"/>
  <c r="F902" i="13"/>
  <c r="F914" i="13"/>
  <c r="F926" i="13"/>
  <c r="F948" i="13"/>
  <c r="F956" i="13"/>
  <c r="F971" i="13"/>
  <c r="F989" i="13"/>
  <c r="F998" i="13"/>
  <c r="F1010" i="13"/>
  <c r="F1011" i="13"/>
  <c r="F1027" i="13"/>
  <c r="F1030" i="13"/>
  <c r="F1036" i="13"/>
  <c r="F1044" i="13"/>
  <c r="F1048" i="13"/>
  <c r="F1053" i="13"/>
  <c r="F1056" i="13"/>
  <c r="F1061" i="13"/>
  <c r="F1083" i="13"/>
  <c r="F1090" i="13"/>
  <c r="F1116" i="13"/>
  <c r="F1136" i="13"/>
  <c r="F1140" i="13"/>
  <c r="F1167" i="13"/>
  <c r="F1176" i="13"/>
  <c r="F1199" i="13"/>
  <c r="F1224" i="13"/>
  <c r="F1239" i="13"/>
  <c r="F1246" i="13"/>
  <c r="F1250" i="13"/>
  <c r="F1262" i="13"/>
  <c r="F1263" i="13"/>
  <c r="F1285" i="13"/>
  <c r="F1288" i="13"/>
  <c r="F1289" i="13"/>
  <c r="F1299" i="13"/>
  <c r="F1301" i="13"/>
  <c r="F1326" i="13"/>
  <c r="F1331" i="13"/>
  <c r="F1340" i="13"/>
  <c r="F1351" i="13"/>
  <c r="F1360" i="13"/>
  <c r="F1368" i="13"/>
  <c r="F1370" i="13"/>
  <c r="F1371" i="13"/>
  <c r="F1378" i="13"/>
  <c r="F1380" i="13"/>
  <c r="F1386" i="13"/>
  <c r="F1388" i="13"/>
  <c r="F1394" i="13"/>
  <c r="F1405" i="13"/>
  <c r="F1420" i="13"/>
  <c r="F1439" i="13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G33" i="12" a="1"/>
  <c r="G110" i="12" a="1"/>
  <c r="G116" i="12" a="1"/>
  <c r="G77" i="12" a="1"/>
  <c r="G15" i="12" a="1"/>
  <c r="G84" i="12" a="1"/>
  <c r="G45" i="12" a="1"/>
  <c r="G2" i="12" a="1"/>
  <c r="G26" i="12" a="1"/>
  <c r="G63" i="12" a="1"/>
  <c r="G95" i="12" a="1"/>
  <c r="B1388" i="13" l="1"/>
  <c r="O1388" i="13"/>
  <c r="B1176" i="13"/>
  <c r="O1176" i="13"/>
  <c r="B387" i="13"/>
  <c r="O387" i="13"/>
  <c r="B341" i="13"/>
  <c r="O341" i="13"/>
  <c r="B1317" i="13"/>
  <c r="O1317" i="13"/>
  <c r="B386" i="13"/>
  <c r="O386" i="13"/>
  <c r="B1357" i="13"/>
  <c r="O1357" i="13"/>
  <c r="B1316" i="13"/>
  <c r="O1316" i="13"/>
  <c r="B239" i="13"/>
  <c r="O239" i="13"/>
  <c r="B125" i="13"/>
  <c r="O125" i="13"/>
  <c r="B91" i="13"/>
  <c r="O91" i="13"/>
  <c r="B720" i="13"/>
  <c r="O720" i="13"/>
  <c r="B340" i="13"/>
  <c r="O340" i="13"/>
  <c r="B34" i="13"/>
  <c r="O34" i="13"/>
  <c r="B1237" i="13"/>
  <c r="O1237" i="13"/>
  <c r="B1147" i="13"/>
  <c r="O1147" i="13"/>
  <c r="B853" i="13"/>
  <c r="O853" i="13"/>
  <c r="B257" i="13"/>
  <c r="O257" i="13"/>
  <c r="B1152" i="13"/>
  <c r="O1152" i="13"/>
  <c r="B339" i="13"/>
  <c r="O339" i="13"/>
  <c r="B660" i="13"/>
  <c r="O660" i="13"/>
  <c r="B45" i="13"/>
  <c r="O45" i="13"/>
  <c r="B1157" i="13"/>
  <c r="O1157" i="13"/>
  <c r="B724" i="13"/>
  <c r="O724" i="13"/>
  <c r="B178" i="13"/>
  <c r="O178" i="13"/>
  <c r="B33" i="13"/>
  <c r="O33" i="13"/>
  <c r="B1156" i="13"/>
  <c r="O1156" i="13"/>
  <c r="B755" i="13"/>
  <c r="O755" i="13"/>
  <c r="B49" i="13"/>
  <c r="O49" i="13"/>
  <c r="B482" i="13"/>
  <c r="O482" i="13"/>
  <c r="O1335" i="13"/>
  <c r="B1030" i="13"/>
  <c r="O1030" i="13"/>
  <c r="B948" i="13"/>
  <c r="O948" i="13"/>
  <c r="B126" i="13"/>
  <c r="O126" i="13"/>
  <c r="B1314" i="13"/>
  <c r="O1314" i="13"/>
  <c r="B543" i="13"/>
  <c r="O543" i="13"/>
  <c r="B1178" i="13"/>
  <c r="O1178" i="13"/>
  <c r="B534" i="13"/>
  <c r="O534" i="13"/>
  <c r="B756" i="13"/>
  <c r="O756" i="13"/>
  <c r="B947" i="13"/>
  <c r="O947" i="13"/>
  <c r="B281" i="13"/>
  <c r="O281" i="13"/>
  <c r="B115" i="13"/>
  <c r="O115" i="13"/>
  <c r="B1029" i="13"/>
  <c r="O1029" i="13"/>
  <c r="B738" i="13"/>
  <c r="O738" i="13"/>
  <c r="B639" i="13"/>
  <c r="O639" i="13"/>
  <c r="B533" i="13"/>
  <c r="O533" i="13"/>
  <c r="B1356" i="13"/>
  <c r="O1356" i="13"/>
  <c r="B595" i="13"/>
  <c r="O595" i="13"/>
  <c r="B124" i="13"/>
  <c r="O124" i="13"/>
  <c r="B44" i="13"/>
  <c r="O44" i="13"/>
  <c r="B1146" i="13"/>
  <c r="O1146" i="13"/>
  <c r="B719" i="13"/>
  <c r="O719" i="13"/>
  <c r="B364" i="13"/>
  <c r="O364" i="13"/>
  <c r="B199" i="13"/>
  <c r="O199" i="13"/>
  <c r="B1139" i="13"/>
  <c r="O1139" i="13"/>
  <c r="B736" i="13"/>
  <c r="O736" i="13"/>
  <c r="B723" i="13"/>
  <c r="O723" i="13"/>
  <c r="B638" i="13"/>
  <c r="O638" i="13"/>
  <c r="B338" i="13"/>
  <c r="O338" i="13"/>
  <c r="B743" i="13"/>
  <c r="O743" i="13"/>
  <c r="O1379" i="13"/>
  <c r="B1380" i="13"/>
  <c r="O1380" i="13"/>
  <c r="B1224" i="13"/>
  <c r="O1224" i="13"/>
  <c r="B1140" i="13"/>
  <c r="O1140" i="13"/>
  <c r="B722" i="13"/>
  <c r="O722" i="13"/>
  <c r="B544" i="13"/>
  <c r="O544" i="13"/>
  <c r="B200" i="13"/>
  <c r="O200" i="13"/>
  <c r="B92" i="13"/>
  <c r="O92" i="13"/>
  <c r="B855" i="13"/>
  <c r="O855" i="13"/>
  <c r="B721" i="13"/>
  <c r="O721" i="13"/>
  <c r="B640" i="13"/>
  <c r="O640" i="13"/>
  <c r="B706" i="13"/>
  <c r="O706" i="13"/>
  <c r="B1175" i="13"/>
  <c r="O1175" i="13"/>
  <c r="B744" i="13"/>
  <c r="O744" i="13"/>
  <c r="B1068" i="13"/>
  <c r="O1068" i="13"/>
  <c r="B860" i="13"/>
  <c r="O860" i="13"/>
  <c r="B1336" i="13"/>
  <c r="O1336" i="13"/>
  <c r="B1177" i="13"/>
  <c r="O1177" i="13"/>
  <c r="B1022" i="13"/>
  <c r="O1022" i="13"/>
  <c r="B256" i="13"/>
  <c r="O256" i="13"/>
  <c r="B1169" i="13"/>
  <c r="O1169" i="13"/>
  <c r="B123" i="13"/>
  <c r="O123" i="13"/>
  <c r="B280" i="13"/>
  <c r="O280" i="13"/>
  <c r="B238" i="13"/>
  <c r="O238" i="13"/>
  <c r="B198" i="13"/>
  <c r="O198" i="13"/>
  <c r="B1402" i="13"/>
  <c r="O1402" i="13"/>
  <c r="B218" i="13"/>
  <c r="O218" i="13"/>
  <c r="B43" i="13"/>
  <c r="O43" i="13"/>
  <c r="B1155" i="13"/>
  <c r="O1155" i="13"/>
  <c r="B637" i="13"/>
  <c r="O637" i="13"/>
  <c r="B189" i="13"/>
  <c r="O189" i="13"/>
  <c r="B861" i="13"/>
  <c r="O861" i="13"/>
  <c r="B627" i="13"/>
  <c r="O627" i="13"/>
  <c r="B427" i="13"/>
  <c r="O427" i="13"/>
  <c r="B303" i="13"/>
  <c r="O303" i="13"/>
  <c r="B116" i="13"/>
  <c r="O116" i="13"/>
  <c r="B36" i="13"/>
  <c r="O36" i="13"/>
  <c r="B596" i="13"/>
  <c r="O596" i="13"/>
  <c r="B1069" i="13"/>
  <c r="O1069" i="13"/>
  <c r="B35" i="13"/>
  <c r="C755" i="13" s="1"/>
  <c r="O35" i="13"/>
  <c r="B1313" i="13"/>
  <c r="O1313" i="13"/>
  <c r="B705" i="13"/>
  <c r="O705" i="13"/>
  <c r="B426" i="13"/>
  <c r="O426" i="13"/>
  <c r="B350" i="13"/>
  <c r="O350" i="13"/>
  <c r="B302" i="13"/>
  <c r="O302" i="13"/>
  <c r="B1223" i="13"/>
  <c r="O1223" i="13"/>
  <c r="B854" i="13"/>
  <c r="O854" i="13"/>
  <c r="B76" i="13"/>
  <c r="O76" i="13"/>
  <c r="B1174" i="13"/>
  <c r="O1174" i="13"/>
  <c r="B1021" i="13"/>
  <c r="O1021" i="13"/>
  <c r="B661" i="13"/>
  <c r="O661" i="13"/>
  <c r="B484" i="13"/>
  <c r="O484" i="13"/>
  <c r="B349" i="13"/>
  <c r="O349" i="13"/>
  <c r="B301" i="13"/>
  <c r="O301" i="13"/>
  <c r="B179" i="13"/>
  <c r="O179" i="13"/>
  <c r="B75" i="13"/>
  <c r="O75" i="13"/>
  <c r="B1168" i="13"/>
  <c r="O1168" i="13"/>
  <c r="B483" i="13"/>
  <c r="O483" i="13"/>
  <c r="B737" i="13"/>
  <c r="O737" i="13"/>
  <c r="B219" i="13"/>
  <c r="O219" i="13"/>
  <c r="B50" i="13"/>
  <c r="O50" i="13"/>
  <c r="B1236" i="13"/>
  <c r="O1236" i="13"/>
  <c r="B1151" i="13"/>
  <c r="O1151" i="13"/>
  <c r="B626" i="13"/>
  <c r="O626" i="13"/>
  <c r="B363" i="13"/>
  <c r="O363" i="13"/>
  <c r="B217" i="13"/>
  <c r="O217" i="13"/>
  <c r="B188" i="13"/>
  <c r="O188" i="13"/>
  <c r="O1403" i="13"/>
  <c r="O1387" i="13"/>
  <c r="C885" i="13"/>
  <c r="C749" i="13"/>
  <c r="C997" i="13"/>
  <c r="C787" i="13"/>
  <c r="C1160" i="13"/>
  <c r="C1382" i="13"/>
  <c r="C187" i="13"/>
  <c r="C263" i="13"/>
  <c r="C1141" i="13"/>
  <c r="C1320" i="13"/>
  <c r="C414" i="13"/>
  <c r="C710" i="13"/>
  <c r="C145" i="13"/>
  <c r="C1427" i="13"/>
  <c r="C875" i="13"/>
  <c r="C403" i="13"/>
  <c r="C102" i="13"/>
  <c r="C1179" i="13"/>
  <c r="C739" i="13"/>
  <c r="C352" i="13"/>
  <c r="G95" i="12"/>
  <c r="G77" i="12"/>
  <c r="G63" i="12"/>
  <c r="G45" i="12"/>
  <c r="G33" i="12"/>
  <c r="G15" i="12"/>
  <c r="G116" i="12"/>
  <c r="G110" i="12"/>
  <c r="G84" i="12"/>
  <c r="G26" i="12"/>
  <c r="G2" i="12"/>
  <c r="G96" i="12" a="1"/>
  <c r="G78" i="12" a="1"/>
  <c r="G27" i="12" a="1"/>
  <c r="G85" i="12" a="1"/>
  <c r="G111" i="12" a="1"/>
  <c r="G46" i="12" a="1"/>
  <c r="G16" i="12" a="1"/>
  <c r="G3" i="12" a="1"/>
  <c r="G34" i="12" a="1"/>
  <c r="G117" i="12" a="1"/>
  <c r="G64" i="12" a="1"/>
  <c r="C463" i="13" l="1"/>
  <c r="C9" i="13"/>
  <c r="C602" i="13"/>
  <c r="C234" i="13"/>
  <c r="C87" i="13"/>
  <c r="C449" i="13"/>
  <c r="C966" i="13"/>
  <c r="C1005" i="13"/>
  <c r="C138" i="13"/>
  <c r="C1347" i="13"/>
  <c r="C108" i="13"/>
  <c r="C962" i="13"/>
  <c r="C233" i="13"/>
  <c r="C1062" i="13"/>
  <c r="C404" i="13"/>
  <c r="C718" i="13"/>
  <c r="C524" i="13"/>
  <c r="C761" i="13"/>
  <c r="C632" i="13"/>
  <c r="C356" i="13"/>
  <c r="C694" i="13"/>
  <c r="C327" i="13"/>
  <c r="C1022" i="13"/>
  <c r="C606" i="13"/>
  <c r="C1267" i="13"/>
  <c r="C232" i="13"/>
  <c r="C70" i="13"/>
  <c r="C737" i="13"/>
  <c r="C521" i="13"/>
  <c r="C1214" i="13"/>
  <c r="C212" i="13"/>
  <c r="C1134" i="13"/>
  <c r="C1439" i="13"/>
  <c r="C127" i="13"/>
  <c r="C892" i="13"/>
  <c r="C1114" i="13"/>
  <c r="C513" i="13"/>
  <c r="C315" i="13"/>
  <c r="C460" i="13"/>
  <c r="C574" i="13"/>
  <c r="C1389" i="13"/>
  <c r="C918" i="13"/>
  <c r="C270" i="13"/>
  <c r="C531" i="13"/>
  <c r="C636" i="13"/>
  <c r="C133" i="13"/>
  <c r="C147" i="13"/>
  <c r="C259" i="13"/>
  <c r="C451" i="13"/>
  <c r="C873" i="13"/>
  <c r="C208" i="13"/>
  <c r="C545" i="13"/>
  <c r="C1145" i="13"/>
  <c r="C819" i="13"/>
  <c r="C497" i="13"/>
  <c r="C128" i="13"/>
  <c r="C888" i="13"/>
  <c r="C304" i="13"/>
  <c r="C1333" i="13"/>
  <c r="C1032" i="13"/>
  <c r="C671" i="13"/>
  <c r="C1342" i="13"/>
  <c r="C67" i="13"/>
  <c r="C1080" i="13"/>
  <c r="C869" i="13"/>
  <c r="C542" i="13"/>
  <c r="C372" i="13"/>
  <c r="C136" i="13"/>
  <c r="C778" i="13"/>
  <c r="C566" i="13"/>
  <c r="C371" i="13"/>
  <c r="C181" i="13"/>
  <c r="C31" i="13"/>
  <c r="C163" i="13"/>
  <c r="C1259" i="13"/>
  <c r="C1087" i="13"/>
  <c r="C933" i="13"/>
  <c r="C774" i="13"/>
  <c r="C563" i="13"/>
  <c r="C419" i="13"/>
  <c r="C332" i="13"/>
  <c r="C176" i="13"/>
  <c r="C40" i="13"/>
  <c r="C80" i="13"/>
  <c r="C1324" i="13"/>
  <c r="C1084" i="13"/>
  <c r="C929" i="13"/>
  <c r="C765" i="13"/>
  <c r="C552" i="13"/>
  <c r="C418" i="13"/>
  <c r="C294" i="13"/>
  <c r="C141" i="13"/>
  <c r="C13" i="13"/>
  <c r="C958" i="13"/>
  <c r="C30" i="13"/>
  <c r="C195" i="13"/>
  <c r="C1199" i="13"/>
  <c r="C887" i="13"/>
  <c r="C646" i="13"/>
  <c r="C757" i="13"/>
  <c r="C1147" i="13"/>
  <c r="C796" i="13"/>
  <c r="C1278" i="13"/>
  <c r="C319" i="13"/>
  <c r="C298" i="13"/>
  <c r="C878" i="13"/>
  <c r="C1099" i="13"/>
  <c r="C1328" i="13"/>
  <c r="C978" i="13"/>
  <c r="C675" i="13"/>
  <c r="C824" i="13"/>
  <c r="C1060" i="13"/>
  <c r="C1392" i="13"/>
  <c r="C1421" i="13"/>
  <c r="C921" i="13"/>
  <c r="C817" i="13"/>
  <c r="C1055" i="13"/>
  <c r="C1310" i="13"/>
  <c r="C565" i="13"/>
  <c r="C1222" i="13"/>
  <c r="C1448" i="13"/>
  <c r="C805" i="13"/>
  <c r="C1350" i="13"/>
  <c r="C666" i="13"/>
  <c r="C85" i="13"/>
  <c r="C1189" i="13"/>
  <c r="C894" i="13"/>
  <c r="C629" i="13"/>
  <c r="C326" i="13"/>
  <c r="C41" i="13"/>
  <c r="C1164" i="13"/>
  <c r="C771" i="13"/>
  <c r="C475" i="13"/>
  <c r="C110" i="13"/>
  <c r="C818" i="13"/>
  <c r="C266" i="13"/>
  <c r="C1255" i="13"/>
  <c r="C653" i="13"/>
  <c r="C1268" i="13"/>
  <c r="C1045" i="13"/>
  <c r="C366" i="13"/>
  <c r="C493" i="13"/>
  <c r="C827" i="13"/>
  <c r="C1009" i="13"/>
  <c r="C1256" i="13"/>
  <c r="C153" i="13"/>
  <c r="C119" i="13"/>
  <c r="C277" i="13"/>
  <c r="C439" i="13"/>
  <c r="C641" i="13"/>
  <c r="C916" i="13"/>
  <c r="C1142" i="13"/>
  <c r="C14" i="13"/>
  <c r="C401" i="13"/>
  <c r="C237" i="13"/>
  <c r="C423" i="13"/>
  <c r="C746" i="13"/>
  <c r="C148" i="13"/>
  <c r="C442" i="13"/>
  <c r="C759" i="13"/>
  <c r="C1369" i="13"/>
  <c r="C474" i="13"/>
  <c r="C1196" i="13"/>
  <c r="C598" i="13"/>
  <c r="C354" i="13"/>
  <c r="C1049" i="13"/>
  <c r="C248" i="13"/>
  <c r="C809" i="13"/>
  <c r="C1406" i="13"/>
  <c r="C1026" i="13"/>
  <c r="C619" i="13"/>
  <c r="C454" i="13"/>
  <c r="C662" i="13"/>
  <c r="C768" i="13"/>
  <c r="C1298" i="13"/>
  <c r="C1390" i="13"/>
  <c r="C179" i="13"/>
  <c r="C782" i="13"/>
  <c r="C642" i="13"/>
  <c r="C189" i="13"/>
  <c r="C166" i="13"/>
  <c r="C39" i="13"/>
  <c r="C220" i="13"/>
  <c r="C379" i="13"/>
  <c r="C590" i="13"/>
  <c r="C870" i="13"/>
  <c r="C1047" i="13"/>
  <c r="C1372" i="13"/>
  <c r="C190" i="13"/>
  <c r="C142" i="13"/>
  <c r="C353" i="13"/>
  <c r="C478" i="13"/>
  <c r="C700" i="13"/>
  <c r="C969" i="13"/>
  <c r="C1158" i="13"/>
  <c r="C48" i="13"/>
  <c r="C54" i="13"/>
  <c r="C290" i="13"/>
  <c r="C530" i="13"/>
  <c r="C877" i="13"/>
  <c r="C254" i="13"/>
  <c r="C487" i="13"/>
  <c r="C882" i="13"/>
  <c r="C216" i="13"/>
  <c r="C797" i="13"/>
  <c r="C1434" i="13"/>
  <c r="C1307" i="13"/>
  <c r="C575" i="13"/>
  <c r="C1332" i="13"/>
  <c r="C480" i="13"/>
  <c r="C1007" i="13"/>
  <c r="C453" i="13"/>
  <c r="C486" i="13"/>
  <c r="C244" i="13"/>
  <c r="C436" i="13"/>
  <c r="C465" i="13"/>
  <c r="C701" i="13"/>
  <c r="C970" i="13"/>
  <c r="C273" i="13"/>
  <c r="C321" i="13"/>
  <c r="C1068" i="13"/>
  <c r="C94" i="13"/>
  <c r="C272" i="13"/>
  <c r="C438" i="13"/>
  <c r="C663" i="13"/>
  <c r="C884" i="13"/>
  <c r="C1138" i="13"/>
  <c r="C1419" i="13"/>
  <c r="C29" i="13"/>
  <c r="C193" i="13"/>
  <c r="C370" i="13"/>
  <c r="C510" i="13"/>
  <c r="C830" i="13"/>
  <c r="C1034" i="13"/>
  <c r="C1181" i="13"/>
  <c r="C205" i="13"/>
  <c r="C120" i="13"/>
  <c r="C337" i="13"/>
  <c r="C604" i="13"/>
  <c r="C37" i="13"/>
  <c r="C343" i="13"/>
  <c r="C651" i="13"/>
  <c r="C920" i="13"/>
  <c r="C268" i="13"/>
  <c r="C836" i="13"/>
  <c r="C55" i="13"/>
  <c r="C1410" i="13"/>
  <c r="C624" i="13"/>
  <c r="C1361" i="13"/>
  <c r="C508" i="13"/>
  <c r="C1019" i="13"/>
  <c r="C481" i="13"/>
  <c r="C540" i="13"/>
  <c r="C949" i="13"/>
  <c r="C477" i="13"/>
  <c r="C1079" i="13"/>
  <c r="C492" i="13"/>
  <c r="C287" i="13"/>
  <c r="C1275" i="13"/>
  <c r="C305" i="13"/>
  <c r="C621" i="13"/>
  <c r="C844" i="13"/>
  <c r="C96" i="13"/>
  <c r="C1003" i="13"/>
  <c r="C813" i="13"/>
  <c r="C1309" i="13"/>
  <c r="C1289" i="13"/>
  <c r="C597" i="13"/>
  <c r="C17" i="13"/>
  <c r="C1296" i="13"/>
  <c r="C855" i="13"/>
  <c r="C1197" i="13"/>
  <c r="C59" i="13"/>
  <c r="C368" i="13"/>
  <c r="C649" i="13"/>
  <c r="C935" i="13"/>
  <c r="C1216" i="13"/>
  <c r="C144" i="13"/>
  <c r="C692" i="13"/>
  <c r="C1375" i="13"/>
  <c r="C68" i="13"/>
  <c r="C1341" i="13"/>
  <c r="C577" i="13"/>
  <c r="C1334" i="13"/>
  <c r="C1220" i="13"/>
  <c r="C1006" i="13"/>
  <c r="C1088" i="13"/>
  <c r="C162" i="13"/>
  <c r="C101" i="13"/>
  <c r="C1234" i="13"/>
  <c r="C1015" i="13"/>
  <c r="C934" i="13"/>
  <c r="C60" i="13"/>
  <c r="C53" i="13"/>
  <c r="C1247" i="13"/>
  <c r="C1054" i="13"/>
  <c r="C476" i="13"/>
  <c r="C470" i="13"/>
  <c r="C215" i="13"/>
  <c r="C883" i="13"/>
  <c r="C161" i="13"/>
  <c r="C1035" i="13"/>
  <c r="C845" i="13"/>
  <c r="C1329" i="13"/>
  <c r="C1360" i="13"/>
  <c r="C587" i="13"/>
  <c r="C1183" i="13"/>
  <c r="C923" i="13"/>
  <c r="C98" i="13"/>
  <c r="C1081" i="13"/>
  <c r="C203" i="13"/>
  <c r="P1403" i="13"/>
  <c r="C1170" i="13"/>
  <c r="C1236" i="13"/>
  <c r="C729" i="13"/>
  <c r="C44" i="13"/>
  <c r="C116" i="13"/>
  <c r="C341" i="13"/>
  <c r="C1325" i="13"/>
  <c r="C95" i="13"/>
  <c r="C312" i="13"/>
  <c r="C103" i="13"/>
  <c r="C210" i="13"/>
  <c r="C361" i="13"/>
  <c r="C440" i="13"/>
  <c r="C648" i="13"/>
  <c r="C865" i="13"/>
  <c r="C105" i="13"/>
  <c r="C292" i="13"/>
  <c r="C424" i="13"/>
  <c r="C589" i="13"/>
  <c r="C811" i="13"/>
  <c r="C961" i="13"/>
  <c r="C1131" i="13"/>
  <c r="C1395" i="13"/>
  <c r="C149" i="13"/>
  <c r="C330" i="13"/>
  <c r="C342" i="13"/>
  <c r="C519" i="13"/>
  <c r="C689" i="13"/>
  <c r="C881" i="13"/>
  <c r="C1071" i="13"/>
  <c r="C1204" i="13"/>
  <c r="C1362" i="13"/>
  <c r="C139" i="13"/>
  <c r="C382" i="13"/>
  <c r="C628" i="13"/>
  <c r="C937" i="13"/>
  <c r="C1433" i="13"/>
  <c r="C197" i="13"/>
  <c r="C378" i="13"/>
  <c r="C518" i="13"/>
  <c r="C681" i="13"/>
  <c r="C850" i="13"/>
  <c r="C1096" i="13"/>
  <c r="C1270" i="13"/>
  <c r="C1400" i="13"/>
  <c r="C122" i="13"/>
  <c r="C278" i="13"/>
  <c r="C392" i="13"/>
  <c r="C546" i="13"/>
  <c r="C702" i="13"/>
  <c r="C835" i="13"/>
  <c r="C980" i="13"/>
  <c r="C1050" i="13"/>
  <c r="C1252" i="13"/>
  <c r="C8" i="13"/>
  <c r="C182" i="13"/>
  <c r="C571" i="13"/>
  <c r="C800" i="13"/>
  <c r="C1113" i="13"/>
  <c r="C267" i="13"/>
  <c r="C673" i="13"/>
  <c r="C1012" i="13"/>
  <c r="C1217" i="13"/>
  <c r="C276" i="13"/>
  <c r="C831" i="13"/>
  <c r="C57" i="13"/>
  <c r="C396" i="13"/>
  <c r="C693" i="13"/>
  <c r="C1100" i="13"/>
  <c r="C46" i="13"/>
  <c r="C810" i="13"/>
  <c r="C1384" i="13"/>
  <c r="C579" i="13"/>
  <c r="C1118" i="13"/>
  <c r="C617" i="13"/>
  <c r="C1202" i="13"/>
  <c r="C707" i="13"/>
  <c r="C367" i="13"/>
  <c r="C996" i="13"/>
  <c r="C293" i="13"/>
  <c r="C826" i="13"/>
  <c r="C1417" i="13"/>
  <c r="C582" i="13"/>
  <c r="C1133" i="13"/>
  <c r="C26" i="13"/>
  <c r="C1089" i="13"/>
  <c r="C448" i="13"/>
  <c r="C250" i="13"/>
  <c r="C965" i="13"/>
  <c r="C242" i="13"/>
  <c r="C848" i="13"/>
  <c r="C1401" i="13"/>
  <c r="C605" i="13"/>
  <c r="C1137" i="13"/>
  <c r="C1201" i="13"/>
  <c r="C682" i="13"/>
  <c r="C88" i="13"/>
  <c r="C588" i="13"/>
  <c r="C1063" i="13"/>
  <c r="C880" i="13"/>
  <c r="C479" i="13"/>
  <c r="C1036" i="13"/>
  <c r="C724" i="13"/>
  <c r="C526" i="13"/>
  <c r="C213" i="13"/>
  <c r="C1221" i="13"/>
  <c r="C410" i="13"/>
  <c r="C922" i="13"/>
  <c r="C1365" i="13"/>
  <c r="C173" i="13"/>
  <c r="C840" i="13"/>
  <c r="C217" i="13"/>
  <c r="C661" i="13"/>
  <c r="C1075" i="13"/>
  <c r="C517" i="13"/>
  <c r="C1409" i="13"/>
  <c r="C450" i="13"/>
  <c r="C1017" i="13"/>
  <c r="C331" i="13"/>
  <c r="C282" i="13"/>
  <c r="C863" i="13"/>
  <c r="C218" i="13"/>
  <c r="C1414" i="13"/>
  <c r="C1279" i="13"/>
  <c r="C859" i="13"/>
  <c r="C285" i="13"/>
  <c r="C993" i="13"/>
  <c r="C927" i="13"/>
  <c r="C1299" i="13"/>
  <c r="C988" i="13"/>
  <c r="C1442" i="13"/>
  <c r="C170" i="13"/>
  <c r="C355" i="13"/>
  <c r="C405" i="13"/>
  <c r="C568" i="13"/>
  <c r="C727" i="13"/>
  <c r="C938" i="13"/>
  <c r="C1106" i="13"/>
  <c r="C1211" i="13"/>
  <c r="C1393" i="13"/>
  <c r="C206" i="13"/>
  <c r="C462" i="13"/>
  <c r="C669" i="13"/>
  <c r="C1024" i="13"/>
  <c r="C71" i="13"/>
  <c r="C236" i="13"/>
  <c r="C416" i="13"/>
  <c r="C560" i="13"/>
  <c r="C932" i="13"/>
  <c r="C1135" i="13"/>
  <c r="C1308" i="13"/>
  <c r="C1438" i="13"/>
  <c r="C172" i="13"/>
  <c r="C299" i="13"/>
  <c r="C441" i="13"/>
  <c r="C584" i="13"/>
  <c r="C740" i="13"/>
  <c r="C852" i="13"/>
  <c r="C992" i="13"/>
  <c r="C1073" i="13"/>
  <c r="C1339" i="13"/>
  <c r="C72" i="13"/>
  <c r="C289" i="13"/>
  <c r="C594" i="13"/>
  <c r="C899" i="13"/>
  <c r="C1128" i="13"/>
  <c r="C324" i="13"/>
  <c r="C704" i="13"/>
  <c r="C1038" i="13"/>
  <c r="C1294" i="13"/>
  <c r="C346" i="13"/>
  <c r="C904" i="13"/>
  <c r="C78" i="13"/>
  <c r="C425" i="13"/>
  <c r="C753" i="13"/>
  <c r="C1144" i="13"/>
  <c r="C279" i="13"/>
  <c r="C941" i="13"/>
  <c r="C112" i="13"/>
  <c r="C668" i="13"/>
  <c r="C1293" i="13"/>
  <c r="C731" i="13"/>
  <c r="C1337" i="13"/>
  <c r="C960" i="13"/>
  <c r="C515" i="13"/>
  <c r="C1238" i="13"/>
  <c r="C385" i="13"/>
  <c r="C946" i="13"/>
  <c r="C113" i="13"/>
  <c r="C683" i="13"/>
  <c r="C1311" i="13"/>
  <c r="C464" i="13"/>
  <c r="C1207" i="13"/>
  <c r="C664" i="13"/>
  <c r="C469" i="13"/>
  <c r="C1163" i="13"/>
  <c r="C334" i="13"/>
  <c r="C986" i="13"/>
  <c r="C82" i="13"/>
  <c r="C715" i="13"/>
  <c r="C4" i="13"/>
  <c r="C1446" i="13"/>
  <c r="C874" i="13"/>
  <c r="C225" i="13"/>
  <c r="C748" i="13"/>
  <c r="C1240" i="13"/>
  <c r="C7" i="13"/>
  <c r="C678" i="13"/>
  <c r="C1285" i="13"/>
  <c r="C339" i="13"/>
  <c r="C910" i="13"/>
  <c r="C536" i="13"/>
  <c r="C99" i="13"/>
  <c r="C537" i="13"/>
  <c r="C1004" i="13"/>
  <c r="C222" i="13"/>
  <c r="C376" i="13"/>
  <c r="C1011" i="13"/>
  <c r="C854" i="13"/>
  <c r="C1343" i="13"/>
  <c r="C690" i="13"/>
  <c r="C132" i="13"/>
  <c r="C569" i="13"/>
  <c r="C1190" i="13"/>
  <c r="C812" i="13"/>
  <c r="C398" i="13"/>
  <c r="C1027" i="13"/>
  <c r="C280" i="13"/>
  <c r="C196" i="13"/>
  <c r="C28" i="13"/>
  <c r="C1159" i="13"/>
  <c r="C495" i="13"/>
  <c r="C1227" i="13"/>
  <c r="C79" i="13"/>
  <c r="C626" i="13"/>
  <c r="C219" i="13"/>
  <c r="C483" i="13"/>
  <c r="C825" i="13"/>
  <c r="C75" i="13"/>
  <c r="C301" i="13"/>
  <c r="C484" i="13"/>
  <c r="C1021" i="13"/>
  <c r="C76" i="13"/>
  <c r="C1223" i="13"/>
  <c r="C350" i="13"/>
  <c r="C705" i="13"/>
  <c r="C35" i="13"/>
  <c r="C386" i="13"/>
  <c r="C1314" i="13"/>
  <c r="C1175" i="13"/>
  <c r="C199" i="13"/>
  <c r="C1090" i="13"/>
  <c r="C501" i="13"/>
  <c r="C245" i="13"/>
  <c r="C63" i="13"/>
  <c r="C843" i="13"/>
  <c r="C1435" i="13"/>
  <c r="C1277" i="13"/>
  <c r="C1192" i="13"/>
  <c r="C964" i="13"/>
  <c r="C856" i="13"/>
  <c r="C643" i="13"/>
  <c r="C430" i="13"/>
  <c r="C269" i="13"/>
  <c r="C165" i="13"/>
  <c r="C1323" i="13"/>
  <c r="C1111" i="13"/>
  <c r="C794" i="13"/>
  <c r="C527" i="13"/>
  <c r="C265" i="13"/>
  <c r="C1443" i="13"/>
  <c r="C1193" i="13"/>
  <c r="C954" i="13"/>
  <c r="C505" i="13"/>
  <c r="C155" i="13"/>
  <c r="C1366" i="13"/>
  <c r="C1405" i="13"/>
  <c r="C1262" i="13"/>
  <c r="C989" i="13"/>
  <c r="C849" i="13"/>
  <c r="C758" i="13"/>
  <c r="C500" i="13"/>
  <c r="C377" i="13"/>
  <c r="C243" i="13"/>
  <c r="C77" i="13"/>
  <c r="C1218" i="13"/>
  <c r="C772" i="13"/>
  <c r="C18" i="13"/>
  <c r="C1304" i="13"/>
  <c r="C1254" i="13"/>
  <c r="C1172" i="13"/>
  <c r="C985" i="13"/>
  <c r="C908" i="13"/>
  <c r="C767" i="13"/>
  <c r="C538" i="13"/>
  <c r="C413" i="13"/>
  <c r="C283" i="13"/>
  <c r="C221" i="13"/>
  <c r="C107" i="13"/>
  <c r="C1321" i="13"/>
  <c r="C1143" i="13"/>
  <c r="C977" i="13"/>
  <c r="C672" i="13"/>
  <c r="C467" i="13"/>
  <c r="C262" i="13"/>
  <c r="C15" i="13"/>
  <c r="C1249" i="13"/>
  <c r="C943" i="13"/>
  <c r="C488" i="13"/>
  <c r="C74" i="13"/>
  <c r="C1151" i="13"/>
  <c r="C188" i="13"/>
  <c r="C1326" i="13"/>
  <c r="C1136" i="13"/>
  <c r="C971" i="13"/>
  <c r="C822" i="13"/>
  <c r="C712" i="13"/>
  <c r="C496" i="13"/>
  <c r="C345" i="13"/>
  <c r="C140" i="13"/>
  <c r="C1273" i="13"/>
  <c r="C795" i="13"/>
  <c r="C83" i="13"/>
  <c r="C1319" i="13"/>
  <c r="C1266" i="13"/>
  <c r="C1188" i="13"/>
  <c r="C983" i="13"/>
  <c r="C906" i="13"/>
  <c r="C806" i="13"/>
  <c r="C615" i="13"/>
  <c r="C509" i="13"/>
  <c r="C373" i="13"/>
  <c r="C253" i="13"/>
  <c r="C180" i="13"/>
  <c r="C1428" i="13"/>
  <c r="C1173" i="13"/>
  <c r="C1002" i="13"/>
  <c r="C687" i="13"/>
  <c r="C506" i="13"/>
  <c r="C93" i="13"/>
  <c r="C1359" i="13"/>
  <c r="C1117" i="13"/>
  <c r="C829" i="13"/>
  <c r="C429" i="13"/>
  <c r="C61" i="13"/>
  <c r="C853" i="13"/>
  <c r="C660" i="13"/>
  <c r="C178" i="13"/>
  <c r="C49" i="13"/>
  <c r="C1371" i="13"/>
  <c r="C1246" i="13"/>
  <c r="C1010" i="13"/>
  <c r="C858" i="13"/>
  <c r="C773" i="13"/>
  <c r="C623" i="13"/>
  <c r="C435" i="13"/>
  <c r="C264" i="13"/>
  <c r="C114" i="13"/>
  <c r="C1235" i="13"/>
  <c r="C788" i="13"/>
  <c r="C65" i="13"/>
  <c r="C1271" i="13"/>
  <c r="C1200" i="13"/>
  <c r="C1033" i="13"/>
  <c r="C942" i="13"/>
  <c r="C867" i="13"/>
  <c r="C716" i="13"/>
  <c r="C562" i="13"/>
  <c r="C432" i="13"/>
  <c r="C288" i="13"/>
  <c r="C207" i="13"/>
  <c r="C27" i="13"/>
  <c r="C1251" i="13"/>
  <c r="C1070" i="13"/>
  <c r="C804" i="13"/>
  <c r="C644" i="13"/>
  <c r="C443" i="13"/>
  <c r="C240" i="13"/>
  <c r="C1383" i="13"/>
  <c r="C1126" i="13"/>
  <c r="C909" i="13"/>
  <c r="C407" i="13"/>
  <c r="C1418" i="13"/>
  <c r="C1120" i="13"/>
  <c r="C1016" i="13"/>
  <c r="C838" i="13"/>
  <c r="C691" i="13"/>
  <c r="C593" i="13"/>
  <c r="C466" i="13"/>
  <c r="C227" i="13"/>
  <c r="C62" i="13"/>
  <c r="C1381" i="13"/>
  <c r="C1210" i="13"/>
  <c r="C1064" i="13"/>
  <c r="C967" i="13"/>
  <c r="C834" i="13"/>
  <c r="C616" i="13"/>
  <c r="C433" i="13"/>
  <c r="C317" i="13"/>
  <c r="C186" i="13"/>
  <c r="C22" i="13"/>
  <c r="C1295" i="13"/>
  <c r="C1109" i="13"/>
  <c r="C930" i="13"/>
  <c r="C703" i="13"/>
  <c r="C556" i="13"/>
  <c r="C415" i="13"/>
  <c r="C229" i="13"/>
  <c r="C1425" i="13"/>
  <c r="C928" i="13"/>
  <c r="C625" i="13"/>
  <c r="C295" i="13"/>
  <c r="C56" i="13"/>
  <c r="C1344" i="13"/>
  <c r="C1203" i="13"/>
  <c r="C1051" i="13"/>
  <c r="C866" i="13"/>
  <c r="C665" i="13"/>
  <c r="C445" i="13"/>
  <c r="C1431" i="13"/>
  <c r="C1039" i="13"/>
  <c r="C1436" i="13"/>
  <c r="C1261" i="13"/>
  <c r="C1119" i="13"/>
  <c r="C982" i="13"/>
  <c r="C780" i="13"/>
  <c r="C655" i="13"/>
  <c r="C555" i="13"/>
  <c r="C420" i="13"/>
  <c r="C214" i="13"/>
  <c r="C81" i="13"/>
  <c r="C1396" i="13"/>
  <c r="C1209" i="13"/>
  <c r="C1014" i="13"/>
  <c r="C917" i="13"/>
  <c r="C799" i="13"/>
  <c r="C635" i="13"/>
  <c r="C489" i="13"/>
  <c r="C351" i="13"/>
  <c r="C201" i="13"/>
  <c r="C47" i="13"/>
  <c r="C1352" i="13"/>
  <c r="C1162" i="13"/>
  <c r="C963" i="13"/>
  <c r="C760" i="13"/>
  <c r="C583" i="13"/>
  <c r="C490" i="13"/>
  <c r="C311" i="13"/>
  <c r="C100" i="13"/>
  <c r="C1346" i="13"/>
  <c r="C925" i="13"/>
  <c r="C647" i="13"/>
  <c r="C408" i="13"/>
  <c r="C52" i="13"/>
  <c r="C1297" i="13"/>
  <c r="C1182" i="13"/>
  <c r="C1040" i="13"/>
  <c r="C862" i="13"/>
  <c r="C708" i="13"/>
  <c r="C557" i="13"/>
  <c r="C358" i="13"/>
  <c r="C1430" i="13"/>
  <c r="C1245" i="13"/>
  <c r="C1082" i="13"/>
  <c r="C953" i="13"/>
  <c r="C777" i="13"/>
  <c r="C633" i="13"/>
  <c r="C551" i="13"/>
  <c r="C393" i="13"/>
  <c r="C204" i="13"/>
  <c r="C10" i="13"/>
  <c r="C1353" i="13"/>
  <c r="C1208" i="13"/>
  <c r="C1008" i="13"/>
  <c r="C913" i="13"/>
  <c r="C798" i="13"/>
  <c r="C586" i="13"/>
  <c r="C400" i="13"/>
  <c r="C251" i="13"/>
  <c r="C1445" i="13"/>
  <c r="C756" i="13"/>
  <c r="C115" i="13"/>
  <c r="C638" i="13"/>
  <c r="C872" i="13"/>
  <c r="C459" i="13"/>
  <c r="C202" i="13"/>
  <c r="C6" i="13"/>
  <c r="C742" i="13"/>
  <c r="C1376" i="13"/>
  <c r="C1265" i="13"/>
  <c r="C1052" i="13"/>
  <c r="C939" i="13"/>
  <c r="C814" i="13"/>
  <c r="C576" i="13"/>
  <c r="C383" i="13"/>
  <c r="C247" i="13"/>
  <c r="C106" i="13"/>
  <c r="C1286" i="13"/>
  <c r="C1067" i="13"/>
  <c r="C696" i="13"/>
  <c r="C471" i="13"/>
  <c r="C231" i="13"/>
  <c r="C1374" i="13"/>
  <c r="C1125" i="13"/>
  <c r="C893" i="13"/>
  <c r="C402" i="13"/>
  <c r="C24" i="13"/>
  <c r="C1318" i="13"/>
  <c r="C1336" i="13"/>
  <c r="C1169" i="13"/>
  <c r="C198" i="13"/>
  <c r="C1155" i="13"/>
  <c r="C1368" i="13"/>
  <c r="C1083" i="13"/>
  <c r="C926" i="13"/>
  <c r="C823" i="13"/>
  <c r="C697" i="13"/>
  <c r="C458" i="13"/>
  <c r="C347" i="13"/>
  <c r="C159" i="13"/>
  <c r="C51" i="13"/>
  <c r="C1108" i="13"/>
  <c r="C652" i="13"/>
  <c r="C1432" i="13"/>
  <c r="C1292" i="13"/>
  <c r="C1242" i="13"/>
  <c r="C1112" i="13"/>
  <c r="C973" i="13"/>
  <c r="C897" i="13"/>
  <c r="C650" i="13"/>
  <c r="C525" i="13"/>
  <c r="C374" i="13"/>
  <c r="C261" i="13"/>
  <c r="C192" i="13"/>
  <c r="C69" i="13"/>
  <c r="C1280" i="13"/>
  <c r="C1110" i="13"/>
  <c r="C828" i="13"/>
  <c r="C613" i="13"/>
  <c r="C434" i="13"/>
  <c r="C228" i="13"/>
  <c r="C1415" i="13"/>
  <c r="C1123" i="13"/>
  <c r="C868" i="13"/>
  <c r="C390" i="13"/>
  <c r="C23" i="13"/>
  <c r="C1174" i="13"/>
  <c r="C349" i="13"/>
  <c r="C1168" i="13"/>
  <c r="C50" i="13"/>
  <c r="C1394" i="13"/>
  <c r="C1288" i="13"/>
  <c r="C1061" i="13"/>
  <c r="C914" i="13"/>
  <c r="C801" i="13"/>
  <c r="C688" i="13"/>
  <c r="C444" i="13"/>
  <c r="C274" i="13"/>
  <c r="C90" i="13"/>
  <c r="C1171" i="13"/>
  <c r="C763" i="13"/>
  <c r="C1444" i="13"/>
  <c r="C1303" i="13"/>
  <c r="C1253" i="13"/>
  <c r="C1165" i="13"/>
  <c r="C972" i="13"/>
  <c r="C896" i="13"/>
  <c r="C764" i="13"/>
  <c r="C591" i="13"/>
  <c r="C472" i="13"/>
  <c r="C320" i="13"/>
  <c r="C241" i="13"/>
  <c r="C160" i="13"/>
  <c r="C1349" i="13"/>
  <c r="C1127" i="13"/>
  <c r="C907" i="13"/>
  <c r="C654" i="13"/>
  <c r="C452" i="13"/>
  <c r="C64" i="13"/>
  <c r="C1315" i="13"/>
  <c r="C1095" i="13"/>
  <c r="C733" i="13"/>
  <c r="C369" i="13"/>
  <c r="C20" i="13"/>
  <c r="C257" i="13"/>
  <c r="C45" i="13"/>
  <c r="C33" i="13"/>
  <c r="C1387" i="13"/>
  <c r="C1351" i="13"/>
  <c r="C1116" i="13"/>
  <c r="C956" i="13"/>
  <c r="C833" i="13"/>
  <c r="C726" i="13"/>
  <c r="C553" i="13"/>
  <c r="C422" i="13"/>
  <c r="C209" i="13"/>
  <c r="C84" i="13"/>
  <c r="C1130" i="13"/>
  <c r="C745" i="13"/>
  <c r="C1441" i="13"/>
  <c r="C1260" i="13"/>
  <c r="C1180" i="13"/>
  <c r="C995" i="13"/>
  <c r="C912" i="13"/>
  <c r="C841" i="13"/>
  <c r="C645" i="13"/>
  <c r="C535" i="13"/>
  <c r="C406" i="13"/>
  <c r="C271" i="13"/>
  <c r="C177" i="13"/>
  <c r="C1424" i="13"/>
  <c r="C1186" i="13"/>
  <c r="C1031" i="13"/>
  <c r="C730" i="13"/>
  <c r="C601" i="13"/>
  <c r="C399" i="13"/>
  <c r="C183" i="13"/>
  <c r="C1355" i="13"/>
  <c r="C1105" i="13"/>
  <c r="C775" i="13"/>
  <c r="C284" i="13"/>
  <c r="C1232" i="13"/>
  <c r="C1091" i="13"/>
  <c r="C999" i="13"/>
  <c r="C790" i="13"/>
  <c r="C658" i="13"/>
  <c r="C561" i="13"/>
  <c r="C421" i="13"/>
  <c r="C175" i="13"/>
  <c r="C5" i="13"/>
  <c r="C1338" i="13"/>
  <c r="C1187" i="13"/>
  <c r="C1018" i="13"/>
  <c r="C919" i="13"/>
  <c r="C808" i="13"/>
  <c r="C580" i="13"/>
  <c r="C389" i="13"/>
  <c r="C296" i="13"/>
  <c r="C154" i="13"/>
  <c r="C1437" i="13"/>
  <c r="C1269" i="13"/>
  <c r="C1077" i="13"/>
  <c r="C846" i="13"/>
  <c r="C680" i="13"/>
  <c r="C516" i="13"/>
  <c r="C375" i="13"/>
  <c r="C184" i="13"/>
  <c r="C1385" i="13"/>
  <c r="C851" i="13"/>
  <c r="C585" i="13"/>
  <c r="C255" i="13"/>
  <c r="C21" i="13"/>
  <c r="C1312" i="13"/>
  <c r="C1195" i="13"/>
  <c r="C1028" i="13"/>
  <c r="C821" i="13"/>
  <c r="C558" i="13"/>
  <c r="C335" i="13"/>
  <c r="C1150" i="13"/>
  <c r="C987" i="13"/>
  <c r="C1407" i="13"/>
  <c r="C1225" i="13"/>
  <c r="C1085" i="13"/>
  <c r="C940" i="13"/>
  <c r="C762" i="13"/>
  <c r="C614" i="13"/>
  <c r="C523" i="13"/>
  <c r="C362" i="13"/>
  <c r="C174" i="13"/>
  <c r="C25" i="13"/>
  <c r="C1377" i="13"/>
  <c r="C1103" i="13"/>
  <c r="C1000" i="13"/>
  <c r="C876" i="13"/>
  <c r="C751" i="13"/>
  <c r="C610" i="13"/>
  <c r="C455" i="13"/>
  <c r="C333" i="13"/>
  <c r="C185" i="13"/>
  <c r="C19" i="13"/>
  <c r="C1322" i="13"/>
  <c r="C1107" i="13"/>
  <c r="C898" i="13"/>
  <c r="C695" i="13"/>
  <c r="C573" i="13"/>
  <c r="C447" i="13"/>
  <c r="C249" i="13"/>
  <c r="C58" i="13"/>
  <c r="C1264" i="13"/>
  <c r="C842" i="13"/>
  <c r="C620" i="13"/>
  <c r="C348" i="13"/>
  <c r="C11" i="13"/>
  <c r="C1219" i="13"/>
  <c r="C1149" i="13"/>
  <c r="C1023" i="13"/>
  <c r="C820" i="13"/>
  <c r="C674" i="13"/>
  <c r="C503" i="13"/>
  <c r="C211" i="13"/>
  <c r="C1404" i="13"/>
  <c r="C1184" i="13"/>
  <c r="C1065" i="13"/>
  <c r="C936" i="13"/>
  <c r="C752" i="13"/>
  <c r="C612" i="13"/>
  <c r="C520" i="13"/>
  <c r="C318" i="13"/>
  <c r="C171" i="13"/>
  <c r="C1447" i="13"/>
  <c r="C1330" i="13"/>
  <c r="C1102" i="13"/>
  <c r="C994" i="13"/>
  <c r="C864" i="13"/>
  <c r="C747" i="13"/>
  <c r="C554" i="13"/>
  <c r="C384" i="13"/>
  <c r="C191" i="13"/>
  <c r="C1408" i="13"/>
  <c r="C1284" i="13"/>
  <c r="C1058" i="13"/>
  <c r="C832" i="13"/>
  <c r="C667" i="13"/>
  <c r="C522" i="13"/>
  <c r="C359" i="13"/>
  <c r="C146" i="13"/>
  <c r="C3" i="13"/>
  <c r="C1086" i="13"/>
  <c r="C677" i="13"/>
  <c r="C468" i="13"/>
  <c r="C194" i="13"/>
  <c r="C1399" i="13"/>
  <c r="C1205" i="13"/>
  <c r="C1115" i="13"/>
  <c r="C944" i="13"/>
  <c r="C779" i="13"/>
  <c r="C656" i="13"/>
  <c r="C456" i="13"/>
  <c r="C1231" i="13"/>
  <c r="C1281" i="13"/>
  <c r="C1076" i="13"/>
  <c r="C952" i="13"/>
  <c r="C776" i="13"/>
  <c r="C622" i="13"/>
  <c r="C549" i="13"/>
  <c r="C391" i="13"/>
  <c r="C722" i="13"/>
  <c r="C533" i="13"/>
  <c r="C1420" i="13"/>
  <c r="C783" i="13"/>
  <c r="C380" i="13"/>
  <c r="C167" i="13"/>
  <c r="C1122" i="13"/>
  <c r="C344" i="13"/>
  <c r="C1348" i="13"/>
  <c r="C1243" i="13"/>
  <c r="C1025" i="13"/>
  <c r="C911" i="13"/>
  <c r="C732" i="13"/>
  <c r="C550" i="13"/>
  <c r="C329" i="13"/>
  <c r="C223" i="13"/>
  <c r="C86" i="13"/>
  <c r="C1233" i="13"/>
  <c r="C990" i="13"/>
  <c r="C676" i="13"/>
  <c r="C437" i="13"/>
  <c r="C89" i="13"/>
  <c r="C1345" i="13"/>
  <c r="C1098" i="13"/>
  <c r="C686" i="13"/>
  <c r="C313" i="13"/>
  <c r="C1440" i="13"/>
  <c r="C1274" i="13"/>
  <c r="C1331" i="13"/>
  <c r="C1048" i="13"/>
  <c r="C891" i="13"/>
  <c r="C802" i="13"/>
  <c r="C634" i="13"/>
  <c r="C428" i="13"/>
  <c r="C310" i="13"/>
  <c r="C117" i="13"/>
  <c r="C1397" i="13"/>
  <c r="C895" i="13"/>
  <c r="C539" i="13"/>
  <c r="C1373" i="13"/>
  <c r="C1276" i="13"/>
  <c r="C1215" i="13"/>
  <c r="C1043" i="13"/>
  <c r="C951" i="13"/>
  <c r="C879" i="13"/>
  <c r="C592" i="13"/>
  <c r="C473" i="13"/>
  <c r="C322" i="13"/>
  <c r="C246" i="13"/>
  <c r="C164" i="13"/>
  <c r="C16" i="13"/>
  <c r="C1230" i="13"/>
  <c r="C1037" i="13"/>
  <c r="C770" i="13"/>
  <c r="C541" i="13"/>
  <c r="C381" i="13"/>
  <c r="C97" i="13"/>
  <c r="C1364" i="13"/>
  <c r="C1097" i="13"/>
  <c r="C685" i="13"/>
  <c r="C306" i="13"/>
  <c r="C1335" i="13"/>
  <c r="C363" i="13"/>
  <c r="C1378" i="13"/>
  <c r="C1250" i="13"/>
  <c r="C1044" i="13"/>
  <c r="C890" i="13"/>
  <c r="C781" i="13"/>
  <c r="C572" i="13"/>
  <c r="C397" i="13"/>
  <c r="C224" i="13"/>
  <c r="C73" i="13"/>
  <c r="C975" i="13"/>
  <c r="C532" i="13"/>
  <c r="C1429" i="13"/>
  <c r="C1291" i="13"/>
  <c r="C1241" i="13"/>
  <c r="C1041" i="13"/>
  <c r="C945" i="13"/>
  <c r="C871" i="13"/>
  <c r="C717" i="13"/>
  <c r="C564" i="13"/>
  <c r="C446" i="13"/>
  <c r="C300" i="13"/>
  <c r="C230" i="13"/>
  <c r="C131" i="13"/>
  <c r="C1272" i="13"/>
  <c r="C1104" i="13"/>
  <c r="C807" i="13"/>
  <c r="C611" i="13"/>
  <c r="C258" i="13"/>
  <c r="C12" i="13"/>
  <c r="C1226" i="13"/>
  <c r="C1059" i="13"/>
  <c r="C684" i="13"/>
  <c r="C297" i="13"/>
  <c r="C1237" i="13"/>
  <c r="C1152" i="13"/>
  <c r="C482" i="13"/>
  <c r="C1301" i="13"/>
  <c r="C1056" i="13"/>
  <c r="C902" i="13"/>
  <c r="C815" i="13"/>
  <c r="C711" i="13"/>
  <c r="C502" i="13"/>
  <c r="C360" i="13"/>
  <c r="C169" i="13"/>
  <c r="C66" i="13"/>
  <c r="C974" i="13"/>
  <c r="C578" i="13"/>
  <c r="C1300" i="13"/>
  <c r="C1248" i="13"/>
  <c r="C1132" i="13"/>
  <c r="C979" i="13"/>
  <c r="C905" i="13"/>
  <c r="C803" i="13"/>
  <c r="C608" i="13"/>
  <c r="C504" i="13"/>
  <c r="C357" i="13"/>
  <c r="C252" i="13"/>
  <c r="C158" i="13"/>
  <c r="C1327" i="13"/>
  <c r="C1166" i="13"/>
  <c r="C991" i="13"/>
  <c r="C699" i="13"/>
  <c r="C528" i="13"/>
  <c r="C336" i="13"/>
  <c r="C42" i="13"/>
  <c r="C1306" i="13"/>
  <c r="C1092" i="13"/>
  <c r="C679" i="13"/>
  <c r="C156" i="13"/>
  <c r="C1212" i="13"/>
  <c r="C1072" i="13"/>
  <c r="C924" i="13"/>
  <c r="C769" i="13"/>
  <c r="C618" i="13"/>
  <c r="C547" i="13"/>
  <c r="C388" i="13"/>
  <c r="C137" i="13"/>
  <c r="C1423" i="13"/>
  <c r="C1283" i="13"/>
  <c r="C1153" i="13"/>
  <c r="C1001" i="13"/>
  <c r="C889" i="13"/>
  <c r="C754" i="13"/>
  <c r="C498" i="13"/>
  <c r="C365" i="13"/>
  <c r="C260" i="13"/>
  <c r="C111" i="13"/>
  <c r="C1398" i="13"/>
  <c r="C1194" i="13"/>
  <c r="C1013" i="13"/>
  <c r="C791" i="13"/>
  <c r="C659" i="13"/>
  <c r="C494" i="13"/>
  <c r="C323" i="13"/>
  <c r="C104" i="13"/>
  <c r="C1290" i="13"/>
  <c r="C784" i="13"/>
  <c r="C507" i="13"/>
  <c r="C157" i="13"/>
  <c r="C1412" i="13"/>
  <c r="C1244" i="13"/>
  <c r="C1154" i="13"/>
  <c r="C957" i="13"/>
  <c r="C792" i="13"/>
  <c r="C511" i="13"/>
  <c r="C291" i="13"/>
  <c r="C1094" i="13"/>
  <c r="C955" i="13"/>
  <c r="C1358" i="13"/>
  <c r="C1191" i="13"/>
  <c r="C1046" i="13"/>
  <c r="C915" i="13"/>
  <c r="C714" i="13"/>
  <c r="C603" i="13"/>
  <c r="C491" i="13"/>
  <c r="C308" i="13"/>
  <c r="C130" i="13"/>
  <c r="C2" i="13"/>
  <c r="C1282" i="13"/>
  <c r="C1093" i="13"/>
  <c r="C984" i="13"/>
  <c r="C847" i="13"/>
  <c r="C735" i="13"/>
  <c r="C570" i="13"/>
  <c r="C412" i="13"/>
  <c r="C314" i="13"/>
  <c r="C150" i="13"/>
  <c r="C1422" i="13"/>
  <c r="C1287" i="13"/>
  <c r="C1066" i="13"/>
  <c r="C839" i="13"/>
  <c r="C670" i="13"/>
  <c r="C529" i="13"/>
  <c r="C409" i="13"/>
  <c r="C226" i="13"/>
  <c r="C32" i="13"/>
  <c r="C1148" i="13"/>
  <c r="C741" i="13"/>
  <c r="C559" i="13"/>
  <c r="C151" i="13"/>
  <c r="C1367" i="13"/>
  <c r="C1206" i="13"/>
  <c r="C1124" i="13"/>
  <c r="C950" i="13"/>
  <c r="C785" i="13"/>
  <c r="C657" i="13"/>
  <c r="C461" i="13"/>
  <c r="C168" i="13"/>
  <c r="C1354" i="13"/>
  <c r="C1129" i="13"/>
  <c r="C1042" i="13"/>
  <c r="C903" i="13"/>
  <c r="C713" i="13"/>
  <c r="C599" i="13"/>
  <c r="C485" i="13"/>
  <c r="C307" i="13"/>
  <c r="C129" i="13"/>
  <c r="C1413" i="13"/>
  <c r="C1258" i="13"/>
  <c r="C1074" i="13"/>
  <c r="C981" i="13"/>
  <c r="C837" i="13"/>
  <c r="C734" i="13"/>
  <c r="C512" i="13"/>
  <c r="C328" i="13"/>
  <c r="C134" i="13"/>
  <c r="C1391" i="13"/>
  <c r="C1229" i="13"/>
  <c r="C968" i="13"/>
  <c r="C786" i="13"/>
  <c r="C630" i="13"/>
  <c r="C514" i="13"/>
  <c r="C275" i="13"/>
  <c r="C118" i="13"/>
  <c r="C1411" i="13"/>
  <c r="C959" i="13"/>
  <c r="C631" i="13"/>
  <c r="C395" i="13"/>
  <c r="C143" i="13"/>
  <c r="C1363" i="13"/>
  <c r="C1198" i="13"/>
  <c r="C1078" i="13"/>
  <c r="C886" i="13"/>
  <c r="C728" i="13"/>
  <c r="C581" i="13"/>
  <c r="C417" i="13"/>
  <c r="C1161" i="13"/>
  <c r="C1213" i="13"/>
  <c r="C1057" i="13"/>
  <c r="C931" i="13"/>
  <c r="C750" i="13"/>
  <c r="C607" i="13"/>
  <c r="C499" i="13"/>
  <c r="C316" i="13"/>
  <c r="C121" i="13"/>
  <c r="C1426" i="13"/>
  <c r="C1302" i="13"/>
  <c r="C1101" i="13"/>
  <c r="C596" i="13"/>
  <c r="C637" i="13"/>
  <c r="C43" i="13"/>
  <c r="C1402" i="13"/>
  <c r="C238" i="13"/>
  <c r="C123" i="13"/>
  <c r="C256" i="13"/>
  <c r="C1177" i="13"/>
  <c r="C860" i="13"/>
  <c r="P338" i="13"/>
  <c r="P723" i="13"/>
  <c r="P1139" i="13"/>
  <c r="P364" i="13"/>
  <c r="P1146" i="13"/>
  <c r="P124" i="13"/>
  <c r="P334" i="13"/>
  <c r="P1109" i="13"/>
  <c r="P415" i="13"/>
  <c r="P625" i="13"/>
  <c r="P1203" i="13"/>
  <c r="P445" i="13"/>
  <c r="P1062" i="13"/>
  <c r="P403" i="13"/>
  <c r="P25" i="13"/>
  <c r="P876" i="13"/>
  <c r="P333" i="13"/>
  <c r="P1066" i="13"/>
  <c r="P409" i="13"/>
  <c r="P707" i="13"/>
  <c r="P1202" i="13"/>
  <c r="P617" i="13"/>
  <c r="P1179" i="13"/>
  <c r="P463" i="13"/>
  <c r="P1356" i="13"/>
  <c r="C1156" i="13"/>
  <c r="C1157" i="13"/>
  <c r="C340" i="13"/>
  <c r="C239" i="13"/>
  <c r="P639" i="13"/>
  <c r="P1029" i="13"/>
  <c r="P281" i="13"/>
  <c r="P756" i="13"/>
  <c r="P1178" i="13"/>
  <c r="P1314" i="13"/>
  <c r="P948" i="13"/>
  <c r="P1335" i="13"/>
  <c r="P188" i="13"/>
  <c r="P363" i="13"/>
  <c r="P1151" i="13"/>
  <c r="P50" i="13"/>
  <c r="P737" i="13"/>
  <c r="P1168" i="13"/>
  <c r="P179" i="13"/>
  <c r="P349" i="13"/>
  <c r="P661" i="13"/>
  <c r="P1174" i="13"/>
  <c r="P854" i="13"/>
  <c r="P302" i="13"/>
  <c r="P426" i="13"/>
  <c r="P1313" i="13"/>
  <c r="P1069" i="13"/>
  <c r="P36" i="13"/>
  <c r="P303" i="13"/>
  <c r="P627" i="13"/>
  <c r="P189" i="13"/>
  <c r="P1155" i="13"/>
  <c r="P218" i="13"/>
  <c r="P198" i="13"/>
  <c r="P280" i="13"/>
  <c r="P1169" i="13"/>
  <c r="P1022" i="13"/>
  <c r="P1336" i="13"/>
  <c r="P1068" i="13"/>
  <c r="P1175" i="13"/>
  <c r="P640" i="13"/>
  <c r="P855" i="13"/>
  <c r="P200" i="13"/>
  <c r="P722" i="13"/>
  <c r="P1224" i="13"/>
  <c r="P1379" i="13"/>
  <c r="C338" i="13"/>
  <c r="C723" i="13"/>
  <c r="C1139" i="13"/>
  <c r="C364" i="13"/>
  <c r="C1146" i="13"/>
  <c r="C1069" i="13"/>
  <c r="C1356" i="13"/>
  <c r="C639" i="13"/>
  <c r="C1029" i="13"/>
  <c r="C281" i="13"/>
  <c r="C1178" i="13"/>
  <c r="C948" i="13"/>
  <c r="P482" i="13"/>
  <c r="P755" i="13"/>
  <c r="P33" i="13"/>
  <c r="P1420" i="13"/>
  <c r="P1299" i="13"/>
  <c r="P1090" i="13"/>
  <c r="P1378" i="13"/>
  <c r="P1250" i="13"/>
  <c r="P1044" i="13"/>
  <c r="P890" i="13"/>
  <c r="P781" i="13"/>
  <c r="P825" i="13"/>
  <c r="P725" i="13"/>
  <c r="P548" i="13"/>
  <c r="P411" i="13"/>
  <c r="P286" i="13"/>
  <c r="P109" i="13"/>
  <c r="P1228" i="13"/>
  <c r="P789" i="13"/>
  <c r="P38" i="13"/>
  <c r="P1305" i="13"/>
  <c r="P1257" i="13"/>
  <c r="P1121" i="13"/>
  <c r="P976" i="13"/>
  <c r="P900" i="13"/>
  <c r="P793" i="13"/>
  <c r="P600" i="13"/>
  <c r="P457" i="13"/>
  <c r="P309" i="13"/>
  <c r="P235" i="13"/>
  <c r="P135" i="13"/>
  <c r="P1416" i="13"/>
  <c r="P1185" i="13"/>
  <c r="P1020" i="13"/>
  <c r="P709" i="13"/>
  <c r="P567" i="13"/>
  <c r="P394" i="13"/>
  <c r="P152" i="13"/>
  <c r="P1374" i="13"/>
  <c r="P1125" i="13"/>
  <c r="P893" i="13"/>
  <c r="P402" i="13"/>
  <c r="P24" i="13"/>
  <c r="P1318" i="13"/>
  <c r="P1137" i="13"/>
  <c r="P1054" i="13"/>
  <c r="P878" i="13"/>
  <c r="P715" i="13"/>
  <c r="P605" i="13"/>
  <c r="P492" i="13"/>
  <c r="P315" i="13"/>
  <c r="P82" i="13"/>
  <c r="P1401" i="13"/>
  <c r="P1368" i="13"/>
  <c r="P1083" i="13"/>
  <c r="P926" i="13"/>
  <c r="P823" i="13"/>
  <c r="P697" i="13"/>
  <c r="P458" i="13"/>
  <c r="P347" i="13"/>
  <c r="P159" i="13"/>
  <c r="P51" i="13"/>
  <c r="P1108" i="13"/>
  <c r="P652" i="13"/>
  <c r="P1432" i="13"/>
  <c r="P1292" i="13"/>
  <c r="P1242" i="13"/>
  <c r="P1112" i="13"/>
  <c r="P973" i="13"/>
  <c r="P897" i="13"/>
  <c r="P650" i="13"/>
  <c r="P525" i="13"/>
  <c r="P374" i="13"/>
  <c r="P261" i="13"/>
  <c r="P192" i="13"/>
  <c r="P69" i="13"/>
  <c r="P1280" i="13"/>
  <c r="P1110" i="13"/>
  <c r="P828" i="13"/>
  <c r="P613" i="13"/>
  <c r="P434" i="13"/>
  <c r="P228" i="13"/>
  <c r="P1415" i="13"/>
  <c r="P1123" i="13"/>
  <c r="P868" i="13"/>
  <c r="P390" i="13"/>
  <c r="P23" i="13"/>
  <c r="P1311" i="13"/>
  <c r="P1133" i="13"/>
  <c r="P1015" i="13"/>
  <c r="P824" i="13"/>
  <c r="P683" i="13"/>
  <c r="P582" i="13"/>
  <c r="P465" i="13"/>
  <c r="P270" i="13"/>
  <c r="P1346" i="13"/>
  <c r="P572" i="13"/>
  <c r="P397" i="13"/>
  <c r="P224" i="13"/>
  <c r="P73" i="13"/>
  <c r="P975" i="13"/>
  <c r="P532" i="13"/>
  <c r="P1429" i="13"/>
  <c r="P1291" i="13"/>
  <c r="P1241" i="13"/>
  <c r="P1041" i="13"/>
  <c r="P945" i="13"/>
  <c r="P871" i="13"/>
  <c r="P717" i="13"/>
  <c r="P564" i="13"/>
  <c r="P446" i="13"/>
  <c r="P300" i="13"/>
  <c r="P230" i="13"/>
  <c r="P131" i="13"/>
  <c r="P1272" i="13"/>
  <c r="P1104" i="13"/>
  <c r="P807" i="13"/>
  <c r="P611" i="13"/>
  <c r="P258" i="13"/>
  <c r="P12" i="13"/>
  <c r="P1226" i="13"/>
  <c r="P1059" i="13"/>
  <c r="P684" i="13"/>
  <c r="P297" i="13"/>
  <c r="P1430" i="13"/>
  <c r="P1245" i="13"/>
  <c r="P1082" i="13"/>
  <c r="P953" i="13"/>
  <c r="P777" i="13"/>
  <c r="P633" i="13"/>
  <c r="P551" i="13"/>
  <c r="P393" i="13"/>
  <c r="P204" i="13"/>
  <c r="P10" i="13"/>
  <c r="P1353" i="13"/>
  <c r="P1208" i="13"/>
  <c r="P1008" i="13"/>
  <c r="P913" i="13"/>
  <c r="P798" i="13"/>
  <c r="P586" i="13"/>
  <c r="P400" i="13"/>
  <c r="P251" i="13"/>
  <c r="P1445" i="13"/>
  <c r="P1310" i="13"/>
  <c r="P1100" i="13"/>
  <c r="P873" i="13"/>
  <c r="P693" i="13"/>
  <c r="P565" i="13"/>
  <c r="P396" i="13"/>
  <c r="P1351" i="13"/>
  <c r="P1116" i="13"/>
  <c r="P956" i="13"/>
  <c r="P833" i="13"/>
  <c r="P726" i="13"/>
  <c r="P553" i="13"/>
  <c r="P422" i="13"/>
  <c r="P209" i="13"/>
  <c r="P84" i="13"/>
  <c r="P1130" i="13"/>
  <c r="P745" i="13"/>
  <c r="P1441" i="13"/>
  <c r="P1260" i="13"/>
  <c r="P1180" i="13"/>
  <c r="P995" i="13"/>
  <c r="P912" i="13"/>
  <c r="P841" i="13"/>
  <c r="P645" i="13"/>
  <c r="P535" i="13"/>
  <c r="P406" i="13"/>
  <c r="P271" i="13"/>
  <c r="P177" i="13"/>
  <c r="P1424" i="13"/>
  <c r="P1186" i="13"/>
  <c r="P1031" i="13"/>
  <c r="P730" i="13"/>
  <c r="P601" i="13"/>
  <c r="P399" i="13"/>
  <c r="P183" i="13"/>
  <c r="P1355" i="13"/>
  <c r="P1105" i="13"/>
  <c r="P775" i="13"/>
  <c r="P284" i="13"/>
  <c r="P1375" i="13"/>
  <c r="P1128" i="13"/>
  <c r="P1026" i="13"/>
  <c r="P899" i="13"/>
  <c r="P692" i="13"/>
  <c r="P594" i="13"/>
  <c r="P481" i="13"/>
  <c r="P289" i="13"/>
  <c r="P85" i="13"/>
  <c r="P1406" i="13"/>
  <c r="P1252" i="13"/>
  <c r="P1410" i="13"/>
  <c r="P359" i="13"/>
  <c r="P146" i="13"/>
  <c r="P3" i="13"/>
  <c r="P1086" i="13"/>
  <c r="P677" i="13"/>
  <c r="P468" i="13"/>
  <c r="P194" i="13"/>
  <c r="P1399" i="13"/>
  <c r="P1205" i="13"/>
  <c r="P1115" i="13"/>
  <c r="P944" i="13"/>
  <c r="P779" i="13"/>
  <c r="P656" i="13"/>
  <c r="P456" i="13"/>
  <c r="P268" i="13"/>
  <c r="P67" i="13"/>
  <c r="P1320" i="13"/>
  <c r="P1045" i="13"/>
  <c r="P882" i="13"/>
  <c r="P718" i="13"/>
  <c r="P487" i="13"/>
  <c r="P372" i="13"/>
  <c r="P148" i="13"/>
  <c r="P37" i="13"/>
  <c r="P1019" i="13"/>
  <c r="P935" i="13"/>
  <c r="P809" i="13"/>
  <c r="P649" i="13"/>
  <c r="P508" i="13"/>
  <c r="P368" i="13"/>
  <c r="P248" i="13"/>
  <c r="P59" i="13"/>
  <c r="P1332" i="13"/>
  <c r="P1164" i="13"/>
  <c r="P966" i="13"/>
  <c r="P771" i="13"/>
  <c r="P575" i="13"/>
  <c r="P475" i="13"/>
  <c r="P263" i="13"/>
  <c r="P110" i="13"/>
  <c r="P1024" i="13"/>
  <c r="P669" i="13"/>
  <c r="P462" i="13"/>
  <c r="P206" i="13"/>
  <c r="P1333" i="13"/>
  <c r="P1196" i="13"/>
  <c r="P1032" i="13"/>
  <c r="P836" i="13"/>
  <c r="P671" i="13"/>
  <c r="P474" i="13"/>
  <c r="P324" i="13"/>
  <c r="P147" i="13"/>
  <c r="P1231" i="13"/>
  <c r="P1079" i="13"/>
  <c r="P918" i="13"/>
  <c r="P746" i="13"/>
  <c r="P566" i="13"/>
  <c r="P404" i="13"/>
  <c r="P290" i="13"/>
  <c r="P145" i="13"/>
  <c r="P31" i="13"/>
  <c r="P1210" i="13"/>
  <c r="P1064" i="13"/>
  <c r="P967" i="13"/>
  <c r="P834" i="13"/>
  <c r="P616" i="13"/>
  <c r="P433" i="13"/>
  <c r="P317" i="13"/>
  <c r="P186" i="13"/>
  <c r="P22" i="13"/>
  <c r="P1269" i="13"/>
  <c r="P1077" i="13"/>
  <c r="P846" i="13"/>
  <c r="P680" i="13"/>
  <c r="P516" i="13"/>
  <c r="P375" i="13"/>
  <c r="P184" i="13"/>
  <c r="P1385" i="13"/>
  <c r="P851" i="13"/>
  <c r="P585" i="13"/>
  <c r="P255" i="13"/>
  <c r="P21" i="13"/>
  <c r="P1312" i="13"/>
  <c r="P1195" i="13"/>
  <c r="P1028" i="13"/>
  <c r="P821" i="13"/>
  <c r="P558" i="13"/>
  <c r="P401" i="13"/>
  <c r="P163" i="13"/>
  <c r="P1427" i="13"/>
  <c r="P1158" i="13"/>
  <c r="P1034" i="13"/>
  <c r="P875" i="13"/>
  <c r="P641" i="13"/>
  <c r="P478" i="13"/>
  <c r="P370" i="13"/>
  <c r="P233" i="13"/>
  <c r="P119" i="13"/>
  <c r="P130" i="13"/>
  <c r="P2" i="13"/>
  <c r="P1282" i="13"/>
  <c r="P1093" i="13"/>
  <c r="P984" i="13"/>
  <c r="P847" i="13"/>
  <c r="P735" i="13"/>
  <c r="P570" i="13"/>
  <c r="P412" i="13"/>
  <c r="P314" i="13"/>
  <c r="P150" i="13"/>
  <c r="P1392" i="13"/>
  <c r="P1238" i="13"/>
  <c r="P996" i="13"/>
  <c r="P787" i="13"/>
  <c r="P636" i="13"/>
  <c r="P515" i="13"/>
  <c r="P367" i="13"/>
  <c r="P162" i="13"/>
  <c r="P1421" i="13"/>
  <c r="P925" i="13"/>
  <c r="P647" i="13"/>
  <c r="P408" i="13"/>
  <c r="P52" i="13"/>
  <c r="P1297" i="13"/>
  <c r="P1182" i="13"/>
  <c r="P1040" i="13"/>
  <c r="P862" i="13"/>
  <c r="P708" i="13"/>
  <c r="P557" i="13"/>
  <c r="P358" i="13"/>
  <c r="P153" i="13"/>
  <c r="P1372" i="13"/>
  <c r="P1138" i="13"/>
  <c r="P962" i="13"/>
  <c r="P827" i="13"/>
  <c r="P590" i="13"/>
  <c r="P438" i="13"/>
  <c r="P352" i="13"/>
  <c r="P166" i="13"/>
  <c r="P39" i="13"/>
  <c r="P1386" i="13"/>
  <c r="P1263" i="13"/>
  <c r="P1053" i="13"/>
  <c r="P1360" i="13"/>
  <c r="P1199" i="13"/>
  <c r="P1011" i="13"/>
  <c r="P840" i="13"/>
  <c r="P901" i="13"/>
  <c r="P816" i="13"/>
  <c r="P698" i="13"/>
  <c r="P501" i="13"/>
  <c r="P380" i="13"/>
  <c r="P245" i="13"/>
  <c r="P79" i="13"/>
  <c r="P1122" i="13"/>
  <c r="P742" i="13"/>
  <c r="P1435" i="13"/>
  <c r="P1296" i="13"/>
  <c r="P1243" i="13"/>
  <c r="P1052" i="13"/>
  <c r="P964" i="13"/>
  <c r="P885" i="13"/>
  <c r="P732" i="13"/>
  <c r="P576" i="13"/>
  <c r="P430" i="13"/>
  <c r="P285" i="13"/>
  <c r="P223" i="13"/>
  <c r="P106" i="13"/>
  <c r="P1323" i="13"/>
  <c r="P1159" i="13"/>
  <c r="P990" i="13"/>
  <c r="P696" i="13"/>
  <c r="P527" i="13"/>
  <c r="P327" i="13"/>
  <c r="P89" i="13"/>
  <c r="P1345" i="13"/>
  <c r="P1098" i="13"/>
  <c r="P686" i="13"/>
  <c r="P313" i="13"/>
  <c r="P1440" i="13"/>
  <c r="P1274" i="13"/>
  <c r="P1120" i="13"/>
  <c r="P1016" i="13"/>
  <c r="P838" i="13"/>
  <c r="P691" i="13"/>
  <c r="P593" i="13"/>
  <c r="P466" i="13"/>
  <c r="P227" i="13"/>
  <c r="P62" i="13"/>
  <c r="P1338" i="13"/>
  <c r="P1331" i="13"/>
  <c r="P1048" i="13"/>
  <c r="P891" i="13"/>
  <c r="P802" i="13"/>
  <c r="P634" i="13"/>
  <c r="P428" i="13"/>
  <c r="P310" i="13"/>
  <c r="P117" i="13"/>
  <c r="P1397" i="13"/>
  <c r="P895" i="13"/>
  <c r="P539" i="13"/>
  <c r="P1373" i="13"/>
  <c r="P1276" i="13"/>
  <c r="P1215" i="13"/>
  <c r="P1043" i="13"/>
  <c r="P951" i="13"/>
  <c r="P879" i="13"/>
  <c r="P592" i="13"/>
  <c r="P473" i="13"/>
  <c r="P322" i="13"/>
  <c r="P246" i="13"/>
  <c r="P164" i="13"/>
  <c r="P16" i="13"/>
  <c r="P1230" i="13"/>
  <c r="P1037" i="13"/>
  <c r="P770" i="13"/>
  <c r="P541" i="13"/>
  <c r="P381" i="13"/>
  <c r="P97" i="13"/>
  <c r="P1364" i="13"/>
  <c r="P1097" i="13"/>
  <c r="P685" i="13"/>
  <c r="P306" i="13"/>
  <c r="P1436" i="13"/>
  <c r="P1261" i="13"/>
  <c r="P1119" i="13"/>
  <c r="P982" i="13"/>
  <c r="P780" i="13"/>
  <c r="P655" i="13"/>
  <c r="P555" i="13"/>
  <c r="P420" i="13"/>
  <c r="P214" i="13"/>
  <c r="P749" i="13"/>
  <c r="P521" i="13"/>
  <c r="P376" i="13"/>
  <c r="P173" i="13"/>
  <c r="P1329" i="13"/>
  <c r="P887" i="13"/>
  <c r="P222" i="13"/>
  <c r="P1365" i="13"/>
  <c r="P1275" i="13"/>
  <c r="P1214" i="13"/>
  <c r="P1004" i="13"/>
  <c r="P922" i="13"/>
  <c r="P845" i="13"/>
  <c r="P646" i="13"/>
  <c r="P537" i="13"/>
  <c r="P410" i="13"/>
  <c r="P273" i="13"/>
  <c r="P212" i="13"/>
  <c r="P99" i="13"/>
  <c r="P1221" i="13"/>
  <c r="P1035" i="13"/>
  <c r="P757" i="13"/>
  <c r="P536" i="13"/>
  <c r="P213" i="13"/>
  <c r="P1390" i="13"/>
  <c r="P1134" i="13"/>
  <c r="P910" i="13"/>
  <c r="P526" i="13"/>
  <c r="P161" i="13"/>
  <c r="P1404" i="13"/>
  <c r="P1184" i="13"/>
  <c r="P1065" i="13"/>
  <c r="P936" i="13"/>
  <c r="P752" i="13"/>
  <c r="P612" i="13"/>
  <c r="P520" i="13"/>
  <c r="P318" i="13"/>
  <c r="P171" i="13"/>
  <c r="P1447" i="13"/>
  <c r="P1330" i="13"/>
  <c r="P1102" i="13"/>
  <c r="P994" i="13"/>
  <c r="P864" i="13"/>
  <c r="P747" i="13"/>
  <c r="P554" i="13"/>
  <c r="P384" i="13"/>
  <c r="P191" i="13"/>
  <c r="P1408" i="13"/>
  <c r="P1284" i="13"/>
  <c r="P1058" i="13"/>
  <c r="P832" i="13"/>
  <c r="P667" i="13"/>
  <c r="P522" i="13"/>
  <c r="P1442" i="13"/>
  <c r="P1301" i="13"/>
  <c r="P1056" i="13"/>
  <c r="P902" i="13"/>
  <c r="P815" i="13"/>
  <c r="P711" i="13"/>
  <c r="P502" i="13"/>
  <c r="P360" i="13"/>
  <c r="P169" i="13"/>
  <c r="P66" i="13"/>
  <c r="P974" i="13"/>
  <c r="P578" i="13"/>
  <c r="P1300" i="13"/>
  <c r="P1248" i="13"/>
  <c r="P1132" i="13"/>
  <c r="P979" i="13"/>
  <c r="P905" i="13"/>
  <c r="P803" i="13"/>
  <c r="P608" i="13"/>
  <c r="P504" i="13"/>
  <c r="P357" i="13"/>
  <c r="P252" i="13"/>
  <c r="P158" i="13"/>
  <c r="P1327" i="13"/>
  <c r="P1166" i="13"/>
  <c r="P991" i="13"/>
  <c r="P699" i="13"/>
  <c r="P528" i="13"/>
  <c r="P336" i="13"/>
  <c r="P42" i="13"/>
  <c r="P1306" i="13"/>
  <c r="P1092" i="13"/>
  <c r="P679" i="13"/>
  <c r="P156" i="13"/>
  <c r="P1350" i="13"/>
  <c r="P1113" i="13"/>
  <c r="P1005" i="13"/>
  <c r="P800" i="13"/>
  <c r="P666" i="13"/>
  <c r="P571" i="13"/>
  <c r="P453" i="13"/>
  <c r="P182" i="13"/>
  <c r="P72" i="13"/>
  <c r="P1382" i="13"/>
  <c r="P1216" i="13"/>
  <c r="P1434" i="13"/>
  <c r="P275" i="13"/>
  <c r="P118" i="13"/>
  <c r="P1411" i="13"/>
  <c r="P959" i="13"/>
  <c r="P631" i="13"/>
  <c r="P395" i="13"/>
  <c r="P143" i="13"/>
  <c r="P1363" i="13"/>
  <c r="P1198" i="13"/>
  <c r="P1078" i="13"/>
  <c r="P886" i="13"/>
  <c r="P728" i="13"/>
  <c r="P581" i="13"/>
  <c r="P417" i="13"/>
  <c r="P216" i="13"/>
  <c r="P30" i="13"/>
  <c r="P1170" i="13"/>
  <c r="P988" i="13"/>
  <c r="P869" i="13"/>
  <c r="P651" i="13"/>
  <c r="P442" i="13"/>
  <c r="P343" i="13"/>
  <c r="P136" i="13"/>
  <c r="P1101" i="13"/>
  <c r="P1007" i="13"/>
  <c r="P894" i="13"/>
  <c r="P761" i="13"/>
  <c r="P629" i="13"/>
  <c r="P480" i="13"/>
  <c r="P326" i="13"/>
  <c r="P187" i="13"/>
  <c r="P41" i="13"/>
  <c r="P1308" i="13"/>
  <c r="P1135" i="13"/>
  <c r="P932" i="13"/>
  <c r="P729" i="13"/>
  <c r="P560" i="13"/>
  <c r="P416" i="13"/>
  <c r="P236" i="13"/>
  <c r="P71" i="13"/>
  <c r="P937" i="13"/>
  <c r="P628" i="13"/>
  <c r="P382" i="13"/>
  <c r="P139" i="13"/>
  <c r="P1255" i="13"/>
  <c r="P1141" i="13"/>
  <c r="P958" i="13"/>
  <c r="P797" i="13"/>
  <c r="P653" i="13"/>
  <c r="P449" i="13"/>
  <c r="P267" i="13"/>
  <c r="P26" i="13"/>
  <c r="P1161" i="13"/>
  <c r="P1039" i="13"/>
  <c r="P877" i="13"/>
  <c r="P710" i="13"/>
  <c r="P530" i="13"/>
  <c r="P371" i="13"/>
  <c r="P237" i="13"/>
  <c r="P120" i="13"/>
  <c r="P1381" i="13"/>
  <c r="P1187" i="13"/>
  <c r="P1018" i="13"/>
  <c r="P919" i="13"/>
  <c r="P808" i="13"/>
  <c r="P580" i="13"/>
  <c r="P389" i="13"/>
  <c r="P296" i="13"/>
  <c r="P154" i="13"/>
  <c r="P1437" i="13"/>
  <c r="P1194" i="13"/>
  <c r="P1013" i="13"/>
  <c r="P791" i="13"/>
  <c r="P659" i="13"/>
  <c r="P494" i="13"/>
  <c r="P323" i="13"/>
  <c r="P104" i="13"/>
  <c r="P1290" i="13"/>
  <c r="P784" i="13"/>
  <c r="P507" i="13"/>
  <c r="P157" i="13"/>
  <c r="P1412" i="13"/>
  <c r="P1244" i="13"/>
  <c r="P1154" i="13"/>
  <c r="P957" i="13"/>
  <c r="P792" i="13"/>
  <c r="P511" i="13"/>
  <c r="P312" i="13"/>
  <c r="P95" i="13"/>
  <c r="P1325" i="13"/>
  <c r="P1142" i="13"/>
  <c r="P969" i="13"/>
  <c r="P830" i="13"/>
  <c r="P602" i="13"/>
  <c r="P439" i="13"/>
  <c r="P353" i="13"/>
  <c r="P193" i="13"/>
  <c r="P102" i="13"/>
  <c r="P113" i="13"/>
  <c r="P1417" i="13"/>
  <c r="P1234" i="13"/>
  <c r="P1060" i="13"/>
  <c r="P946" i="13"/>
  <c r="P826" i="13"/>
  <c r="P662" i="13"/>
  <c r="P531" i="13"/>
  <c r="P385" i="13"/>
  <c r="P293" i="13"/>
  <c r="P101" i="13"/>
  <c r="P1352" i="13"/>
  <c r="P1162" i="13"/>
  <c r="P963" i="13"/>
  <c r="P760" i="13"/>
  <c r="P583" i="13"/>
  <c r="P490" i="13"/>
  <c r="P311" i="13"/>
  <c r="P100" i="13"/>
  <c r="P1264" i="13"/>
  <c r="P842" i="13"/>
  <c r="P620" i="13"/>
  <c r="P348" i="13"/>
  <c r="P11" i="13"/>
  <c r="P1219" i="13"/>
  <c r="P1149" i="13"/>
  <c r="P1023" i="13"/>
  <c r="P820" i="13"/>
  <c r="P674" i="13"/>
  <c r="P503" i="13"/>
  <c r="P335" i="13"/>
  <c r="P80" i="13"/>
  <c r="P1324" i="13"/>
  <c r="P1084" i="13"/>
  <c r="P929" i="13"/>
  <c r="P765" i="13"/>
  <c r="P552" i="13"/>
  <c r="P418" i="13"/>
  <c r="P294" i="13"/>
  <c r="P141" i="13"/>
  <c r="P13" i="13"/>
  <c r="P1370" i="13"/>
  <c r="P1239" i="13"/>
  <c r="P998" i="13"/>
  <c r="P1326" i="13"/>
  <c r="P1136" i="13"/>
  <c r="P971" i="13"/>
  <c r="P822" i="13"/>
  <c r="P872" i="13"/>
  <c r="P783" i="13"/>
  <c r="P642" i="13"/>
  <c r="P459" i="13"/>
  <c r="P356" i="13"/>
  <c r="P202" i="13"/>
  <c r="P63" i="13"/>
  <c r="P927" i="13"/>
  <c r="P344" i="13"/>
  <c r="P1376" i="13"/>
  <c r="P1277" i="13"/>
  <c r="P1227" i="13"/>
  <c r="P1025" i="13"/>
  <c r="P939" i="13"/>
  <c r="P856" i="13"/>
  <c r="P694" i="13"/>
  <c r="P550" i="13"/>
  <c r="P383" i="13"/>
  <c r="P269" i="13"/>
  <c r="P203" i="13"/>
  <c r="P86" i="13"/>
  <c r="P1286" i="13"/>
  <c r="P1111" i="13"/>
  <c r="P859" i="13"/>
  <c r="P676" i="13"/>
  <c r="P471" i="13"/>
  <c r="P265" i="13"/>
  <c r="P28" i="13"/>
  <c r="P1279" i="13"/>
  <c r="P1081" i="13"/>
  <c r="P597" i="13"/>
  <c r="P196" i="13"/>
  <c r="P1414" i="13"/>
  <c r="P1232" i="13"/>
  <c r="P1091" i="13"/>
  <c r="P999" i="13"/>
  <c r="P790" i="13"/>
  <c r="P658" i="13"/>
  <c r="P561" i="13"/>
  <c r="P421" i="13"/>
  <c r="P175" i="13"/>
  <c r="P5" i="13"/>
  <c r="P1398" i="13"/>
  <c r="P1289" i="13"/>
  <c r="P1027" i="13"/>
  <c r="P863" i="13"/>
  <c r="P782" i="13"/>
  <c r="P606" i="13"/>
  <c r="P398" i="13"/>
  <c r="P282" i="13"/>
  <c r="P98" i="13"/>
  <c r="P1309" i="13"/>
  <c r="P812" i="13"/>
  <c r="P331" i="13"/>
  <c r="P1347" i="13"/>
  <c r="P1267" i="13"/>
  <c r="P1190" i="13"/>
  <c r="P1017" i="13"/>
  <c r="P923" i="13"/>
  <c r="P813" i="13"/>
  <c r="P569" i="13"/>
  <c r="P450" i="13"/>
  <c r="P305" i="13"/>
  <c r="P232" i="13"/>
  <c r="P132" i="13"/>
  <c r="P1409" i="13"/>
  <c r="P1183" i="13"/>
  <c r="P1003" i="13"/>
  <c r="P690" i="13"/>
  <c r="P517" i="13"/>
  <c r="P321" i="13"/>
  <c r="P70" i="13"/>
  <c r="P1343" i="13"/>
  <c r="P1075" i="13"/>
  <c r="P587" i="13"/>
  <c r="P195" i="13"/>
  <c r="P1407" i="13"/>
  <c r="P1225" i="13"/>
  <c r="P1085" i="13"/>
  <c r="P940" i="13"/>
  <c r="P762" i="13"/>
  <c r="P614" i="13"/>
  <c r="P523" i="13"/>
  <c r="P362" i="13"/>
  <c r="P174" i="13"/>
  <c r="P712" i="13"/>
  <c r="P496" i="13"/>
  <c r="P345" i="13"/>
  <c r="P140" i="13"/>
  <c r="P1273" i="13"/>
  <c r="P795" i="13"/>
  <c r="P83" i="13"/>
  <c r="P1319" i="13"/>
  <c r="P1266" i="13"/>
  <c r="P1188" i="13"/>
  <c r="P983" i="13"/>
  <c r="P906" i="13"/>
  <c r="P806" i="13"/>
  <c r="P615" i="13"/>
  <c r="P509" i="13"/>
  <c r="P373" i="13"/>
  <c r="P253" i="13"/>
  <c r="P180" i="13"/>
  <c r="P1428" i="13"/>
  <c r="P1173" i="13"/>
  <c r="P1002" i="13"/>
  <c r="P687" i="13"/>
  <c r="P506" i="13"/>
  <c r="P93" i="13"/>
  <c r="P1359" i="13"/>
  <c r="P1117" i="13"/>
  <c r="P829" i="13"/>
  <c r="P429" i="13"/>
  <c r="P61" i="13"/>
  <c r="P1354" i="13"/>
  <c r="P1129" i="13"/>
  <c r="P1042" i="13"/>
  <c r="P903" i="13"/>
  <c r="P713" i="13"/>
  <c r="P599" i="13"/>
  <c r="P485" i="13"/>
  <c r="P307" i="13"/>
  <c r="P129" i="13"/>
  <c r="P1413" i="13"/>
  <c r="P1258" i="13"/>
  <c r="P1074" i="13"/>
  <c r="P981" i="13"/>
  <c r="P837" i="13"/>
  <c r="P734" i="13"/>
  <c r="P512" i="13"/>
  <c r="P328" i="13"/>
  <c r="P134" i="13"/>
  <c r="P1391" i="13"/>
  <c r="P1229" i="13"/>
  <c r="P968" i="13"/>
  <c r="P786" i="13"/>
  <c r="P630" i="13"/>
  <c r="P514" i="13"/>
  <c r="P1439" i="13"/>
  <c r="P1285" i="13"/>
  <c r="P1036" i="13"/>
  <c r="P883" i="13"/>
  <c r="P796" i="13"/>
  <c r="P678" i="13"/>
  <c r="P479" i="13"/>
  <c r="P287" i="13"/>
  <c r="P127" i="13"/>
  <c r="P7" i="13"/>
  <c r="P880" i="13"/>
  <c r="P215" i="13"/>
  <c r="P1278" i="13"/>
  <c r="P1240" i="13"/>
  <c r="P1063" i="13"/>
  <c r="P970" i="13"/>
  <c r="P892" i="13"/>
  <c r="P748" i="13"/>
  <c r="P588" i="13"/>
  <c r="P470" i="13"/>
  <c r="P319" i="13"/>
  <c r="P225" i="13"/>
  <c r="P88" i="13"/>
  <c r="P1298" i="13"/>
  <c r="P1114" i="13"/>
  <c r="P874" i="13"/>
  <c r="P682" i="13"/>
  <c r="P476" i="13"/>
  <c r="P298" i="13"/>
  <c r="P1446" i="13"/>
  <c r="P1201" i="13"/>
  <c r="P997" i="13"/>
  <c r="P513" i="13"/>
  <c r="P4" i="13"/>
  <c r="P1281" i="13"/>
  <c r="P1076" i="13"/>
  <c r="P952" i="13"/>
  <c r="P776" i="13"/>
  <c r="P622" i="13"/>
  <c r="P549" i="13"/>
  <c r="P391" i="13"/>
  <c r="P144" i="13"/>
  <c r="P8" i="13"/>
  <c r="P1339" i="13"/>
  <c r="P1189" i="13"/>
  <c r="P1362" i="13"/>
  <c r="P244" i="13"/>
  <c r="P78" i="13"/>
  <c r="P1341" i="13"/>
  <c r="P904" i="13"/>
  <c r="P619" i="13"/>
  <c r="P346" i="13"/>
  <c r="P68" i="13"/>
  <c r="P1294" i="13"/>
  <c r="P1160" i="13"/>
  <c r="P1038" i="13"/>
  <c r="P844" i="13"/>
  <c r="P704" i="13"/>
  <c r="P540" i="13"/>
  <c r="P355" i="13"/>
  <c r="P170" i="13"/>
  <c r="P1395" i="13"/>
  <c r="P1131" i="13"/>
  <c r="P961" i="13"/>
  <c r="P811" i="13"/>
  <c r="P589" i="13"/>
  <c r="P424" i="13"/>
  <c r="P292" i="13"/>
  <c r="P105" i="13"/>
  <c r="P1073" i="13"/>
  <c r="P992" i="13"/>
  <c r="P852" i="13"/>
  <c r="P740" i="13"/>
  <c r="P584" i="13"/>
  <c r="P441" i="13"/>
  <c r="P299" i="13"/>
  <c r="P172" i="13"/>
  <c r="P1400" i="13"/>
  <c r="P1270" i="13"/>
  <c r="P1096" i="13"/>
  <c r="P850" i="13"/>
  <c r="P681" i="13"/>
  <c r="P518" i="13"/>
  <c r="P378" i="13"/>
  <c r="P197" i="13"/>
  <c r="P1433" i="13"/>
  <c r="P888" i="13"/>
  <c r="P598" i="13"/>
  <c r="P304" i="13"/>
  <c r="P55" i="13"/>
  <c r="P1211" i="13"/>
  <c r="P1106" i="13"/>
  <c r="P938" i="13"/>
  <c r="P727" i="13"/>
  <c r="P568" i="13"/>
  <c r="P405" i="13"/>
  <c r="P211" i="13"/>
  <c r="P1431" i="13"/>
  <c r="P1150" i="13"/>
  <c r="P987" i="13"/>
  <c r="P865" i="13"/>
  <c r="P648" i="13"/>
  <c r="P440" i="13"/>
  <c r="P361" i="13"/>
  <c r="P210" i="13"/>
  <c r="P103" i="13"/>
  <c r="P1283" i="13"/>
  <c r="P1153" i="13"/>
  <c r="P1001" i="13"/>
  <c r="P889" i="13"/>
  <c r="P754" i="13"/>
  <c r="P498" i="13"/>
  <c r="P365" i="13"/>
  <c r="P260" i="13"/>
  <c r="P111" i="13"/>
  <c r="P1328" i="13"/>
  <c r="P1163" i="13"/>
  <c r="P965" i="13"/>
  <c r="P768" i="13"/>
  <c r="P574" i="13"/>
  <c r="P469" i="13"/>
  <c r="P250" i="13"/>
  <c r="P60" i="13"/>
  <c r="P978" i="13"/>
  <c r="P664" i="13"/>
  <c r="P448" i="13"/>
  <c r="P138" i="13"/>
  <c r="P1389" i="13"/>
  <c r="P1207" i="13"/>
  <c r="P1089" i="13"/>
  <c r="P934" i="13"/>
  <c r="P675" i="13"/>
  <c r="P464" i="13"/>
  <c r="P234" i="13"/>
  <c r="P48" i="13"/>
  <c r="P1259" i="13"/>
  <c r="P1087" i="13"/>
  <c r="P933" i="13"/>
  <c r="P774" i="13"/>
  <c r="P563" i="13"/>
  <c r="P419" i="13"/>
  <c r="P332" i="13"/>
  <c r="P176" i="13"/>
  <c r="P40" i="13"/>
  <c r="P81" i="13"/>
  <c r="P1396" i="13"/>
  <c r="P1209" i="13"/>
  <c r="P1014" i="13"/>
  <c r="P917" i="13"/>
  <c r="P799" i="13"/>
  <c r="P635" i="13"/>
  <c r="P489" i="13"/>
  <c r="P351" i="13"/>
  <c r="P201" i="13"/>
  <c r="P47" i="13"/>
  <c r="P1322" i="13"/>
  <c r="P1107" i="13"/>
  <c r="P898" i="13"/>
  <c r="P695" i="13"/>
  <c r="P573" i="13"/>
  <c r="P447" i="13"/>
  <c r="P249" i="13"/>
  <c r="P58" i="13"/>
  <c r="P1148" i="13"/>
  <c r="P741" i="13"/>
  <c r="P559" i="13"/>
  <c r="P151" i="13"/>
  <c r="P1367" i="13"/>
  <c r="P1206" i="13"/>
  <c r="P1124" i="13"/>
  <c r="P950" i="13"/>
  <c r="P785" i="13"/>
  <c r="P657" i="13"/>
  <c r="P461" i="13"/>
  <c r="P291" i="13"/>
  <c r="P9" i="13"/>
  <c r="P1256" i="13"/>
  <c r="P1047" i="13"/>
  <c r="P884" i="13"/>
  <c r="P739" i="13"/>
  <c r="P493" i="13"/>
  <c r="P379" i="13"/>
  <c r="P272" i="13"/>
  <c r="P108" i="13"/>
  <c r="P1340" i="13"/>
  <c r="P1167" i="13"/>
  <c r="P1394" i="13"/>
  <c r="P1288" i="13"/>
  <c r="P1061" i="13"/>
  <c r="P914" i="13"/>
  <c r="P801" i="13"/>
  <c r="P857" i="13"/>
  <c r="P766" i="13"/>
  <c r="P609" i="13"/>
  <c r="P431" i="13"/>
  <c r="P325" i="13"/>
  <c r="P167" i="13"/>
  <c r="P6" i="13"/>
  <c r="P843" i="13"/>
  <c r="P96" i="13"/>
  <c r="P1348" i="13"/>
  <c r="P1265" i="13"/>
  <c r="P1192" i="13"/>
  <c r="P993" i="13"/>
  <c r="P911" i="13"/>
  <c r="P814" i="13"/>
  <c r="P643" i="13"/>
  <c r="P495" i="13"/>
  <c r="P329" i="13"/>
  <c r="P247" i="13"/>
  <c r="P165" i="13"/>
  <c r="P17" i="13"/>
  <c r="P1233" i="13"/>
  <c r="P1067" i="13"/>
  <c r="P794" i="13"/>
  <c r="P621" i="13"/>
  <c r="P437" i="13"/>
  <c r="P231" i="13"/>
  <c r="P1443" i="13"/>
  <c r="P1193" i="13"/>
  <c r="P954" i="13"/>
  <c r="P505" i="13"/>
  <c r="P155" i="13"/>
  <c r="P1366" i="13"/>
  <c r="P1212" i="13"/>
  <c r="P1072" i="13"/>
  <c r="P924" i="13"/>
  <c r="P769" i="13"/>
  <c r="P618" i="13"/>
  <c r="P547" i="13"/>
  <c r="P388" i="13"/>
  <c r="P137" i="13"/>
  <c r="P1423" i="13"/>
  <c r="P1405" i="13"/>
  <c r="P1262" i="13"/>
  <c r="P989" i="13"/>
  <c r="P849" i="13"/>
  <c r="P758" i="13"/>
  <c r="P500" i="13"/>
  <c r="P377" i="13"/>
  <c r="P243" i="13"/>
  <c r="P77" i="13"/>
  <c r="P1218" i="13"/>
  <c r="P772" i="13"/>
  <c r="P18" i="13"/>
  <c r="P1304" i="13"/>
  <c r="P1254" i="13"/>
  <c r="P1172" i="13"/>
  <c r="P985" i="13"/>
  <c r="P908" i="13"/>
  <c r="P767" i="13"/>
  <c r="P538" i="13"/>
  <c r="P413" i="13"/>
  <c r="P283" i="13"/>
  <c r="P221" i="13"/>
  <c r="P107" i="13"/>
  <c r="P1321" i="13"/>
  <c r="P1143" i="13"/>
  <c r="P977" i="13"/>
  <c r="P672" i="13"/>
  <c r="P467" i="13"/>
  <c r="P262" i="13"/>
  <c r="P15" i="13"/>
  <c r="P1249" i="13"/>
  <c r="P943" i="13"/>
  <c r="P488" i="13"/>
  <c r="P74" i="13"/>
  <c r="P1358" i="13"/>
  <c r="P1191" i="13"/>
  <c r="P1046" i="13"/>
  <c r="P915" i="13"/>
  <c r="P714" i="13"/>
  <c r="P603" i="13"/>
  <c r="P491" i="13"/>
  <c r="P308" i="13"/>
  <c r="P1422" i="13"/>
  <c r="P688" i="13"/>
  <c r="P444" i="13"/>
  <c r="P274" i="13"/>
  <c r="P90" i="13"/>
  <c r="P1171" i="13"/>
  <c r="P763" i="13"/>
  <c r="P1444" i="13"/>
  <c r="P1303" i="13"/>
  <c r="P1253" i="13"/>
  <c r="P1165" i="13"/>
  <c r="P972" i="13"/>
  <c r="P896" i="13"/>
  <c r="P764" i="13"/>
  <c r="P591" i="13"/>
  <c r="P472" i="13"/>
  <c r="P320" i="13"/>
  <c r="P241" i="13"/>
  <c r="P160" i="13"/>
  <c r="P1349" i="13"/>
  <c r="P1127" i="13"/>
  <c r="P907" i="13"/>
  <c r="P654" i="13"/>
  <c r="P452" i="13"/>
  <c r="P64" i="13"/>
  <c r="P1315" i="13"/>
  <c r="P1095" i="13"/>
  <c r="P733" i="13"/>
  <c r="P369" i="13"/>
  <c r="P20" i="13"/>
  <c r="P1293" i="13"/>
  <c r="P1118" i="13"/>
  <c r="P1006" i="13"/>
  <c r="P817" i="13"/>
  <c r="P668" i="13"/>
  <c r="P579" i="13"/>
  <c r="P454" i="13"/>
  <c r="P259" i="13"/>
  <c r="P112" i="13"/>
  <c r="P1384" i="13"/>
  <c r="P1220" i="13"/>
  <c r="P1055" i="13"/>
  <c r="P941" i="13"/>
  <c r="P810" i="13"/>
  <c r="P632" i="13"/>
  <c r="P451" i="13"/>
  <c r="P279" i="13"/>
  <c r="P46" i="13"/>
  <c r="P1334" i="13"/>
  <c r="P1144" i="13"/>
  <c r="P949" i="13"/>
  <c r="P753" i="13"/>
  <c r="P577" i="13"/>
  <c r="P425" i="13"/>
  <c r="P1371" i="13"/>
  <c r="P1246" i="13"/>
  <c r="P1010" i="13"/>
  <c r="P858" i="13"/>
  <c r="P773" i="13"/>
  <c r="P623" i="13"/>
  <c r="P435" i="13"/>
  <c r="P264" i="13"/>
  <c r="P114" i="13"/>
  <c r="P1235" i="13"/>
  <c r="P788" i="13"/>
  <c r="P65" i="13"/>
  <c r="P1271" i="13"/>
  <c r="P1200" i="13"/>
  <c r="P1033" i="13"/>
  <c r="P942" i="13"/>
  <c r="P867" i="13"/>
  <c r="P716" i="13"/>
  <c r="P562" i="13"/>
  <c r="P432" i="13"/>
  <c r="P288" i="13"/>
  <c r="P207" i="13"/>
  <c r="P27" i="13"/>
  <c r="P1251" i="13"/>
  <c r="P1070" i="13"/>
  <c r="P804" i="13"/>
  <c r="P644" i="13"/>
  <c r="P443" i="13"/>
  <c r="P240" i="13"/>
  <c r="P1383" i="13"/>
  <c r="P1126" i="13"/>
  <c r="P909" i="13"/>
  <c r="P407" i="13"/>
  <c r="P1418" i="13"/>
  <c r="P1213" i="13"/>
  <c r="P1057" i="13"/>
  <c r="P931" i="13"/>
  <c r="P750" i="13"/>
  <c r="P607" i="13"/>
  <c r="P499" i="13"/>
  <c r="P316" i="13"/>
  <c r="P121" i="13"/>
  <c r="P1426" i="13"/>
  <c r="P1302" i="13"/>
  <c r="P1438" i="13"/>
  <c r="P1342" i="13"/>
  <c r="P208" i="13"/>
  <c r="P57" i="13"/>
  <c r="P1222" i="13"/>
  <c r="P831" i="13"/>
  <c r="P545" i="13"/>
  <c r="P276" i="13"/>
  <c r="P1448" i="13"/>
  <c r="P1217" i="13"/>
  <c r="P1145" i="13"/>
  <c r="P1012" i="13"/>
  <c r="P805" i="13"/>
  <c r="P673" i="13"/>
  <c r="P486" i="13"/>
  <c r="P330" i="13"/>
  <c r="P149" i="13"/>
  <c r="P1369" i="13"/>
  <c r="P1080" i="13"/>
  <c r="P920" i="13"/>
  <c r="P759" i="13"/>
  <c r="P542" i="13"/>
  <c r="P414" i="13"/>
  <c r="P254" i="13"/>
  <c r="P87" i="13"/>
  <c r="P1050" i="13"/>
  <c r="P980" i="13"/>
  <c r="P835" i="13"/>
  <c r="P702" i="13"/>
  <c r="P546" i="13"/>
  <c r="P392" i="13"/>
  <c r="P278" i="13"/>
  <c r="P122" i="13"/>
  <c r="P1361" i="13"/>
  <c r="P1197" i="13"/>
  <c r="P1049" i="13"/>
  <c r="P819" i="13"/>
  <c r="P624" i="13"/>
  <c r="P497" i="13"/>
  <c r="P354" i="13"/>
  <c r="P128" i="13"/>
  <c r="P1307" i="13"/>
  <c r="P818" i="13"/>
  <c r="P524" i="13"/>
  <c r="P266" i="13"/>
  <c r="P1393" i="13"/>
  <c r="P1204" i="13"/>
  <c r="P1071" i="13"/>
  <c r="P881" i="13"/>
  <c r="P689" i="13"/>
  <c r="P519" i="13"/>
  <c r="P342" i="13"/>
  <c r="P168" i="13"/>
  <c r="P1268" i="13"/>
  <c r="P1094" i="13"/>
  <c r="P955" i="13"/>
  <c r="P778" i="13"/>
  <c r="P604" i="13"/>
  <c r="P423" i="13"/>
  <c r="P337" i="13"/>
  <c r="P181" i="13"/>
  <c r="P54" i="13"/>
  <c r="P1247" i="13"/>
  <c r="P1099" i="13"/>
  <c r="P986" i="13"/>
  <c r="P724" i="13"/>
  <c r="P94" i="13"/>
  <c r="P663" i="13"/>
  <c r="P1419" i="13"/>
  <c r="P731" i="13"/>
  <c r="P1337" i="13"/>
  <c r="P960" i="13"/>
  <c r="P529" i="13"/>
  <c r="P1287" i="13"/>
  <c r="P455" i="13"/>
  <c r="P1000" i="13"/>
  <c r="P29" i="13"/>
  <c r="P510" i="13"/>
  <c r="P1181" i="13"/>
  <c r="P665" i="13"/>
  <c r="P1344" i="13"/>
  <c r="P928" i="13"/>
  <c r="P556" i="13"/>
  <c r="P1295" i="13"/>
  <c r="P460" i="13"/>
  <c r="C1239" i="13"/>
  <c r="P743" i="13"/>
  <c r="P638" i="13"/>
  <c r="P736" i="13"/>
  <c r="P199" i="13"/>
  <c r="P719" i="13"/>
  <c r="P44" i="13"/>
  <c r="P595" i="13"/>
  <c r="P533" i="13"/>
  <c r="P738" i="13"/>
  <c r="P220" i="13"/>
  <c r="P870" i="13"/>
  <c r="P190" i="13"/>
  <c r="P921" i="13"/>
  <c r="P133" i="13"/>
  <c r="P32" i="13"/>
  <c r="P670" i="13"/>
  <c r="P19" i="13"/>
  <c r="P610" i="13"/>
  <c r="P1103" i="13"/>
  <c r="P142" i="13"/>
  <c r="P700" i="13"/>
  <c r="P14" i="13"/>
  <c r="P866" i="13"/>
  <c r="P56" i="13"/>
  <c r="P1425" i="13"/>
  <c r="P703" i="13"/>
  <c r="P53" i="13"/>
  <c r="P701" i="13"/>
  <c r="P1387" i="13"/>
  <c r="P217" i="13"/>
  <c r="P626" i="13"/>
  <c r="P1236" i="13"/>
  <c r="P219" i="13"/>
  <c r="P483" i="13"/>
  <c r="P75" i="13"/>
  <c r="P301" i="13"/>
  <c r="P484" i="13"/>
  <c r="P1021" i="13"/>
  <c r="P76" i="13"/>
  <c r="P1223" i="13"/>
  <c r="P350" i="13"/>
  <c r="P705" i="13"/>
  <c r="P35" i="13"/>
  <c r="P596" i="13"/>
  <c r="P116" i="13"/>
  <c r="P427" i="13"/>
  <c r="P861" i="13"/>
  <c r="P637" i="13"/>
  <c r="P43" i="13"/>
  <c r="P1402" i="13"/>
  <c r="P238" i="13"/>
  <c r="P123" i="13"/>
  <c r="P256" i="13"/>
  <c r="P1177" i="13"/>
  <c r="P860" i="13"/>
  <c r="P744" i="13"/>
  <c r="P706" i="13"/>
  <c r="P721" i="13"/>
  <c r="P92" i="13"/>
  <c r="P544" i="13"/>
  <c r="P1140" i="13"/>
  <c r="P1380" i="13"/>
  <c r="P49" i="13"/>
  <c r="P1156" i="13"/>
  <c r="P178" i="13"/>
  <c r="P1157" i="13"/>
  <c r="P660" i="13"/>
  <c r="P1152" i="13"/>
  <c r="P853" i="13"/>
  <c r="P1237" i="13"/>
  <c r="P340" i="13"/>
  <c r="P91" i="13"/>
  <c r="P239" i="13"/>
  <c r="P1357" i="13"/>
  <c r="P1317" i="13"/>
  <c r="P387" i="13"/>
  <c r="P1388" i="13"/>
  <c r="P366" i="13"/>
  <c r="P1009" i="13"/>
  <c r="P436" i="13"/>
  <c r="P1088" i="13"/>
  <c r="P477" i="13"/>
  <c r="P226" i="13"/>
  <c r="P839" i="13"/>
  <c r="P185" i="13"/>
  <c r="P751" i="13"/>
  <c r="P1377" i="13"/>
  <c r="P277" i="13"/>
  <c r="P916" i="13"/>
  <c r="P205" i="13"/>
  <c r="P1051" i="13"/>
  <c r="P295" i="13"/>
  <c r="P229" i="13"/>
  <c r="P930" i="13"/>
  <c r="P242" i="13"/>
  <c r="P848" i="13"/>
  <c r="P45" i="13"/>
  <c r="P339" i="13"/>
  <c r="P257" i="13"/>
  <c r="P1147" i="13"/>
  <c r="P34" i="13"/>
  <c r="P720" i="13"/>
  <c r="P125" i="13"/>
  <c r="P1316" i="13"/>
  <c r="P386" i="13"/>
  <c r="P341" i="13"/>
  <c r="P1176" i="13"/>
  <c r="P115" i="13"/>
  <c r="P947" i="13"/>
  <c r="P534" i="13"/>
  <c r="P543" i="13"/>
  <c r="P126" i="13"/>
  <c r="P1030" i="13"/>
  <c r="C698" i="13"/>
  <c r="C816" i="13"/>
  <c r="C901" i="13"/>
  <c r="C1167" i="13"/>
  <c r="C1340" i="13"/>
  <c r="C743" i="13"/>
  <c r="C124" i="13"/>
  <c r="C706" i="13"/>
  <c r="C92" i="13"/>
  <c r="C1140" i="13"/>
  <c r="C534" i="13"/>
  <c r="C126" i="13"/>
  <c r="C1176" i="13"/>
  <c r="C720" i="13"/>
  <c r="C1316" i="13"/>
  <c r="C1317" i="13"/>
  <c r="C302" i="13"/>
  <c r="C1313" i="13"/>
  <c r="C36" i="13"/>
  <c r="C627" i="13"/>
  <c r="C152" i="13"/>
  <c r="C394" i="13"/>
  <c r="C567" i="13"/>
  <c r="C709" i="13"/>
  <c r="C1020" i="13"/>
  <c r="C1185" i="13"/>
  <c r="C1416" i="13"/>
  <c r="C135" i="13"/>
  <c r="C235" i="13"/>
  <c r="C309" i="13"/>
  <c r="C457" i="13"/>
  <c r="C600" i="13"/>
  <c r="C793" i="13"/>
  <c r="C900" i="13"/>
  <c r="C976" i="13"/>
  <c r="C1121" i="13"/>
  <c r="C1257" i="13"/>
  <c r="C1305" i="13"/>
  <c r="C38" i="13"/>
  <c r="C789" i="13"/>
  <c r="C1228" i="13"/>
  <c r="C109" i="13"/>
  <c r="C286" i="13"/>
  <c r="C411" i="13"/>
  <c r="C548" i="13"/>
  <c r="C725" i="13"/>
  <c r="C998" i="13"/>
  <c r="C1370" i="13"/>
  <c r="C1379" i="13"/>
  <c r="C736" i="13"/>
  <c r="C719" i="13"/>
  <c r="C595" i="13"/>
  <c r="C738" i="13"/>
  <c r="C947" i="13"/>
  <c r="C640" i="13"/>
  <c r="C200" i="13"/>
  <c r="C1224" i="13"/>
  <c r="C303" i="13"/>
  <c r="C91" i="13"/>
  <c r="C1357" i="13"/>
  <c r="C387" i="13"/>
  <c r="C325" i="13"/>
  <c r="C431" i="13"/>
  <c r="C609" i="13"/>
  <c r="C766" i="13"/>
  <c r="C857" i="13"/>
  <c r="C1053" i="13"/>
  <c r="C1263" i="13"/>
  <c r="C1386" i="13"/>
  <c r="C744" i="13"/>
  <c r="C721" i="13"/>
  <c r="C544" i="13"/>
  <c r="C1380" i="13"/>
  <c r="C543" i="13"/>
  <c r="C1030" i="13"/>
  <c r="C34" i="13"/>
  <c r="C125" i="13"/>
  <c r="C1403" i="13"/>
  <c r="C1388" i="13"/>
  <c r="C426" i="13"/>
  <c r="C427" i="13"/>
  <c r="C861" i="13"/>
  <c r="G27" i="12"/>
  <c r="G16" i="12"/>
  <c r="G78" i="12"/>
  <c r="G85" i="12"/>
  <c r="G34" i="12"/>
  <c r="G96" i="12"/>
  <c r="G111" i="12"/>
  <c r="G46" i="12"/>
  <c r="G3" i="12"/>
  <c r="G117" i="12"/>
  <c r="G64" i="12"/>
  <c r="G86" i="12" a="1"/>
  <c r="G97" i="12" a="1"/>
  <c r="G17" i="12" a="1"/>
  <c r="G4" i="12" a="1"/>
  <c r="G47" i="12" a="1"/>
  <c r="G28" i="12" a="1"/>
  <c r="G35" i="12" a="1"/>
  <c r="G79" i="12" a="1"/>
  <c r="G118" i="12" a="1"/>
  <c r="G65" i="12" a="1"/>
  <c r="G112" i="12" a="1"/>
  <c r="G105" i="11" l="1"/>
  <c r="G97" i="11"/>
  <c r="G109" i="11"/>
  <c r="G161" i="11"/>
  <c r="G130" i="11"/>
  <c r="G18" i="11"/>
  <c r="G32" i="11"/>
  <c r="G142" i="11"/>
  <c r="G12" i="11"/>
  <c r="G131" i="11"/>
  <c r="G25" i="10"/>
  <c r="G29" i="10"/>
  <c r="G43" i="10"/>
  <c r="G44" i="10"/>
  <c r="G3" i="10"/>
  <c r="G36" i="10"/>
  <c r="G20" i="10"/>
  <c r="G129" i="9"/>
  <c r="G53" i="9"/>
  <c r="G185" i="9"/>
  <c r="G84" i="9"/>
  <c r="G180" i="9"/>
  <c r="G139" i="9"/>
  <c r="G43" i="9"/>
  <c r="G172" i="9"/>
  <c r="G24" i="9"/>
  <c r="G182" i="9"/>
  <c r="G102" i="9"/>
  <c r="G183" i="9"/>
  <c r="G95" i="9"/>
  <c r="G9" i="8"/>
  <c r="G35" i="8"/>
  <c r="G107" i="8"/>
  <c r="G93" i="8"/>
  <c r="G94" i="8"/>
  <c r="G52" i="8"/>
  <c r="G15" i="8"/>
  <c r="G10" i="8"/>
  <c r="G76" i="8"/>
  <c r="G28" i="8"/>
  <c r="G74" i="8"/>
  <c r="G106" i="8"/>
  <c r="G71" i="8"/>
  <c r="G23" i="8"/>
  <c r="G39" i="7"/>
  <c r="G22" i="7"/>
  <c r="G20" i="7"/>
  <c r="G31" i="7"/>
  <c r="G48" i="7"/>
  <c r="G72" i="7"/>
  <c r="G19" i="7"/>
  <c r="G62" i="7"/>
  <c r="G30" i="7"/>
  <c r="G27" i="7"/>
  <c r="G37" i="6"/>
  <c r="G77" i="6"/>
  <c r="G7" i="6"/>
  <c r="G50" i="6"/>
  <c r="G76" i="6"/>
  <c r="G22" i="6"/>
  <c r="G154" i="6"/>
  <c r="G45" i="5"/>
  <c r="G67" i="5"/>
  <c r="G31" i="5"/>
  <c r="G78" i="5"/>
  <c r="G62" i="5"/>
  <c r="G116" i="5"/>
  <c r="G26" i="5"/>
  <c r="G38" i="4"/>
  <c r="G130" i="4"/>
  <c r="G70" i="4"/>
  <c r="G81" i="4"/>
  <c r="G83" i="4"/>
  <c r="G85" i="4"/>
  <c r="G120" i="4"/>
  <c r="G97" i="4"/>
  <c r="G65" i="4"/>
  <c r="G102" i="4"/>
  <c r="G57" i="3"/>
  <c r="G5" i="3"/>
  <c r="G21" i="3"/>
  <c r="G41" i="3"/>
  <c r="G77" i="3"/>
  <c r="G87" i="3"/>
  <c r="G42" i="3"/>
  <c r="G7" i="3"/>
  <c r="G76" i="3"/>
  <c r="G41" i="2"/>
  <c r="G132" i="2"/>
  <c r="G45" i="2"/>
  <c r="G53" i="2"/>
  <c r="G145" i="2"/>
  <c r="G131" i="2"/>
  <c r="G42" i="2"/>
  <c r="G98" i="2"/>
  <c r="G67" i="2"/>
  <c r="G96" i="1"/>
  <c r="G85" i="1"/>
  <c r="G89" i="1"/>
  <c r="G13" i="1"/>
  <c r="G21" i="1"/>
  <c r="G109" i="1"/>
  <c r="G22" i="1"/>
  <c r="G107" i="1"/>
  <c r="G71" i="1"/>
  <c r="G90" i="1"/>
  <c r="G19" i="1"/>
  <c r="G3" i="1"/>
  <c r="G118" i="12"/>
  <c r="G97" i="12"/>
  <c r="G17" i="12"/>
  <c r="G4" i="12"/>
  <c r="G35" i="12"/>
  <c r="G28" i="12"/>
  <c r="G47" i="12"/>
  <c r="G86" i="12"/>
  <c r="G65" i="12"/>
  <c r="G112" i="12"/>
  <c r="G79" i="12"/>
  <c r="G80" i="12" a="1"/>
  <c r="G18" i="12" a="1"/>
  <c r="G36" i="12" a="1"/>
  <c r="G5" i="12" a="1"/>
  <c r="G29" i="12" a="1"/>
  <c r="G66" i="12" a="1"/>
  <c r="G119" i="12" a="1"/>
  <c r="G87" i="12" a="1"/>
  <c r="G48" i="12" a="1"/>
  <c r="G113" i="12" a="1"/>
  <c r="G98" i="12" a="1"/>
  <c r="G21" i="11" l="1"/>
  <c r="G49" i="11"/>
  <c r="G40" i="11"/>
  <c r="G79" i="11"/>
  <c r="G15" i="11"/>
  <c r="G3" i="11"/>
  <c r="G68" i="11"/>
  <c r="G128" i="11"/>
  <c r="G46" i="11"/>
  <c r="G108" i="11"/>
  <c r="G83" i="11"/>
  <c r="G13" i="10"/>
  <c r="G17" i="10"/>
  <c r="G41" i="10"/>
  <c r="G45" i="10"/>
  <c r="G37" i="10"/>
  <c r="G24" i="10"/>
  <c r="G15" i="10"/>
  <c r="G12" i="10"/>
  <c r="G177" i="9"/>
  <c r="G109" i="9"/>
  <c r="G173" i="9"/>
  <c r="G110" i="9"/>
  <c r="G136" i="9"/>
  <c r="G40" i="9"/>
  <c r="G188" i="9"/>
  <c r="G152" i="9"/>
  <c r="G191" i="9"/>
  <c r="G63" i="9"/>
  <c r="G98" i="9"/>
  <c r="G25" i="8"/>
  <c r="G90" i="8"/>
  <c r="G62" i="8"/>
  <c r="G104" i="8"/>
  <c r="G24" i="8"/>
  <c r="G8" i="8"/>
  <c r="G99" i="8"/>
  <c r="G69" i="8"/>
  <c r="G53" i="8"/>
  <c r="G36" i="8"/>
  <c r="G2" i="8"/>
  <c r="G82" i="8"/>
  <c r="G34" i="8"/>
  <c r="G96" i="8"/>
  <c r="G57" i="7"/>
  <c r="G17" i="7"/>
  <c r="G53" i="7"/>
  <c r="G44" i="7"/>
  <c r="G71" i="7"/>
  <c r="G54" i="7"/>
  <c r="G63" i="7"/>
  <c r="G78" i="7"/>
  <c r="G46" i="7"/>
  <c r="G14" i="7"/>
  <c r="G26" i="7"/>
  <c r="G52" i="7"/>
  <c r="G4" i="7"/>
  <c r="G121" i="6"/>
  <c r="G105" i="6"/>
  <c r="G137" i="6"/>
  <c r="G149" i="6"/>
  <c r="G146" i="6"/>
  <c r="G152" i="6"/>
  <c r="G64" i="6"/>
  <c r="G136" i="6"/>
  <c r="G110" i="6"/>
  <c r="G51" i="6"/>
  <c r="G147" i="6"/>
  <c r="G128" i="6"/>
  <c r="G98" i="6"/>
  <c r="G47" i="6"/>
  <c r="G113" i="5"/>
  <c r="G145" i="5"/>
  <c r="G98" i="5"/>
  <c r="G152" i="5"/>
  <c r="G112" i="5"/>
  <c r="G96" i="5"/>
  <c r="G134" i="4"/>
  <c r="G126" i="4"/>
  <c r="G89" i="4"/>
  <c r="G41" i="4"/>
  <c r="G60" i="4"/>
  <c r="G95" i="4"/>
  <c r="G110" i="4"/>
  <c r="G6" i="4"/>
  <c r="G14" i="4"/>
  <c r="G5" i="4"/>
  <c r="G66" i="4"/>
  <c r="G75" i="4"/>
  <c r="G129" i="4"/>
  <c r="G23" i="4"/>
  <c r="G115" i="4"/>
  <c r="G81" i="3"/>
  <c r="G65" i="3"/>
  <c r="G8" i="3"/>
  <c r="G67" i="3"/>
  <c r="G70" i="3"/>
  <c r="G54" i="3"/>
  <c r="G38" i="3"/>
  <c r="G63" i="3"/>
  <c r="G4" i="3"/>
  <c r="G82" i="3"/>
  <c r="G34" i="3"/>
  <c r="G19" i="3"/>
  <c r="G80" i="3"/>
  <c r="G55" i="3"/>
  <c r="G51" i="3"/>
  <c r="G10" i="3"/>
  <c r="G72" i="2"/>
  <c r="G100" i="2"/>
  <c r="G13" i="2"/>
  <c r="G77" i="2"/>
  <c r="G113" i="2"/>
  <c r="G28" i="2"/>
  <c r="G108" i="2"/>
  <c r="G17" i="2"/>
  <c r="G73" i="2"/>
  <c r="G133" i="2"/>
  <c r="G94" i="2"/>
  <c r="G83" i="2"/>
  <c r="G79" i="2"/>
  <c r="G10" i="2"/>
  <c r="G19" i="2"/>
  <c r="G103" i="2"/>
  <c r="G38" i="2"/>
  <c r="G99" i="2"/>
  <c r="G60" i="1"/>
  <c r="G120" i="1"/>
  <c r="G68" i="1"/>
  <c r="G108" i="1"/>
  <c r="G25" i="1"/>
  <c r="G93" i="1"/>
  <c r="G66" i="1"/>
  <c r="G34" i="1"/>
  <c r="G2" i="1"/>
  <c r="G11" i="1"/>
  <c r="G78" i="1"/>
  <c r="G30" i="1"/>
  <c r="G106" i="1"/>
  <c r="G113" i="12"/>
  <c r="G29" i="12"/>
  <c r="G98" i="12"/>
  <c r="G66" i="12"/>
  <c r="G36" i="12"/>
  <c r="G119" i="12"/>
  <c r="G87" i="12"/>
  <c r="G5" i="12"/>
  <c r="G80" i="12"/>
  <c r="G48" i="12"/>
  <c r="G18" i="12"/>
  <c r="G81" i="12" a="1"/>
  <c r="G30" i="12" a="1"/>
  <c r="G6" i="12" a="1"/>
  <c r="G67" i="12" a="1"/>
  <c r="G37" i="12" a="1"/>
  <c r="G99" i="12" a="1"/>
  <c r="G114" i="12" a="1"/>
  <c r="G19" i="12" a="1"/>
  <c r="G88" i="12" a="1"/>
  <c r="G120" i="12" a="1"/>
  <c r="G49" i="12" a="1"/>
  <c r="G157" i="11" l="1"/>
  <c r="G117" i="11"/>
  <c r="G137" i="11"/>
  <c r="G56" i="11"/>
  <c r="G63" i="11"/>
  <c r="G10" i="11"/>
  <c r="G96" i="11"/>
  <c r="G5" i="10"/>
  <c r="G26" i="10"/>
  <c r="G27" i="10"/>
  <c r="G23" i="10"/>
  <c r="G30" i="10"/>
  <c r="G11" i="10"/>
  <c r="G65" i="9"/>
  <c r="G74" i="9"/>
  <c r="G58" i="9"/>
  <c r="G116" i="9"/>
  <c r="G68" i="9"/>
  <c r="G171" i="9"/>
  <c r="G123" i="9"/>
  <c r="G96" i="9"/>
  <c r="G55" i="9"/>
  <c r="G41" i="8"/>
  <c r="G40" i="8"/>
  <c r="G101" i="8"/>
  <c r="G50" i="8"/>
  <c r="G38" i="8"/>
  <c r="G102" i="8"/>
  <c r="G49" i="7"/>
  <c r="G13" i="7"/>
  <c r="G21" i="7"/>
  <c r="G33" i="7"/>
  <c r="G41" i="7"/>
  <c r="G23" i="7"/>
  <c r="G70" i="7"/>
  <c r="G2" i="7"/>
  <c r="G8" i="7"/>
  <c r="G50" i="7"/>
  <c r="G18" i="7"/>
  <c r="G64" i="7"/>
  <c r="G59" i="7"/>
  <c r="G32" i="7"/>
  <c r="G75" i="7"/>
  <c r="G10" i="7"/>
  <c r="G141" i="6"/>
  <c r="G65" i="6"/>
  <c r="G89" i="6"/>
  <c r="G113" i="6"/>
  <c r="G108" i="6"/>
  <c r="G44" i="6"/>
  <c r="G27" i="6"/>
  <c r="G144" i="6"/>
  <c r="G42" i="6"/>
  <c r="G127" i="6"/>
  <c r="G105" i="5"/>
  <c r="G101" i="5"/>
  <c r="G49" i="5"/>
  <c r="G143" i="5"/>
  <c r="G158" i="5"/>
  <c r="G94" i="5"/>
  <c r="G20" i="5"/>
  <c r="G27" i="5"/>
  <c r="G122" i="5"/>
  <c r="G109" i="4"/>
  <c r="G77" i="4"/>
  <c r="G61" i="4"/>
  <c r="G99" i="4"/>
  <c r="G51" i="4"/>
  <c r="G105" i="4"/>
  <c r="G127" i="4"/>
  <c r="G18" i="4"/>
  <c r="G71" i="4"/>
  <c r="G62" i="4"/>
  <c r="G101" i="4"/>
  <c r="G21" i="4"/>
  <c r="G27" i="4"/>
  <c r="G46" i="4"/>
  <c r="G3" i="4"/>
  <c r="G45" i="3"/>
  <c r="G61" i="3"/>
  <c r="G29" i="3"/>
  <c r="G24" i="3"/>
  <c r="G47" i="3"/>
  <c r="G50" i="3"/>
  <c r="G52" i="3"/>
  <c r="G59" i="3"/>
  <c r="G27" i="3"/>
  <c r="G11" i="3"/>
  <c r="G74" i="3"/>
  <c r="G78" i="3"/>
  <c r="G24" i="2"/>
  <c r="G57" i="2"/>
  <c r="G101" i="2"/>
  <c r="G4" i="2"/>
  <c r="G20" i="2"/>
  <c r="G37" i="2"/>
  <c r="G85" i="2"/>
  <c r="G141" i="2"/>
  <c r="G87" i="2"/>
  <c r="G54" i="2"/>
  <c r="G86" i="2"/>
  <c r="G102" i="2"/>
  <c r="G32" i="1"/>
  <c r="G53" i="1"/>
  <c r="G61" i="1"/>
  <c r="G16" i="1"/>
  <c r="G136" i="1"/>
  <c r="G102" i="1"/>
  <c r="G114" i="1"/>
  <c r="G74" i="1"/>
  <c r="G131" i="1"/>
  <c r="G81" i="12"/>
  <c r="G37" i="12"/>
  <c r="G114" i="12"/>
  <c r="G6" i="12"/>
  <c r="G67" i="12"/>
  <c r="G19" i="12"/>
  <c r="G88" i="12"/>
  <c r="G99" i="12"/>
  <c r="G49" i="12"/>
  <c r="G120" i="12"/>
  <c r="G30" i="12"/>
  <c r="G115" i="12" a="1"/>
  <c r="G100" i="12" a="1"/>
  <c r="G20" i="12" a="1"/>
  <c r="G50" i="12" a="1"/>
  <c r="G7" i="12" a="1"/>
  <c r="G82" i="12" a="1"/>
  <c r="G31" i="12" a="1"/>
  <c r="G89" i="12" a="1"/>
  <c r="G121" i="12" a="1"/>
  <c r="G68" i="12" a="1"/>
  <c r="G38" i="12" a="1"/>
  <c r="G5" i="11" l="1"/>
  <c r="G69" i="11"/>
  <c r="G149" i="11"/>
  <c r="G29" i="11"/>
  <c r="G101" i="11"/>
  <c r="G145" i="11"/>
  <c r="G95" i="11"/>
  <c r="G22" i="11"/>
  <c r="G76" i="11"/>
  <c r="G116" i="11"/>
  <c r="G20" i="11"/>
  <c r="G59" i="11"/>
  <c r="G163" i="11"/>
  <c r="G87" i="11"/>
  <c r="G7" i="11"/>
  <c r="G78" i="11"/>
  <c r="G33" i="10"/>
  <c r="G21" i="10"/>
  <c r="G46" i="10"/>
  <c r="G14" i="10"/>
  <c r="G8" i="10"/>
  <c r="G31" i="10"/>
  <c r="G6" i="10"/>
  <c r="G2" i="10"/>
  <c r="G42" i="10"/>
  <c r="G10" i="10"/>
  <c r="G73" i="9"/>
  <c r="G117" i="9"/>
  <c r="G21" i="9"/>
  <c r="G29" i="9"/>
  <c r="G41" i="9"/>
  <c r="G155" i="9"/>
  <c r="G70" i="9"/>
  <c r="G178" i="9"/>
  <c r="G2" i="9"/>
  <c r="G108" i="9"/>
  <c r="G147" i="9"/>
  <c r="G99" i="9"/>
  <c r="G51" i="9"/>
  <c r="G57" i="8"/>
  <c r="G51" i="8"/>
  <c r="G19" i="8"/>
  <c r="G21" i="8"/>
  <c r="G49" i="8"/>
  <c r="G75" i="8"/>
  <c r="G39" i="8"/>
  <c r="G60" i="8"/>
  <c r="G37" i="7"/>
  <c r="G29" i="7"/>
  <c r="G45" i="7"/>
  <c r="G77" i="7"/>
  <c r="G55" i="7"/>
  <c r="G7" i="7"/>
  <c r="G6" i="7"/>
  <c r="G43" i="7"/>
  <c r="G74" i="7"/>
  <c r="G40" i="7"/>
  <c r="G24" i="7"/>
  <c r="G66" i="7"/>
  <c r="G34" i="7"/>
  <c r="G42" i="7"/>
  <c r="G15" i="7"/>
  <c r="G58" i="7"/>
  <c r="G45" i="6"/>
  <c r="G107" i="6"/>
  <c r="G103" i="6"/>
  <c r="G56" i="6"/>
  <c r="G122" i="6"/>
  <c r="G106" i="6"/>
  <c r="G111" i="6"/>
  <c r="G5" i="5"/>
  <c r="G137" i="5"/>
  <c r="G166" i="5"/>
  <c r="G51" i="5"/>
  <c r="G120" i="5"/>
  <c r="G8" i="5"/>
  <c r="G163" i="5"/>
  <c r="G79" i="5"/>
  <c r="G23" i="5"/>
  <c r="G141" i="4"/>
  <c r="G29" i="4"/>
  <c r="G34" i="4"/>
  <c r="G80" i="4"/>
  <c r="G131" i="4"/>
  <c r="G74" i="4"/>
  <c r="G28" i="4"/>
  <c r="G79" i="4"/>
  <c r="G106" i="4"/>
  <c r="G10" i="4"/>
  <c r="G40" i="4"/>
  <c r="G24" i="4"/>
  <c r="G139" i="4"/>
  <c r="G107" i="4"/>
  <c r="G25" i="3"/>
  <c r="G49" i="3"/>
  <c r="G85" i="3"/>
  <c r="G72" i="3"/>
  <c r="G31" i="3"/>
  <c r="G86" i="3"/>
  <c r="G35" i="3"/>
  <c r="G84" i="3"/>
  <c r="G68" i="3"/>
  <c r="G36" i="3"/>
  <c r="G66" i="3"/>
  <c r="G83" i="3"/>
  <c r="G23" i="3"/>
  <c r="G71" i="3"/>
  <c r="G8" i="2"/>
  <c r="G16" i="2"/>
  <c r="G104" i="2"/>
  <c r="G116" i="2"/>
  <c r="G124" i="2"/>
  <c r="G69" i="2"/>
  <c r="G89" i="2"/>
  <c r="G52" i="2"/>
  <c r="G112" i="2"/>
  <c r="G117" i="2"/>
  <c r="G62" i="2"/>
  <c r="G143" i="2"/>
  <c r="G22" i="2"/>
  <c r="G115" i="2"/>
  <c r="G71" i="2"/>
  <c r="G6" i="2"/>
  <c r="G110" i="2"/>
  <c r="G105" i="1"/>
  <c r="G133" i="1"/>
  <c r="G52" i="1"/>
  <c r="G81" i="1"/>
  <c r="G15" i="1"/>
  <c r="G59" i="1"/>
  <c r="G119" i="1"/>
  <c r="G26" i="1"/>
  <c r="G147" i="1"/>
  <c r="G50" i="12"/>
  <c r="G68" i="12"/>
  <c r="G82" i="12"/>
  <c r="G100" i="12"/>
  <c r="G7" i="12"/>
  <c r="G31" i="12"/>
  <c r="G89" i="12"/>
  <c r="G115" i="12"/>
  <c r="G121" i="12"/>
  <c r="G20" i="12"/>
  <c r="G38" i="12"/>
  <c r="G51" i="12" a="1"/>
  <c r="G69" i="12" a="1"/>
  <c r="G32" i="12" a="1"/>
  <c r="G101" i="12" a="1"/>
  <c r="G90" i="12" a="1"/>
  <c r="G21" i="12" a="1"/>
  <c r="G83" i="12" a="1"/>
  <c r="G8" i="12" a="1"/>
  <c r="G39" i="12" a="1"/>
  <c r="G122" i="12" a="1"/>
  <c r="G9" i="11" l="1"/>
  <c r="G13" i="11"/>
  <c r="G159" i="11"/>
  <c r="G111" i="11"/>
  <c r="G31" i="11"/>
  <c r="G158" i="11"/>
  <c r="G91" i="11"/>
  <c r="G11" i="11"/>
  <c r="G50" i="11"/>
  <c r="G103" i="11"/>
  <c r="G9" i="10"/>
  <c r="G7" i="10"/>
  <c r="G35" i="10"/>
  <c r="G40" i="10"/>
  <c r="G18" i="10"/>
  <c r="G38" i="10"/>
  <c r="G4" i="10"/>
  <c r="G22" i="10"/>
  <c r="G19" i="10"/>
  <c r="G39" i="10"/>
  <c r="G32" i="10"/>
  <c r="G16" i="10"/>
  <c r="G34" i="10"/>
  <c r="G28" i="10"/>
  <c r="G85" i="9"/>
  <c r="G89" i="9"/>
  <c r="G113" i="9"/>
  <c r="G138" i="9"/>
  <c r="G90" i="9"/>
  <c r="G100" i="9"/>
  <c r="G192" i="9"/>
  <c r="G115" i="9"/>
  <c r="G19" i="9"/>
  <c r="G166" i="9"/>
  <c r="G144" i="9"/>
  <c r="G71" i="9"/>
  <c r="G114" i="9"/>
  <c r="G54" i="8"/>
  <c r="G67" i="8"/>
  <c r="G55" i="8"/>
  <c r="G42" i="8"/>
  <c r="G46" i="8"/>
  <c r="G17" i="8"/>
  <c r="G87" i="8"/>
  <c r="G97" i="8"/>
  <c r="G78" i="8"/>
  <c r="G9" i="7"/>
  <c r="G25" i="7"/>
  <c r="G61" i="7"/>
  <c r="G73" i="7"/>
  <c r="G76" i="7"/>
  <c r="G56" i="7"/>
  <c r="G67" i="7"/>
  <c r="G51" i="7"/>
  <c r="G35" i="7"/>
  <c r="G3" i="7"/>
  <c r="G11" i="7"/>
  <c r="G36" i="7"/>
  <c r="G25" i="6"/>
  <c r="G61" i="6"/>
  <c r="G109" i="6"/>
  <c r="G21" i="6"/>
  <c r="G41" i="6"/>
  <c r="G59" i="6"/>
  <c r="G100" i="6"/>
  <c r="G92" i="6"/>
  <c r="G118" i="6"/>
  <c r="G99" i="6"/>
  <c r="G52" i="6"/>
  <c r="G116" i="6"/>
  <c r="G161" i="5"/>
  <c r="G44" i="5"/>
  <c r="G87" i="5"/>
  <c r="G63" i="5"/>
  <c r="G160" i="5"/>
  <c r="G106" i="5"/>
  <c r="G7" i="5"/>
  <c r="G138" i="4"/>
  <c r="G132" i="4"/>
  <c r="G19" i="4"/>
  <c r="G57" i="4"/>
  <c r="G22" i="4"/>
  <c r="G44" i="4"/>
  <c r="G12" i="4"/>
  <c r="G111" i="4"/>
  <c r="G17" i="4"/>
  <c r="G35" i="4"/>
  <c r="G68" i="4"/>
  <c r="G13" i="3"/>
  <c r="G17" i="3"/>
  <c r="G33" i="3"/>
  <c r="G69" i="3"/>
  <c r="G37" i="3"/>
  <c r="G53" i="3"/>
  <c r="G22" i="3"/>
  <c r="G6" i="3"/>
  <c r="G18" i="3"/>
  <c r="G20" i="3"/>
  <c r="G79" i="3"/>
  <c r="G75" i="3"/>
  <c r="G26" i="3"/>
  <c r="G32" i="3"/>
  <c r="G62" i="3"/>
  <c r="G30" i="3"/>
  <c r="G60" i="3"/>
  <c r="G44" i="3"/>
  <c r="G3" i="3"/>
  <c r="G56" i="2"/>
  <c r="G140" i="2"/>
  <c r="G60" i="2"/>
  <c r="G68" i="2"/>
  <c r="G81" i="2"/>
  <c r="G43" i="2"/>
  <c r="G142" i="2"/>
  <c r="G138" i="2"/>
  <c r="G70" i="2"/>
  <c r="G66" i="2"/>
  <c r="G118" i="2"/>
  <c r="G34" i="2"/>
  <c r="G12" i="1"/>
  <c r="G72" i="1"/>
  <c r="G112" i="1"/>
  <c r="G29" i="1"/>
  <c r="G125" i="1"/>
  <c r="G44" i="1"/>
  <c r="G57" i="1"/>
  <c r="G113" i="1"/>
  <c r="G121" i="1"/>
  <c r="G153" i="1"/>
  <c r="G143" i="1"/>
  <c r="G130" i="1"/>
  <c r="G82" i="1"/>
  <c r="G142" i="1"/>
  <c r="G14" i="1"/>
  <c r="G23" i="1"/>
  <c r="G138" i="1"/>
  <c r="G58" i="1"/>
  <c r="G10" i="1"/>
  <c r="G21" i="12"/>
  <c r="G32" i="12"/>
  <c r="G69" i="12"/>
  <c r="G122" i="12"/>
  <c r="G8" i="12"/>
  <c r="G51" i="12"/>
  <c r="G101" i="12"/>
  <c r="G39" i="12"/>
  <c r="G90" i="12"/>
  <c r="G83" i="12"/>
  <c r="G22" i="12" a="1"/>
  <c r="G91" i="12" a="1"/>
  <c r="G123" i="12" a="1"/>
  <c r="G52" i="12" a="1"/>
  <c r="G40" i="12" a="1"/>
  <c r="G102" i="12" a="1"/>
  <c r="G9" i="12" a="1"/>
  <c r="G70" i="12" a="1"/>
  <c r="G141" i="11" l="1"/>
  <c r="G24" i="11"/>
  <c r="G134" i="11"/>
  <c r="G28" i="11"/>
  <c r="G150" i="11"/>
  <c r="G84" i="11"/>
  <c r="G43" i="11"/>
  <c r="G34" i="11"/>
  <c r="G80" i="11"/>
  <c r="G140" i="11"/>
  <c r="G35" i="11"/>
  <c r="G37" i="9"/>
  <c r="G97" i="9"/>
  <c r="G75" i="9"/>
  <c r="G194" i="9"/>
  <c r="G38" i="9"/>
  <c r="G151" i="9"/>
  <c r="G135" i="9"/>
  <c r="G39" i="9"/>
  <c r="G44" i="9"/>
  <c r="G131" i="9"/>
  <c r="G120" i="9"/>
  <c r="G15" i="9"/>
  <c r="G140" i="9"/>
  <c r="G124" i="9"/>
  <c r="G89" i="8"/>
  <c r="G3" i="8"/>
  <c r="G85" i="8"/>
  <c r="G86" i="8"/>
  <c r="G18" i="8"/>
  <c r="G79" i="8"/>
  <c r="G31" i="8"/>
  <c r="G65" i="8"/>
  <c r="G91" i="8"/>
  <c r="G70" i="8"/>
  <c r="G77" i="8"/>
  <c r="G16" i="8"/>
  <c r="G11" i="8"/>
  <c r="G61" i="8"/>
  <c r="G29" i="8"/>
  <c r="G69" i="7"/>
  <c r="G5" i="7"/>
  <c r="G65" i="7"/>
  <c r="G60" i="7"/>
  <c r="G28" i="7"/>
  <c r="G12" i="7"/>
  <c r="G38" i="7"/>
  <c r="G16" i="7"/>
  <c r="G68" i="7"/>
  <c r="G47" i="7"/>
  <c r="G13" i="6"/>
  <c r="G93" i="6"/>
  <c r="G5" i="6"/>
  <c r="G17" i="6"/>
  <c r="G96" i="6"/>
  <c r="G114" i="6"/>
  <c r="G20" i="6"/>
  <c r="G155" i="6"/>
  <c r="G158" i="6"/>
  <c r="G60" i="6"/>
  <c r="G102" i="6"/>
  <c r="G6" i="6"/>
  <c r="G2" i="6"/>
  <c r="G68" i="6"/>
  <c r="G115" i="6"/>
  <c r="G67" i="6"/>
  <c r="G3" i="6"/>
  <c r="G70" i="6"/>
  <c r="G24" i="6"/>
  <c r="G95" i="6"/>
  <c r="G94" i="6"/>
  <c r="G58" i="6"/>
  <c r="G82" i="6"/>
  <c r="G153" i="5"/>
  <c r="G173" i="5"/>
  <c r="G21" i="5"/>
  <c r="G37" i="5"/>
  <c r="G97" i="5"/>
  <c r="G74" i="5"/>
  <c r="G80" i="5"/>
  <c r="G32" i="5"/>
  <c r="G167" i="5"/>
  <c r="G111" i="5"/>
  <c r="G15" i="5"/>
  <c r="G71" i="5"/>
  <c r="G127" i="5"/>
  <c r="G142" i="5"/>
  <c r="G144" i="5"/>
  <c r="G103" i="5"/>
  <c r="G13" i="4"/>
  <c r="G82" i="4"/>
  <c r="G112" i="4"/>
  <c r="G96" i="4"/>
  <c r="G48" i="4"/>
  <c r="G90" i="4"/>
  <c r="G122" i="4"/>
  <c r="G78" i="4"/>
  <c r="G128" i="4"/>
  <c r="G103" i="4"/>
  <c r="G72" i="4"/>
  <c r="G50" i="4"/>
  <c r="G142" i="4"/>
  <c r="G84" i="4"/>
  <c r="G9" i="3"/>
  <c r="G73" i="3"/>
  <c r="G88" i="3"/>
  <c r="G56" i="3"/>
  <c r="G40" i="3"/>
  <c r="G15" i="3"/>
  <c r="G28" i="3"/>
  <c r="G43" i="3"/>
  <c r="G2" i="3"/>
  <c r="G64" i="3"/>
  <c r="G48" i="3"/>
  <c r="G16" i="3"/>
  <c r="G39" i="3"/>
  <c r="G46" i="3"/>
  <c r="G14" i="3"/>
  <c r="G12" i="3"/>
  <c r="G58" i="3"/>
  <c r="G32" i="2"/>
  <c r="G5" i="2"/>
  <c r="G33" i="2"/>
  <c r="G76" i="2"/>
  <c r="G84" i="2"/>
  <c r="G121" i="2"/>
  <c r="G122" i="2"/>
  <c r="G39" i="2"/>
  <c r="G107" i="2"/>
  <c r="G8" i="1"/>
  <c r="G104" i="1"/>
  <c r="G140" i="1"/>
  <c r="G6" i="1"/>
  <c r="G127" i="1"/>
  <c r="G79" i="1"/>
  <c r="G31" i="1"/>
  <c r="G94" i="1"/>
  <c r="G151" i="1"/>
  <c r="G135" i="1"/>
  <c r="G55" i="1"/>
  <c r="G83" i="1"/>
  <c r="G91" i="12"/>
  <c r="G9" i="12"/>
  <c r="G22" i="12"/>
  <c r="G40" i="12"/>
  <c r="G123" i="12"/>
  <c r="G102" i="12"/>
  <c r="G70" i="12"/>
  <c r="G52" i="12"/>
  <c r="G103" i="12" a="1"/>
  <c r="G71" i="12" a="1"/>
  <c r="G23" i="12" a="1"/>
  <c r="G10" i="12" a="1"/>
  <c r="G53" i="12" a="1"/>
  <c r="G41" i="12" a="1"/>
  <c r="G92" i="12" a="1"/>
  <c r="G124" i="12" a="1"/>
  <c r="G133" i="11" l="1"/>
  <c r="G85" i="11"/>
  <c r="G125" i="11"/>
  <c r="G120" i="11"/>
  <c r="G38" i="11"/>
  <c r="G58" i="11"/>
  <c r="G100" i="11"/>
  <c r="G36" i="11"/>
  <c r="G44" i="11"/>
  <c r="G71" i="11"/>
  <c r="G55" i="11"/>
  <c r="G126" i="11"/>
  <c r="G60" i="11"/>
  <c r="G90" i="11"/>
  <c r="G81" i="9"/>
  <c r="G141" i="9"/>
  <c r="G145" i="9"/>
  <c r="G77" i="9"/>
  <c r="G148" i="9"/>
  <c r="G107" i="9"/>
  <c r="G175" i="9"/>
  <c r="G118" i="9"/>
  <c r="G16" i="9"/>
  <c r="G126" i="9"/>
  <c r="G127" i="9"/>
  <c r="G47" i="9"/>
  <c r="G73" i="8"/>
  <c r="G72" i="8"/>
  <c r="G83" i="8"/>
  <c r="G103" i="8"/>
  <c r="G7" i="8"/>
  <c r="G5" i="8"/>
  <c r="G95" i="8"/>
  <c r="G47" i="8"/>
  <c r="G81" i="8"/>
  <c r="G32" i="8"/>
  <c r="G64" i="8"/>
  <c r="G9" i="6"/>
  <c r="G156" i="6"/>
  <c r="G123" i="6"/>
  <c r="G91" i="6"/>
  <c r="G43" i="6"/>
  <c r="G32" i="6"/>
  <c r="G142" i="6"/>
  <c r="G140" i="6"/>
  <c r="G62" i="6"/>
  <c r="G48" i="6"/>
  <c r="G15" i="6"/>
  <c r="G112" i="6"/>
  <c r="G29" i="5"/>
  <c r="G165" i="5"/>
  <c r="G33" i="5"/>
  <c r="G53" i="5"/>
  <c r="G77" i="5"/>
  <c r="G102" i="5"/>
  <c r="G76" i="5"/>
  <c r="G147" i="5"/>
  <c r="G42" i="4"/>
  <c r="G108" i="4"/>
  <c r="G76" i="4"/>
  <c r="G30" i="4"/>
  <c r="G123" i="4"/>
  <c r="G43" i="4"/>
  <c r="G94" i="4"/>
  <c r="G8" i="4"/>
  <c r="G87" i="4"/>
  <c r="G12" i="2"/>
  <c r="G88" i="2"/>
  <c r="G9" i="2"/>
  <c r="G97" i="2"/>
  <c r="G58" i="2"/>
  <c r="G135" i="2"/>
  <c r="G31" i="2"/>
  <c r="G11" i="2"/>
  <c r="G2" i="2"/>
  <c r="G106" i="2"/>
  <c r="G55" i="2"/>
  <c r="G23" i="2"/>
  <c r="G9" i="1"/>
  <c r="G33" i="1"/>
  <c r="G149" i="1"/>
  <c r="G134" i="1"/>
  <c r="G86" i="1"/>
  <c r="G18" i="1"/>
  <c r="G139" i="1"/>
  <c r="G91" i="1"/>
  <c r="G27" i="1"/>
  <c r="G110" i="1"/>
  <c r="G46" i="1"/>
  <c r="G87" i="1"/>
  <c r="G42" i="1"/>
  <c r="G53" i="12"/>
  <c r="G41" i="12"/>
  <c r="G71" i="12"/>
  <c r="G23" i="12"/>
  <c r="G103" i="12"/>
  <c r="G10" i="12"/>
  <c r="G124" i="12"/>
  <c r="G92" i="12"/>
  <c r="G125" i="12" a="1"/>
  <c r="G93" i="12" a="1"/>
  <c r="G42" i="12" a="1"/>
  <c r="G24" i="12" a="1"/>
  <c r="G11" i="12" a="1"/>
  <c r="G72" i="12" a="1"/>
  <c r="G104" i="12" a="1"/>
  <c r="G54" i="12" a="1"/>
  <c r="G121" i="11" l="1"/>
  <c r="G53" i="11"/>
  <c r="G89" i="11"/>
  <c r="G113" i="11"/>
  <c r="G72" i="11"/>
  <c r="G47" i="11"/>
  <c r="G52" i="11"/>
  <c r="G139" i="11"/>
  <c r="G144" i="11"/>
  <c r="G119" i="11"/>
  <c r="G110" i="11"/>
  <c r="G30" i="11"/>
  <c r="G42" i="11"/>
  <c r="G33" i="9"/>
  <c r="G121" i="9"/>
  <c r="G169" i="9"/>
  <c r="G149" i="9"/>
  <c r="G170" i="9"/>
  <c r="G42" i="9"/>
  <c r="G164" i="9"/>
  <c r="G59" i="9"/>
  <c r="G150" i="9"/>
  <c r="G22" i="9"/>
  <c r="G48" i="9"/>
  <c r="G190" i="9"/>
  <c r="G12" i="9"/>
  <c r="G8" i="9"/>
  <c r="G60" i="9"/>
  <c r="G28" i="9"/>
  <c r="G98" i="8"/>
  <c r="G37" i="8"/>
  <c r="G84" i="8"/>
  <c r="G68" i="8"/>
  <c r="G20" i="8"/>
  <c r="G4" i="8"/>
  <c r="G109" i="8"/>
  <c r="G108" i="8"/>
  <c r="G59" i="8"/>
  <c r="G43" i="8"/>
  <c r="G26" i="8"/>
  <c r="G92" i="8"/>
  <c r="G12" i="8"/>
  <c r="G97" i="6"/>
  <c r="G145" i="6"/>
  <c r="G81" i="6"/>
  <c r="G117" i="6"/>
  <c r="G53" i="6"/>
  <c r="G72" i="6"/>
  <c r="G16" i="6"/>
  <c r="G162" i="6"/>
  <c r="G71" i="6"/>
  <c r="G18" i="6"/>
  <c r="G63" i="6"/>
  <c r="G46" i="6"/>
  <c r="G34" i="6"/>
  <c r="G80" i="6"/>
  <c r="G104" i="6"/>
  <c r="G41" i="5"/>
  <c r="G81" i="5"/>
  <c r="G6" i="5"/>
  <c r="G108" i="5"/>
  <c r="G18" i="5"/>
  <c r="G2" i="5"/>
  <c r="G64" i="5"/>
  <c r="G119" i="5"/>
  <c r="G148" i="5"/>
  <c r="G100" i="5"/>
  <c r="G68" i="5"/>
  <c r="G123" i="5"/>
  <c r="G125" i="4"/>
  <c r="G64" i="4"/>
  <c r="G136" i="4"/>
  <c r="G137" i="4"/>
  <c r="G124" i="4"/>
  <c r="G31" i="4"/>
  <c r="G49" i="4"/>
  <c r="G20" i="4"/>
  <c r="G88" i="4"/>
  <c r="G56" i="4"/>
  <c r="G59" i="4"/>
  <c r="G119" i="4"/>
  <c r="G48" i="2"/>
  <c r="G64" i="2"/>
  <c r="G92" i="2"/>
  <c r="G128" i="2"/>
  <c r="G125" i="2"/>
  <c r="G36" i="2"/>
  <c r="G44" i="2"/>
  <c r="G96" i="2"/>
  <c r="G120" i="2"/>
  <c r="G136" i="2"/>
  <c r="G61" i="2"/>
  <c r="G93" i="2"/>
  <c r="G129" i="2"/>
  <c r="G65" i="2"/>
  <c r="G109" i="2"/>
  <c r="G91" i="2"/>
  <c r="G95" i="2"/>
  <c r="G63" i="2"/>
  <c r="G114" i="2"/>
  <c r="G75" i="2"/>
  <c r="G78" i="2"/>
  <c r="G14" i="2"/>
  <c r="G74" i="2"/>
  <c r="G134" i="2"/>
  <c r="G130" i="2"/>
  <c r="G51" i="2"/>
  <c r="G50" i="2"/>
  <c r="G123" i="2"/>
  <c r="G27" i="2"/>
  <c r="G119" i="2"/>
  <c r="G35" i="2"/>
  <c r="G3" i="2"/>
  <c r="G64" i="1"/>
  <c r="G152" i="1"/>
  <c r="G17" i="1"/>
  <c r="G77" i="1"/>
  <c r="G20" i="1"/>
  <c r="G116" i="1"/>
  <c r="G49" i="1"/>
  <c r="G118" i="1"/>
  <c r="G95" i="1"/>
  <c r="G75" i="1"/>
  <c r="G43" i="1"/>
  <c r="G39" i="1"/>
  <c r="G67" i="1"/>
  <c r="G35" i="1"/>
  <c r="G93" i="12"/>
  <c r="G24" i="12"/>
  <c r="G125" i="12"/>
  <c r="G72" i="12"/>
  <c r="G11" i="12"/>
  <c r="G42" i="12"/>
  <c r="G104" i="12"/>
  <c r="G54" i="12"/>
  <c r="G73" i="12" a="1"/>
  <c r="G126" i="12" a="1"/>
  <c r="G25" i="12" a="1"/>
  <c r="G55" i="12" a="1"/>
  <c r="G105" i="12" a="1"/>
  <c r="G94" i="12" a="1"/>
  <c r="G12" i="12" a="1"/>
  <c r="G43" i="12" a="1"/>
  <c r="G57" i="11" l="1"/>
  <c r="G77" i="11"/>
  <c r="G153" i="11"/>
  <c r="G88" i="11"/>
  <c r="G127" i="11"/>
  <c r="G86" i="11"/>
  <c r="G146" i="11"/>
  <c r="G114" i="11"/>
  <c r="G82" i="11"/>
  <c r="G115" i="11"/>
  <c r="G94" i="11"/>
  <c r="G93" i="9"/>
  <c r="G13" i="9"/>
  <c r="G181" i="9"/>
  <c r="G125" i="9"/>
  <c r="G137" i="9"/>
  <c r="G154" i="9"/>
  <c r="G78" i="9"/>
  <c r="G143" i="9"/>
  <c r="G111" i="9"/>
  <c r="G88" i="9"/>
  <c r="G110" i="8"/>
  <c r="G14" i="8"/>
  <c r="G22" i="8"/>
  <c r="G88" i="8"/>
  <c r="G6" i="8"/>
  <c r="G100" i="8"/>
  <c r="G63" i="8"/>
  <c r="G30" i="8"/>
  <c r="G45" i="8"/>
  <c r="G33" i="8"/>
  <c r="G13" i="8"/>
  <c r="G73" i="6"/>
  <c r="G129" i="6"/>
  <c r="G39" i="6"/>
  <c r="G74" i="6"/>
  <c r="G150" i="6"/>
  <c r="G90" i="6"/>
  <c r="G12" i="6"/>
  <c r="G138" i="6"/>
  <c r="G66" i="6"/>
  <c r="G54" i="5"/>
  <c r="G22" i="5"/>
  <c r="G171" i="5"/>
  <c r="G3" i="5"/>
  <c r="G131" i="5"/>
  <c r="G126" i="5"/>
  <c r="G11" i="5"/>
  <c r="G58" i="5"/>
  <c r="G26" i="4"/>
  <c r="G25" i="4"/>
  <c r="G118" i="4"/>
  <c r="G92" i="4"/>
  <c r="G11" i="4"/>
  <c r="G2" i="4"/>
  <c r="G140" i="4"/>
  <c r="G52" i="4"/>
  <c r="G4" i="4"/>
  <c r="G135" i="4"/>
  <c r="G7" i="4"/>
  <c r="G114" i="4"/>
  <c r="G117" i="4"/>
  <c r="G69" i="4"/>
  <c r="G53" i="4"/>
  <c r="G104" i="4"/>
  <c r="G33" i="4"/>
  <c r="G116" i="4"/>
  <c r="G54" i="4"/>
  <c r="G55" i="4"/>
  <c r="G40" i="2"/>
  <c r="G144" i="2"/>
  <c r="G21" i="2"/>
  <c r="G49" i="2"/>
  <c r="G25" i="2"/>
  <c r="G126" i="2"/>
  <c r="G30" i="2"/>
  <c r="G26" i="2"/>
  <c r="G47" i="2"/>
  <c r="G15" i="2"/>
  <c r="G127" i="2"/>
  <c r="G7" i="2"/>
  <c r="G46" i="2"/>
  <c r="G111" i="2"/>
  <c r="G4" i="1"/>
  <c r="G48" i="1"/>
  <c r="G88" i="1"/>
  <c r="G128" i="1"/>
  <c r="G69" i="1"/>
  <c r="G141" i="1"/>
  <c r="G28" i="1"/>
  <c r="G5" i="1"/>
  <c r="G65" i="1"/>
  <c r="G111" i="1"/>
  <c r="G50" i="1"/>
  <c r="G126" i="1"/>
  <c r="G55" i="12"/>
  <c r="G73" i="12"/>
  <c r="G105" i="12"/>
  <c r="G126" i="12"/>
  <c r="G43" i="12"/>
  <c r="G25" i="12"/>
  <c r="G12" i="12"/>
  <c r="G94" i="12"/>
  <c r="G74" i="12" a="1"/>
  <c r="G106" i="12" a="1"/>
  <c r="G13" i="12" a="1"/>
  <c r="G56" i="12" a="1"/>
  <c r="G127" i="12" a="1"/>
  <c r="G44" i="12" a="1"/>
  <c r="G41" i="11" l="1"/>
  <c r="G65" i="11"/>
  <c r="G136" i="11"/>
  <c r="G104" i="11"/>
  <c r="G8" i="11"/>
  <c r="G143" i="11"/>
  <c r="G99" i="11"/>
  <c r="G122" i="11"/>
  <c r="G74" i="11"/>
  <c r="G112" i="11"/>
  <c r="G48" i="11"/>
  <c r="G156" i="11"/>
  <c r="G25" i="9"/>
  <c r="G61" i="9"/>
  <c r="G57" i="9"/>
  <c r="G20" i="9"/>
  <c r="G4" i="9"/>
  <c r="G11" i="9"/>
  <c r="G184" i="9"/>
  <c r="G134" i="9"/>
  <c r="G86" i="9"/>
  <c r="G80" i="9"/>
  <c r="G105" i="8"/>
  <c r="G56" i="8"/>
  <c r="G58" i="8"/>
  <c r="G48" i="8"/>
  <c r="G27" i="8"/>
  <c r="G66" i="8"/>
  <c r="G44" i="8"/>
  <c r="G80" i="8"/>
  <c r="G69" i="6"/>
  <c r="G130" i="6"/>
  <c r="G86" i="6"/>
  <c r="G135" i="6"/>
  <c r="G55" i="6"/>
  <c r="G78" i="6"/>
  <c r="G31" i="6"/>
  <c r="G8" i="6"/>
  <c r="G131" i="6"/>
  <c r="G83" i="6"/>
  <c r="G84" i="6"/>
  <c r="G134" i="6"/>
  <c r="G65" i="5"/>
  <c r="G114" i="5"/>
  <c r="G50" i="5"/>
  <c r="G104" i="5"/>
  <c r="G47" i="5"/>
  <c r="G90" i="5"/>
  <c r="G91" i="5"/>
  <c r="G43" i="5"/>
  <c r="G151" i="5"/>
  <c r="G45" i="4"/>
  <c r="G9" i="4"/>
  <c r="G47" i="4"/>
  <c r="G15" i="4"/>
  <c r="G91" i="4"/>
  <c r="G113" i="4"/>
  <c r="G39" i="4"/>
  <c r="G133" i="4"/>
  <c r="G37" i="4"/>
  <c r="G58" i="4"/>
  <c r="G80" i="2"/>
  <c r="G137" i="2"/>
  <c r="G29" i="2"/>
  <c r="G105" i="2"/>
  <c r="G139" i="2"/>
  <c r="G90" i="2"/>
  <c r="G82" i="2"/>
  <c r="G18" i="2"/>
  <c r="G59" i="2"/>
  <c r="G80" i="1"/>
  <c r="G132" i="1"/>
  <c r="G145" i="1"/>
  <c r="G36" i="1"/>
  <c r="G76" i="1"/>
  <c r="G148" i="1"/>
  <c r="G73" i="1"/>
  <c r="G129" i="1"/>
  <c r="G70" i="1"/>
  <c r="G146" i="1"/>
  <c r="G98" i="1"/>
  <c r="G122" i="1"/>
  <c r="G99" i="1"/>
  <c r="G51" i="1"/>
  <c r="G127" i="12"/>
  <c r="G13" i="12"/>
  <c r="G106" i="12"/>
  <c r="G74" i="12"/>
  <c r="G44" i="12"/>
  <c r="G56" i="12"/>
  <c r="G107" i="12" a="1"/>
  <c r="G14" i="12" a="1"/>
  <c r="G75" i="12" a="1"/>
  <c r="G128" i="12" a="1"/>
  <c r="G57" i="12" a="1"/>
  <c r="G33" i="11" l="1"/>
  <c r="G81" i="11"/>
  <c r="G73" i="11"/>
  <c r="G25" i="11"/>
  <c r="G162" i="11"/>
  <c r="G152" i="11"/>
  <c r="G118" i="11"/>
  <c r="G102" i="11"/>
  <c r="G6" i="11"/>
  <c r="G147" i="11"/>
  <c r="G51" i="11"/>
  <c r="G106" i="11"/>
  <c r="G132" i="11"/>
  <c r="G4" i="11"/>
  <c r="G123" i="11"/>
  <c r="G107" i="11"/>
  <c r="G27" i="11"/>
  <c r="G2" i="11"/>
  <c r="G64" i="11"/>
  <c r="G151" i="11"/>
  <c r="G23" i="11"/>
  <c r="G62" i="11"/>
  <c r="G138" i="11"/>
  <c r="G49" i="9"/>
  <c r="G69" i="9"/>
  <c r="G133" i="9"/>
  <c r="G122" i="9"/>
  <c r="G26" i="9"/>
  <c r="G132" i="9"/>
  <c r="G91" i="9"/>
  <c r="G46" i="9"/>
  <c r="G14" i="9"/>
  <c r="G104" i="9"/>
  <c r="G64" i="9"/>
  <c r="G32" i="9"/>
  <c r="G168" i="9"/>
  <c r="G119" i="9"/>
  <c r="G83" i="9"/>
  <c r="G66" i="9"/>
  <c r="G50" i="9"/>
  <c r="G34" i="9"/>
  <c r="G3" i="9"/>
  <c r="G85" i="6"/>
  <c r="G133" i="6"/>
  <c r="G29" i="6"/>
  <c r="G101" i="6"/>
  <c r="G125" i="6"/>
  <c r="G161" i="6"/>
  <c r="G143" i="6"/>
  <c r="G148" i="6"/>
  <c r="G163" i="6"/>
  <c r="G23" i="6"/>
  <c r="G126" i="6"/>
  <c r="G28" i="6"/>
  <c r="G159" i="6"/>
  <c r="G35" i="6"/>
  <c r="G19" i="6"/>
  <c r="G151" i="6"/>
  <c r="G139" i="6"/>
  <c r="G69" i="5"/>
  <c r="G66" i="5"/>
  <c r="G34" i="5"/>
  <c r="G95" i="5"/>
  <c r="G4" i="5"/>
  <c r="G107" i="5"/>
  <c r="G154" i="5"/>
  <c r="G86" i="4"/>
  <c r="G93" i="4"/>
  <c r="G32" i="4"/>
  <c r="G16" i="4"/>
  <c r="G121" i="4"/>
  <c r="G73" i="4"/>
  <c r="G63" i="4"/>
  <c r="G98" i="4"/>
  <c r="G100" i="4"/>
  <c r="G36" i="4"/>
  <c r="G67" i="4"/>
  <c r="G24" i="1"/>
  <c r="G40" i="1"/>
  <c r="G144" i="1"/>
  <c r="G37" i="1"/>
  <c r="G45" i="1"/>
  <c r="G84" i="1"/>
  <c r="G92" i="1"/>
  <c r="G101" i="1"/>
  <c r="G54" i="1"/>
  <c r="G38" i="1"/>
  <c r="G63" i="1"/>
  <c r="G47" i="1"/>
  <c r="G62" i="1"/>
  <c r="G103" i="1"/>
  <c r="G128" i="12"/>
  <c r="G75" i="12"/>
  <c r="G107" i="12"/>
  <c r="G57" i="12"/>
  <c r="G14" i="12"/>
  <c r="G129" i="12" a="1"/>
  <c r="G108" i="12" a="1"/>
  <c r="G58" i="12" a="1"/>
  <c r="G76" i="12" a="1"/>
  <c r="G17" i="11" l="1"/>
  <c r="G45" i="11"/>
  <c r="G93" i="11"/>
  <c r="G129" i="11"/>
  <c r="G155" i="11"/>
  <c r="G98" i="11"/>
  <c r="G66" i="11"/>
  <c r="G67" i="11"/>
  <c r="G19" i="11"/>
  <c r="G26" i="11"/>
  <c r="G160" i="11"/>
  <c r="G16" i="11"/>
  <c r="G154" i="11"/>
  <c r="G105" i="9"/>
  <c r="G153" i="9"/>
  <c r="G101" i="9"/>
  <c r="G158" i="9"/>
  <c r="G62" i="9"/>
  <c r="G79" i="9"/>
  <c r="G54" i="9"/>
  <c r="G167" i="9"/>
  <c r="G31" i="9"/>
  <c r="G146" i="9"/>
  <c r="G130" i="9"/>
  <c r="G82" i="9"/>
  <c r="G49" i="6"/>
  <c r="G157" i="6"/>
  <c r="G33" i="6"/>
  <c r="G57" i="6"/>
  <c r="G153" i="6"/>
  <c r="G75" i="6"/>
  <c r="G11" i="6"/>
  <c r="G36" i="6"/>
  <c r="G4" i="6"/>
  <c r="G119" i="6"/>
  <c r="G26" i="6"/>
  <c r="G38" i="6"/>
  <c r="G10" i="6"/>
  <c r="G120" i="6"/>
  <c r="G79" i="6"/>
  <c r="G30" i="6"/>
  <c r="G40" i="6"/>
  <c r="G141" i="5"/>
  <c r="G61" i="5"/>
  <c r="G168" i="5"/>
  <c r="G118" i="5"/>
  <c r="G86" i="5"/>
  <c r="G140" i="5"/>
  <c r="G28" i="5"/>
  <c r="G19" i="5"/>
  <c r="G82" i="5"/>
  <c r="G136" i="5"/>
  <c r="G40" i="5"/>
  <c r="G159" i="5"/>
  <c r="G14" i="5"/>
  <c r="G100" i="1"/>
  <c r="G97" i="1"/>
  <c r="G117" i="1"/>
  <c r="G56" i="1"/>
  <c r="G124" i="1"/>
  <c r="G41" i="1"/>
  <c r="G137" i="1"/>
  <c r="G150" i="1"/>
  <c r="G123" i="1"/>
  <c r="G7" i="1"/>
  <c r="G115" i="1"/>
  <c r="G129" i="12"/>
  <c r="G58" i="12"/>
  <c r="G108" i="12"/>
  <c r="G76" i="12"/>
  <c r="G59" i="12" a="1"/>
  <c r="G130" i="12" a="1"/>
  <c r="G109" i="12" a="1"/>
  <c r="G37" i="11" l="1"/>
  <c r="G61" i="11"/>
  <c r="G70" i="11"/>
  <c r="G54" i="11"/>
  <c r="G148" i="11"/>
  <c r="G75" i="11"/>
  <c r="G92" i="11"/>
  <c r="G135" i="11"/>
  <c r="G39" i="11"/>
  <c r="G14" i="11"/>
  <c r="G124" i="11"/>
  <c r="G165" i="9"/>
  <c r="G189" i="9"/>
  <c r="G197" i="9"/>
  <c r="G45" i="9"/>
  <c r="G106" i="9"/>
  <c r="G10" i="9"/>
  <c r="G27" i="9"/>
  <c r="G72" i="9"/>
  <c r="G6" i="9"/>
  <c r="G160" i="9"/>
  <c r="G103" i="9"/>
  <c r="G23" i="9"/>
  <c r="G7" i="9"/>
  <c r="G35" i="9"/>
  <c r="G56" i="9"/>
  <c r="G159" i="9"/>
  <c r="G176" i="9"/>
  <c r="G156" i="9"/>
  <c r="G76" i="9"/>
  <c r="G195" i="9"/>
  <c r="G14" i="6"/>
  <c r="G87" i="6"/>
  <c r="G160" i="6"/>
  <c r="G132" i="6"/>
  <c r="G88" i="6"/>
  <c r="G124" i="6"/>
  <c r="G54" i="6"/>
  <c r="G149" i="5"/>
  <c r="G109" i="5"/>
  <c r="G38" i="5"/>
  <c r="G139" i="5"/>
  <c r="G115" i="5"/>
  <c r="G10" i="5"/>
  <c r="G39" i="5"/>
  <c r="G162" i="5"/>
  <c r="G130" i="5"/>
  <c r="G36" i="5"/>
  <c r="G109" i="12"/>
  <c r="G59" i="12"/>
  <c r="G130" i="12"/>
  <c r="G60" i="12" a="1"/>
  <c r="G9" i="9" l="1"/>
  <c r="G17" i="9"/>
  <c r="G157" i="9"/>
  <c r="G5" i="9"/>
  <c r="G161" i="9"/>
  <c r="G193" i="9"/>
  <c r="G186" i="9"/>
  <c r="G196" i="9"/>
  <c r="G52" i="9"/>
  <c r="G36" i="9"/>
  <c r="G187" i="9"/>
  <c r="G163" i="9"/>
  <c r="G67" i="9"/>
  <c r="G128" i="9"/>
  <c r="G112" i="9"/>
  <c r="G87" i="9"/>
  <c r="G179" i="9"/>
  <c r="G174" i="9"/>
  <c r="G30" i="9"/>
  <c r="G162" i="9"/>
  <c r="G18" i="9"/>
  <c r="G92" i="9"/>
  <c r="G142" i="9"/>
  <c r="G94" i="9"/>
  <c r="G134" i="5"/>
  <c r="G12" i="5"/>
  <c r="G24" i="5"/>
  <c r="G164" i="5"/>
  <c r="G132" i="5"/>
  <c r="G52" i="5"/>
  <c r="G155" i="5"/>
  <c r="G75" i="5"/>
  <c r="G60" i="12"/>
  <c r="G61" i="12" a="1"/>
  <c r="G13" i="5" l="1"/>
  <c r="G129" i="5"/>
  <c r="G17" i="5"/>
  <c r="G121" i="5"/>
  <c r="G133" i="5"/>
  <c r="G9" i="5"/>
  <c r="G25" i="5"/>
  <c r="G125" i="5"/>
  <c r="G157" i="5"/>
  <c r="G169" i="5"/>
  <c r="G70" i="5"/>
  <c r="G156" i="5"/>
  <c r="G124" i="5"/>
  <c r="G92" i="5"/>
  <c r="G60" i="5"/>
  <c r="G83" i="5"/>
  <c r="G135" i="5"/>
  <c r="G146" i="5"/>
  <c r="G42" i="5"/>
  <c r="G110" i="5"/>
  <c r="G46" i="5"/>
  <c r="G30" i="5"/>
  <c r="G59" i="5"/>
  <c r="G138" i="5"/>
  <c r="G48" i="5"/>
  <c r="G55" i="5"/>
  <c r="G61" i="12"/>
  <c r="G62" i="12" a="1"/>
  <c r="G93" i="5" l="1"/>
  <c r="G117" i="5"/>
  <c r="G73" i="5"/>
  <c r="G85" i="5"/>
  <c r="G150" i="5"/>
  <c r="G128" i="5"/>
  <c r="G72" i="5"/>
  <c r="G56" i="5"/>
  <c r="G84" i="5"/>
  <c r="G172" i="5"/>
  <c r="G62" i="12"/>
  <c r="G57" i="5" l="1"/>
  <c r="G89" i="5"/>
  <c r="G99" i="5"/>
  <c r="G35" i="5"/>
  <c r="G88" i="5"/>
  <c r="G16" i="5"/>
  <c r="G170" i="5"/>
  <c r="J620" i="13" l="1"/>
  <c r="J343" i="13"/>
  <c r="J87" i="13"/>
  <c r="K372" i="13"/>
  <c r="K1368" i="13"/>
  <c r="K1083" i="13"/>
  <c r="K891" i="13"/>
  <c r="K758" i="13"/>
  <c r="K500" i="13"/>
  <c r="K347" i="13"/>
  <c r="K117" i="13"/>
  <c r="K1309" i="13"/>
  <c r="K895" i="13"/>
  <c r="K539" i="13"/>
  <c r="K1373" i="13"/>
  <c r="K1276" i="13"/>
  <c r="K1215" i="13"/>
  <c r="K1043" i="13"/>
  <c r="K951" i="13"/>
  <c r="K897" i="13"/>
  <c r="K767" i="13"/>
  <c r="K592" i="13"/>
  <c r="K473" i="13"/>
  <c r="K322" i="13"/>
  <c r="K246" i="13"/>
  <c r="K192" i="13"/>
  <c r="K16" i="13"/>
  <c r="K1230" i="13"/>
  <c r="K1037" i="13"/>
  <c r="K770" i="13"/>
  <c r="K613" i="13"/>
  <c r="K434" i="13"/>
  <c r="K262" i="13"/>
  <c r="K15" i="13"/>
  <c r="K1249" i="13"/>
  <c r="K1075" i="13"/>
  <c r="K685" i="13"/>
  <c r="K306" i="13"/>
  <c r="K1394" i="13"/>
  <c r="K1288" i="13"/>
  <c r="K1061" i="13"/>
  <c r="K914" i="13"/>
  <c r="K840" i="13"/>
  <c r="K749" i="13"/>
  <c r="K572" i="13"/>
  <c r="K427" i="13"/>
  <c r="K303" i="13"/>
  <c r="K140" i="13"/>
  <c r="K36" i="13"/>
  <c r="K975" i="13"/>
  <c r="K596" i="13"/>
  <c r="K1444" i="13"/>
  <c r="K1291" i="13"/>
  <c r="K1253" i="13"/>
  <c r="K1165" i="13"/>
  <c r="K983" i="13"/>
  <c r="K896" i="13"/>
  <c r="K764" i="13"/>
  <c r="K615" i="13"/>
  <c r="K509" i="13"/>
  <c r="K373" i="13"/>
  <c r="J988" i="13"/>
  <c r="J254" i="13"/>
  <c r="J1407" i="13"/>
  <c r="K254" i="13"/>
  <c r="J1262" i="13"/>
  <c r="J989" i="13"/>
  <c r="J823" i="13"/>
  <c r="J634" i="13"/>
  <c r="J398" i="13"/>
  <c r="J243" i="13"/>
  <c r="J51" i="13"/>
  <c r="J1218" i="13"/>
  <c r="J772" i="13"/>
  <c r="J18" i="13"/>
  <c r="J1304" i="13"/>
  <c r="J1254" i="13"/>
  <c r="J1172" i="13"/>
  <c r="J985" i="13"/>
  <c r="J923" i="13"/>
  <c r="J855" i="13"/>
  <c r="J650" i="13"/>
  <c r="J538" i="13"/>
  <c r="J413" i="13"/>
  <c r="J283" i="13"/>
  <c r="J232" i="13"/>
  <c r="J132" i="13"/>
  <c r="J1321" i="13"/>
  <c r="J1143" i="13"/>
  <c r="J977" i="13"/>
  <c r="J690" i="13"/>
  <c r="J517" i="13"/>
  <c r="J381" i="13"/>
  <c r="J97" i="13"/>
  <c r="J1364" i="13"/>
  <c r="J1123" i="13"/>
  <c r="J868" i="13"/>
  <c r="J488" i="13"/>
  <c r="J23" i="13"/>
  <c r="J1360" i="13"/>
  <c r="J1199" i="13"/>
  <c r="J1011" i="13"/>
  <c r="J861" i="13"/>
  <c r="J801" i="13"/>
  <c r="J688" i="13"/>
  <c r="J496" i="13"/>
  <c r="J376" i="13"/>
  <c r="J224" i="13"/>
  <c r="J90" i="13"/>
  <c r="J1273" i="13"/>
  <c r="J795" i="13"/>
  <c r="J222" i="13"/>
  <c r="J1365" i="13"/>
  <c r="J1275" i="13"/>
  <c r="J1214" i="13"/>
  <c r="J1041" i="13"/>
  <c r="J922" i="13"/>
  <c r="J845" i="13"/>
  <c r="J646" i="13"/>
  <c r="J564" i="13"/>
  <c r="J446" i="13"/>
  <c r="J300" i="13"/>
  <c r="J230" i="13"/>
  <c r="J131" i="13"/>
  <c r="J1349" i="13"/>
  <c r="J1173" i="13"/>
  <c r="J1002" i="13"/>
  <c r="J757" i="13"/>
  <c r="J611" i="13"/>
  <c r="J426" i="13"/>
  <c r="J213" i="13"/>
  <c r="J1390" i="13"/>
  <c r="J1134" i="13"/>
  <c r="J910" i="13"/>
  <c r="J526" i="13"/>
  <c r="J161" i="13"/>
  <c r="J1404" i="13"/>
  <c r="J1223" i="13"/>
  <c r="J1082" i="13"/>
  <c r="J953" i="13"/>
  <c r="J817" i="13"/>
  <c r="J633" i="13"/>
  <c r="J579" i="13"/>
  <c r="J454" i="13"/>
  <c r="J259" i="13"/>
  <c r="J112" i="13"/>
  <c r="J869" i="13"/>
  <c r="J188" i="13"/>
  <c r="J784" i="13"/>
  <c r="K136" i="13"/>
  <c r="K1262" i="13"/>
  <c r="K989" i="13"/>
  <c r="K823" i="13"/>
  <c r="K634" i="13"/>
  <c r="K398" i="13"/>
  <c r="K243" i="13"/>
  <c r="K51" i="13"/>
  <c r="K1218" i="13"/>
  <c r="K772" i="13"/>
  <c r="K18" i="13"/>
  <c r="K1304" i="13"/>
  <c r="K1254" i="13"/>
  <c r="K1172" i="13"/>
  <c r="K985" i="13"/>
  <c r="K923" i="13"/>
  <c r="K855" i="13"/>
  <c r="K650" i="13"/>
  <c r="K538" i="13"/>
  <c r="K413" i="13"/>
  <c r="K283" i="13"/>
  <c r="K232" i="13"/>
  <c r="K132" i="13"/>
  <c r="K1321" i="13"/>
  <c r="K1143" i="13"/>
  <c r="K977" i="13"/>
  <c r="K690" i="13"/>
  <c r="K517" i="13"/>
  <c r="K381" i="13"/>
  <c r="K97" i="13"/>
  <c r="K1364" i="13"/>
  <c r="K1123" i="13"/>
  <c r="K868" i="13"/>
  <c r="K488" i="13"/>
  <c r="K23" i="13"/>
  <c r="K1360" i="13"/>
  <c r="K1199" i="13"/>
  <c r="K1011" i="13"/>
  <c r="K861" i="13"/>
  <c r="K801" i="13"/>
  <c r="K688" i="13"/>
  <c r="K496" i="13"/>
  <c r="K376" i="13"/>
  <c r="K224" i="13"/>
  <c r="K90" i="13"/>
  <c r="K1273" i="13"/>
  <c r="K795" i="13"/>
  <c r="K222" i="13"/>
  <c r="K1365" i="13"/>
  <c r="K1275" i="13"/>
  <c r="K1214" i="13"/>
  <c r="K1041" i="13"/>
  <c r="K922" i="13"/>
  <c r="K845" i="13"/>
  <c r="K646" i="13"/>
  <c r="K564" i="13"/>
  <c r="K446" i="13"/>
  <c r="K300" i="13"/>
  <c r="K230" i="13"/>
  <c r="K131" i="13"/>
  <c r="K1349" i="13"/>
  <c r="K1173" i="13"/>
  <c r="K1002" i="13"/>
  <c r="K757" i="13"/>
  <c r="K611" i="13"/>
  <c r="K426" i="13"/>
  <c r="K213" i="13"/>
  <c r="K1390" i="13"/>
  <c r="K1134" i="13"/>
  <c r="K910" i="13"/>
  <c r="K526" i="13"/>
  <c r="K161" i="13"/>
  <c r="K1404" i="13"/>
  <c r="K1223" i="13"/>
  <c r="K1082" i="13"/>
  <c r="K953" i="13"/>
  <c r="K817" i="13"/>
  <c r="K633" i="13"/>
  <c r="K579" i="13"/>
  <c r="K454" i="13"/>
  <c r="K259" i="13"/>
  <c r="K112" i="13"/>
  <c r="J372" i="13"/>
  <c r="J136" i="13"/>
  <c r="J664" i="13"/>
  <c r="J1368" i="13"/>
  <c r="J1083" i="13"/>
  <c r="J891" i="13"/>
  <c r="J758" i="13"/>
  <c r="J500" i="13"/>
  <c r="J347" i="13"/>
  <c r="J117" i="13"/>
  <c r="J1309" i="13"/>
  <c r="J895" i="13"/>
  <c r="J539" i="13"/>
  <c r="J1373" i="13"/>
  <c r="J1276" i="13"/>
  <c r="J1215" i="13"/>
  <c r="J1043" i="13"/>
  <c r="J951" i="13"/>
  <c r="J897" i="13"/>
  <c r="J767" i="13"/>
  <c r="J592" i="13"/>
  <c r="J473" i="13"/>
  <c r="J322" i="13"/>
  <c r="J246" i="13"/>
  <c r="J192" i="13"/>
  <c r="J16" i="13"/>
  <c r="J1230" i="13"/>
  <c r="J1037" i="13"/>
  <c r="J770" i="13"/>
  <c r="J613" i="13"/>
  <c r="J434" i="13"/>
  <c r="J262" i="13"/>
  <c r="J15" i="13"/>
  <c r="J1249" i="13"/>
  <c r="J1075" i="13"/>
  <c r="J685" i="13"/>
  <c r="J306" i="13"/>
  <c r="J1394" i="13"/>
  <c r="J1288" i="13"/>
  <c r="J1061" i="13"/>
  <c r="J914" i="13"/>
  <c r="J840" i="13"/>
  <c r="J749" i="13"/>
  <c r="J572" i="13"/>
  <c r="J427" i="13"/>
  <c r="J303" i="13"/>
  <c r="J140" i="13"/>
  <c r="J36" i="13"/>
  <c r="J975" i="13"/>
  <c r="J596" i="13"/>
  <c r="J1444" i="13"/>
  <c r="J1291" i="13"/>
  <c r="J1253" i="13"/>
  <c r="J1165" i="13"/>
  <c r="J983" i="13"/>
  <c r="J896" i="13"/>
  <c r="J764" i="13"/>
  <c r="J615" i="13"/>
  <c r="J509" i="13"/>
  <c r="J373" i="13"/>
  <c r="J253" i="13"/>
  <c r="J180" i="13"/>
  <c r="J35" i="13"/>
  <c r="J1272" i="13"/>
  <c r="J1104" i="13"/>
  <c r="J907" i="13"/>
  <c r="J687" i="13"/>
  <c r="J506" i="13"/>
  <c r="J302" i="13"/>
  <c r="J64" i="13"/>
  <c r="J1315" i="13"/>
  <c r="J1095" i="13"/>
  <c r="J733" i="13"/>
  <c r="J369" i="13"/>
  <c r="J20" i="13"/>
  <c r="J1293" i="13"/>
  <c r="J1129" i="13"/>
  <c r="J1042" i="13"/>
  <c r="J903" i="13"/>
  <c r="J752" i="13"/>
  <c r="J612" i="13"/>
  <c r="J520" i="13"/>
  <c r="J318" i="13"/>
  <c r="J171" i="13"/>
  <c r="J10" i="13"/>
  <c r="K253" i="13"/>
  <c r="K1104" i="13"/>
  <c r="K302" i="13"/>
  <c r="K733" i="13"/>
  <c r="K1129" i="13"/>
  <c r="K612" i="13"/>
  <c r="K10" i="13"/>
  <c r="K1353" i="13"/>
  <c r="K1208" i="13"/>
  <c r="K1055" i="13"/>
  <c r="K981" i="13"/>
  <c r="K837" i="13"/>
  <c r="K747" i="13"/>
  <c r="K586" i="13"/>
  <c r="K451" i="13"/>
  <c r="K328" i="13"/>
  <c r="K191" i="13"/>
  <c r="K46" i="13"/>
  <c r="K1334" i="13"/>
  <c r="K1168" i="13"/>
  <c r="K968" i="13"/>
  <c r="K786" i="13"/>
  <c r="K630" i="13"/>
  <c r="K514" i="13"/>
  <c r="K359" i="13"/>
  <c r="K146" i="13"/>
  <c r="K3" i="13"/>
  <c r="K1086" i="13"/>
  <c r="K737" i="13"/>
  <c r="K468" i="13"/>
  <c r="K219" i="13"/>
  <c r="K143" i="13"/>
  <c r="K50" i="13"/>
  <c r="K1399" i="13"/>
  <c r="K1335" i="13"/>
  <c r="K1217" i="13"/>
  <c r="K1160" i="13"/>
  <c r="K1115" i="13"/>
  <c r="K1038" i="13"/>
  <c r="K944" i="13"/>
  <c r="K844" i="13"/>
  <c r="K779" i="13"/>
  <c r="K704" i="13"/>
  <c r="K656" i="13"/>
  <c r="K540" i="13"/>
  <c r="K456" i="13"/>
  <c r="K355" i="13"/>
  <c r="K268" i="13"/>
  <c r="K170" i="13"/>
  <c r="K67" i="13"/>
  <c r="K1442" i="13"/>
  <c r="K1369" i="13"/>
  <c r="K1236" i="13"/>
  <c r="K1151" i="13"/>
  <c r="K1080" i="13"/>
  <c r="K1380" i="13"/>
  <c r="K1140" i="13"/>
  <c r="K863" i="13"/>
  <c r="K697" i="13"/>
  <c r="K428" i="13"/>
  <c r="K200" i="13"/>
  <c r="K77" i="13"/>
  <c r="K1108" i="13"/>
  <c r="K652" i="13"/>
  <c r="K1432" i="13"/>
  <c r="K1292" i="13"/>
  <c r="K1242" i="13"/>
  <c r="K1112" i="13"/>
  <c r="K973" i="13"/>
  <c r="K879" i="13"/>
  <c r="K721" i="13"/>
  <c r="K569" i="13"/>
  <c r="K450" i="13"/>
  <c r="K305" i="13"/>
  <c r="K221" i="13"/>
  <c r="K107" i="13"/>
  <c r="K1409" i="13"/>
  <c r="K1183" i="13"/>
  <c r="K1003" i="13"/>
  <c r="K706" i="13"/>
  <c r="K541" i="13"/>
  <c r="K321" i="13"/>
  <c r="K70" i="13"/>
  <c r="K1343" i="13"/>
  <c r="K1097" i="13"/>
  <c r="K180" i="13"/>
  <c r="K907" i="13"/>
  <c r="K64" i="13"/>
  <c r="K369" i="13"/>
  <c r="K1042" i="13"/>
  <c r="K520" i="13"/>
  <c r="J1413" i="13"/>
  <c r="J1258" i="13"/>
  <c r="J1102" i="13"/>
  <c r="J1008" i="13"/>
  <c r="J913" i="13"/>
  <c r="J810" i="13"/>
  <c r="J661" i="13"/>
  <c r="J512" i="13"/>
  <c r="J384" i="13"/>
  <c r="J279" i="13"/>
  <c r="J134" i="13"/>
  <c r="J1408" i="13"/>
  <c r="J1284" i="13"/>
  <c r="J1100" i="13"/>
  <c r="J873" i="13"/>
  <c r="J693" i="13"/>
  <c r="J565" i="13"/>
  <c r="J425" i="13"/>
  <c r="J244" i="13"/>
  <c r="J78" i="13"/>
  <c r="J1341" i="13"/>
  <c r="K35" i="13"/>
  <c r="K687" i="13"/>
  <c r="K1315" i="13"/>
  <c r="K20" i="13"/>
  <c r="K903" i="13"/>
  <c r="K318" i="13"/>
  <c r="K1413" i="13"/>
  <c r="K1258" i="13"/>
  <c r="K1102" i="13"/>
  <c r="K1008" i="13"/>
  <c r="K913" i="13"/>
  <c r="K810" i="13"/>
  <c r="K661" i="13"/>
  <c r="K512" i="13"/>
  <c r="K384" i="13"/>
  <c r="K279" i="13"/>
  <c r="K134" i="13"/>
  <c r="K1408" i="13"/>
  <c r="K1284" i="13"/>
  <c r="K1100" i="13"/>
  <c r="K873" i="13"/>
  <c r="K693" i="13"/>
  <c r="K565" i="13"/>
  <c r="K425" i="13"/>
  <c r="K244" i="13"/>
  <c r="K78" i="13"/>
  <c r="K1341" i="13"/>
  <c r="K904" i="13"/>
  <c r="K619" i="13"/>
  <c r="K346" i="13"/>
  <c r="K194" i="13"/>
  <c r="K68" i="13"/>
  <c r="K1448" i="13"/>
  <c r="K1363" i="13"/>
  <c r="K1294" i="13"/>
  <c r="K1198" i="13"/>
  <c r="K1145" i="13"/>
  <c r="K1078" i="13"/>
  <c r="K1012" i="13"/>
  <c r="K886" i="13"/>
  <c r="K805" i="13"/>
  <c r="K728" i="13"/>
  <c r="K673" i="13"/>
  <c r="K581" i="13"/>
  <c r="K486" i="13"/>
  <c r="K417" i="13"/>
  <c r="K330" i="13"/>
  <c r="K216" i="13"/>
  <c r="K149" i="13"/>
  <c r="K30" i="13"/>
  <c r="K1395" i="13"/>
  <c r="K1320" i="13"/>
  <c r="K1170" i="13"/>
  <c r="K1131" i="13"/>
  <c r="K1045" i="13"/>
  <c r="K1272" i="13"/>
  <c r="K506" i="13"/>
  <c r="K1095" i="13"/>
  <c r="K1293" i="13"/>
  <c r="K752" i="13"/>
  <c r="K171" i="13"/>
  <c r="J1353" i="13"/>
  <c r="J1208" i="13"/>
  <c r="J1055" i="13"/>
  <c r="J981" i="13"/>
  <c r="J837" i="13"/>
  <c r="J747" i="13"/>
  <c r="J586" i="13"/>
  <c r="J451" i="13"/>
  <c r="J328" i="13"/>
  <c r="J191" i="13"/>
  <c r="J46" i="13"/>
  <c r="J1334" i="13"/>
  <c r="J1168" i="13"/>
  <c r="J968" i="13"/>
  <c r="J786" i="13"/>
  <c r="J630" i="13"/>
  <c r="J3" i="13"/>
  <c r="J619" i="13"/>
  <c r="J194" i="13"/>
  <c r="J1448" i="13"/>
  <c r="J1294" i="13"/>
  <c r="J1145" i="13"/>
  <c r="J1012" i="13"/>
  <c r="J805" i="13"/>
  <c r="J673" i="13"/>
  <c r="J486" i="13"/>
  <c r="J330" i="13"/>
  <c r="J149" i="13"/>
  <c r="J1395" i="13"/>
  <c r="J1170" i="13"/>
  <c r="J1045" i="13"/>
  <c r="J1140" i="13"/>
  <c r="J782" i="13"/>
  <c r="K544" i="13"/>
  <c r="J200" i="13"/>
  <c r="J1397" i="13"/>
  <c r="K812" i="13"/>
  <c r="J1432" i="13"/>
  <c r="J1267" i="13"/>
  <c r="K1190" i="13"/>
  <c r="J973" i="13"/>
  <c r="J813" i="13"/>
  <c r="K640" i="13"/>
  <c r="J450" i="13"/>
  <c r="J261" i="13"/>
  <c r="K164" i="13"/>
  <c r="J1409" i="13"/>
  <c r="J1110" i="13"/>
  <c r="K828" i="13"/>
  <c r="J541" i="13"/>
  <c r="J228" i="13"/>
  <c r="K1415" i="13"/>
  <c r="J1097" i="13"/>
  <c r="K744" i="13"/>
  <c r="K390" i="13"/>
  <c r="K74" i="13"/>
  <c r="K1378" i="13"/>
  <c r="K1250" i="13"/>
  <c r="K1044" i="13"/>
  <c r="K890" i="13"/>
  <c r="K781" i="13"/>
  <c r="K627" i="13"/>
  <c r="K444" i="13"/>
  <c r="K345" i="13"/>
  <c r="K173" i="13"/>
  <c r="K73" i="13"/>
  <c r="K1171" i="13"/>
  <c r="K763" i="13"/>
  <c r="K83" i="13"/>
  <c r="K1319" i="13"/>
  <c r="K1266" i="13"/>
  <c r="K1188" i="13"/>
  <c r="K1004" i="13"/>
  <c r="K945" i="13"/>
  <c r="K871" i="13"/>
  <c r="K717" i="13"/>
  <c r="K537" i="13"/>
  <c r="K410" i="13"/>
  <c r="K273" i="13"/>
  <c r="K212" i="13"/>
  <c r="K99" i="13"/>
  <c r="K1313" i="13"/>
  <c r="K1127" i="13"/>
  <c r="K807" i="13"/>
  <c r="K654" i="13"/>
  <c r="K452" i="13"/>
  <c r="K258" i="13"/>
  <c r="K12" i="13"/>
  <c r="K1226" i="13"/>
  <c r="K1059" i="13"/>
  <c r="K684" i="13"/>
  <c r="K297" i="13"/>
  <c r="K1430" i="13"/>
  <c r="K1245" i="13"/>
  <c r="K1118" i="13"/>
  <c r="K1006" i="13"/>
  <c r="K854" i="13"/>
  <c r="K713" i="13"/>
  <c r="K599" i="13"/>
  <c r="K485" i="13"/>
  <c r="K307" i="13"/>
  <c r="K129" i="13"/>
  <c r="K1447" i="13"/>
  <c r="K1330" i="13"/>
  <c r="K1174" i="13"/>
  <c r="K1021" i="13"/>
  <c r="K941" i="13"/>
  <c r="K798" i="13"/>
  <c r="K632" i="13"/>
  <c r="K484" i="13"/>
  <c r="K349" i="13"/>
  <c r="K251" i="13"/>
  <c r="K75" i="13"/>
  <c r="K1391" i="13"/>
  <c r="K1229" i="13"/>
  <c r="K1058" i="13"/>
  <c r="K832" i="13"/>
  <c r="K667" i="13"/>
  <c r="K522" i="13"/>
  <c r="K396" i="13"/>
  <c r="K208" i="13"/>
  <c r="K57" i="13"/>
  <c r="K1222" i="13"/>
  <c r="K831" i="13"/>
  <c r="K631" i="13"/>
  <c r="K395" i="13"/>
  <c r="K1205" i="13"/>
  <c r="K1388" i="13"/>
  <c r="K1351" i="13"/>
  <c r="K1285" i="13"/>
  <c r="K1176" i="13"/>
  <c r="K1331" i="13"/>
  <c r="K1048" i="13"/>
  <c r="K849" i="13"/>
  <c r="K722" i="13"/>
  <c r="K458" i="13"/>
  <c r="K282" i="13"/>
  <c r="K331" i="13"/>
  <c r="K1386" i="13"/>
  <c r="K1340" i="13"/>
  <c r="K1263" i="13"/>
  <c r="K1167" i="13"/>
  <c r="K1053" i="13"/>
  <c r="K998" i="13"/>
  <c r="K901" i="13"/>
  <c r="K857" i="13"/>
  <c r="K816" i="13"/>
  <c r="K766" i="13"/>
  <c r="J514" i="13"/>
  <c r="J1086" i="13"/>
  <c r="J468" i="13"/>
  <c r="J143" i="13"/>
  <c r="J1399" i="13"/>
  <c r="J1217" i="13"/>
  <c r="J1115" i="13"/>
  <c r="J944" i="13"/>
  <c r="J779" i="13"/>
  <c r="J656" i="13"/>
  <c r="J456" i="13"/>
  <c r="J268" i="13"/>
  <c r="J67" i="13"/>
  <c r="J1369" i="13"/>
  <c r="J1151" i="13"/>
  <c r="J1380" i="13"/>
  <c r="J1027" i="13"/>
  <c r="K782" i="13"/>
  <c r="J428" i="13"/>
  <c r="J98" i="13"/>
  <c r="K1397" i="13"/>
  <c r="J652" i="13"/>
  <c r="J1347" i="13"/>
  <c r="K1267" i="13"/>
  <c r="J1112" i="13"/>
  <c r="J908" i="13"/>
  <c r="K813" i="13"/>
  <c r="J569" i="13"/>
  <c r="J374" i="13"/>
  <c r="K261" i="13"/>
  <c r="J107" i="13"/>
  <c r="J1280" i="13"/>
  <c r="K1110" i="13"/>
  <c r="J706" i="13"/>
  <c r="J467" i="13"/>
  <c r="K228" i="13"/>
  <c r="J1343" i="13"/>
  <c r="J943" i="13"/>
  <c r="J587" i="13"/>
  <c r="J195" i="13"/>
  <c r="J1436" i="13"/>
  <c r="J1326" i="13"/>
  <c r="J1136" i="13"/>
  <c r="J971" i="13"/>
  <c r="J822" i="13"/>
  <c r="J712" i="13"/>
  <c r="J521" i="13"/>
  <c r="J397" i="13"/>
  <c r="J274" i="13"/>
  <c r="J116" i="13"/>
  <c r="J1329" i="13"/>
  <c r="J887" i="13"/>
  <c r="J532" i="13"/>
  <c r="J1429" i="13"/>
  <c r="J1303" i="13"/>
  <c r="J1241" i="13"/>
  <c r="J1069" i="13"/>
  <c r="J972" i="13"/>
  <c r="J906" i="13"/>
  <c r="J806" i="13"/>
  <c r="J591" i="13"/>
  <c r="J472" i="13"/>
  <c r="J320" i="13"/>
  <c r="J241" i="13"/>
  <c r="J160" i="13"/>
  <c r="J1428" i="13"/>
  <c r="J1221" i="13"/>
  <c r="J1035" i="13"/>
  <c r="J705" i="13"/>
  <c r="J536" i="13"/>
  <c r="J350" i="13"/>
  <c r="J93" i="13"/>
  <c r="J1359" i="13"/>
  <c r="J1117" i="13"/>
  <c r="J829" i="13"/>
  <c r="J429" i="13"/>
  <c r="J61" i="13"/>
  <c r="J1354" i="13"/>
  <c r="J1184" i="13"/>
  <c r="J1065" i="13"/>
  <c r="J936" i="13"/>
  <c r="J777" i="13"/>
  <c r="J668" i="13"/>
  <c r="J551" i="13"/>
  <c r="J393" i="13"/>
  <c r="J204" i="13"/>
  <c r="J76" i="13"/>
  <c r="J1384" i="13"/>
  <c r="J1220" i="13"/>
  <c r="J1074" i="13"/>
  <c r="J994" i="13"/>
  <c r="J864" i="13"/>
  <c r="J734" i="13"/>
  <c r="J554" i="13"/>
  <c r="J400" i="13"/>
  <c r="J301" i="13"/>
  <c r="J179" i="13"/>
  <c r="J1445" i="13"/>
  <c r="J1310" i="13"/>
  <c r="J1144" i="13"/>
  <c r="J949" i="13"/>
  <c r="J753" i="13"/>
  <c r="J577" i="13"/>
  <c r="J483" i="13"/>
  <c r="J275" i="13"/>
  <c r="J118" i="13"/>
  <c r="J1411" i="13"/>
  <c r="J959" i="13"/>
  <c r="J677" i="13"/>
  <c r="J545" i="13"/>
  <c r="J276" i="13"/>
  <c r="J1439" i="13"/>
  <c r="J1371" i="13"/>
  <c r="J1301" i="13"/>
  <c r="J1246" i="13"/>
  <c r="J1405" i="13"/>
  <c r="J1224" i="13"/>
  <c r="J926" i="13"/>
  <c r="J802" i="13"/>
  <c r="J606" i="13"/>
  <c r="J377" i="13"/>
  <c r="J159" i="13"/>
  <c r="J1420" i="13"/>
  <c r="J1370" i="13"/>
  <c r="J1299" i="13"/>
  <c r="J1239" i="13"/>
  <c r="J1090" i="13"/>
  <c r="J1030" i="13"/>
  <c r="J948" i="13"/>
  <c r="J872" i="13"/>
  <c r="J825" i="13"/>
  <c r="J783" i="13"/>
  <c r="J725" i="13"/>
  <c r="J642" i="13"/>
  <c r="J548" i="13"/>
  <c r="J459" i="13"/>
  <c r="J411" i="13"/>
  <c r="J356" i="13"/>
  <c r="J286" i="13"/>
  <c r="J202" i="13"/>
  <c r="J126" i="13"/>
  <c r="J79" i="13"/>
  <c r="J6" i="13"/>
  <c r="J1228" i="13"/>
  <c r="J927" i="13"/>
  <c r="J789" i="13"/>
  <c r="J543" i="13"/>
  <c r="J96" i="13"/>
  <c r="J1435" i="13"/>
  <c r="J1348" i="13"/>
  <c r="J1296" i="13"/>
  <c r="J1265" i="13"/>
  <c r="J1243" i="13"/>
  <c r="J1192" i="13"/>
  <c r="J1121" i="13"/>
  <c r="J1025" i="13"/>
  <c r="J976" i="13"/>
  <c r="J939" i="13"/>
  <c r="J900" i="13"/>
  <c r="J856" i="13"/>
  <c r="J793" i="13"/>
  <c r="J694" i="13"/>
  <c r="J600" i="13"/>
  <c r="J550" i="13"/>
  <c r="J495" i="13"/>
  <c r="J430" i="13"/>
  <c r="J329" i="13"/>
  <c r="J285" i="13"/>
  <c r="J247" i="13"/>
  <c r="J223" i="13"/>
  <c r="J359" i="13"/>
  <c r="J904" i="13"/>
  <c r="J346" i="13"/>
  <c r="J68" i="13"/>
  <c r="J1363" i="13"/>
  <c r="J1198" i="13"/>
  <c r="J1078" i="13"/>
  <c r="J886" i="13"/>
  <c r="J728" i="13"/>
  <c r="J581" i="13"/>
  <c r="J417" i="13"/>
  <c r="J216" i="13"/>
  <c r="J30" i="13"/>
  <c r="J1320" i="13"/>
  <c r="J1131" i="13"/>
  <c r="J1289" i="13"/>
  <c r="K1027" i="13"/>
  <c r="J697" i="13"/>
  <c r="J310" i="13"/>
  <c r="K98" i="13"/>
  <c r="J1108" i="13"/>
  <c r="J92" i="13"/>
  <c r="K1347" i="13"/>
  <c r="J1242" i="13"/>
  <c r="J1017" i="13"/>
  <c r="K908" i="13"/>
  <c r="J721" i="13"/>
  <c r="J525" i="13"/>
  <c r="K374" i="13"/>
  <c r="J221" i="13"/>
  <c r="J69" i="13"/>
  <c r="K1280" i="13"/>
  <c r="J1003" i="13"/>
  <c r="J672" i="13"/>
  <c r="K467" i="13"/>
  <c r="J70" i="13"/>
  <c r="J1175" i="13"/>
  <c r="K943" i="13"/>
  <c r="K587" i="13"/>
  <c r="K195" i="13"/>
  <c r="K1436" i="13"/>
  <c r="K1326" i="13"/>
  <c r="K1136" i="13"/>
  <c r="K971" i="13"/>
  <c r="K822" i="13"/>
  <c r="K712" i="13"/>
  <c r="K521" i="13"/>
  <c r="K397" i="13"/>
  <c r="K274" i="13"/>
  <c r="K116" i="13"/>
  <c r="K1329" i="13"/>
  <c r="K887" i="13"/>
  <c r="K532" i="13"/>
  <c r="K1429" i="13"/>
  <c r="K1303" i="13"/>
  <c r="K1241" i="13"/>
  <c r="K1069" i="13"/>
  <c r="K972" i="13"/>
  <c r="K906" i="13"/>
  <c r="K806" i="13"/>
  <c r="K591" i="13"/>
  <c r="K472" i="13"/>
  <c r="K320" i="13"/>
  <c r="K241" i="13"/>
  <c r="K160" i="13"/>
  <c r="K1428" i="13"/>
  <c r="K1221" i="13"/>
  <c r="K1035" i="13"/>
  <c r="K705" i="13"/>
  <c r="K536" i="13"/>
  <c r="K350" i="13"/>
  <c r="K93" i="13"/>
  <c r="K1359" i="13"/>
  <c r="K1117" i="13"/>
  <c r="K829" i="13"/>
  <c r="K429" i="13"/>
  <c r="K61" i="13"/>
  <c r="K1354" i="13"/>
  <c r="K1184" i="13"/>
  <c r="K1065" i="13"/>
  <c r="K936" i="13"/>
  <c r="K777" i="13"/>
  <c r="K668" i="13"/>
  <c r="K551" i="13"/>
  <c r="K393" i="13"/>
  <c r="K204" i="13"/>
  <c r="K76" i="13"/>
  <c r="K1384" i="13"/>
  <c r="K1220" i="13"/>
  <c r="K1074" i="13"/>
  <c r="K994" i="13"/>
  <c r="K864" i="13"/>
  <c r="K734" i="13"/>
  <c r="K554" i="13"/>
  <c r="K400" i="13"/>
  <c r="K301" i="13"/>
  <c r="K179" i="13"/>
  <c r="K1445" i="13"/>
  <c r="K1310" i="13"/>
  <c r="K1144" i="13"/>
  <c r="K949" i="13"/>
  <c r="K753" i="13"/>
  <c r="K577" i="13"/>
  <c r="K483" i="13"/>
  <c r="K275" i="13"/>
  <c r="K118" i="13"/>
  <c r="K1411" i="13"/>
  <c r="K959" i="13"/>
  <c r="K677" i="13"/>
  <c r="K545" i="13"/>
  <c r="K276" i="13"/>
  <c r="K1439" i="13"/>
  <c r="K1371" i="13"/>
  <c r="K1301" i="13"/>
  <c r="K1246" i="13"/>
  <c r="K1405" i="13"/>
  <c r="K1224" i="13"/>
  <c r="K926" i="13"/>
  <c r="K802" i="13"/>
  <c r="K606" i="13"/>
  <c r="K377" i="13"/>
  <c r="K159" i="13"/>
  <c r="K1420" i="13"/>
  <c r="K1370" i="13"/>
  <c r="K1299" i="13"/>
  <c r="K1239" i="13"/>
  <c r="K1090" i="13"/>
  <c r="K1030" i="13"/>
  <c r="K948" i="13"/>
  <c r="K872" i="13"/>
  <c r="K825" i="13"/>
  <c r="K783" i="13"/>
  <c r="K725" i="13"/>
  <c r="K642" i="13"/>
  <c r="K548" i="13"/>
  <c r="K459" i="13"/>
  <c r="K411" i="13"/>
  <c r="K356" i="13"/>
  <c r="K286" i="13"/>
  <c r="K202" i="13"/>
  <c r="K126" i="13"/>
  <c r="K79" i="13"/>
  <c r="K6" i="13"/>
  <c r="K1228" i="13"/>
  <c r="K927" i="13"/>
  <c r="K789" i="13"/>
  <c r="K543" i="13"/>
  <c r="K96" i="13"/>
  <c r="K1435" i="13"/>
  <c r="K1348" i="13"/>
  <c r="K1296" i="13"/>
  <c r="K1265" i="13"/>
  <c r="K1243" i="13"/>
  <c r="K1192" i="13"/>
  <c r="K1121" i="13"/>
  <c r="K1025" i="13"/>
  <c r="K976" i="13"/>
  <c r="K939" i="13"/>
  <c r="K900" i="13"/>
  <c r="K856" i="13"/>
  <c r="K793" i="13"/>
  <c r="K694" i="13"/>
  <c r="K600" i="13"/>
  <c r="K550" i="13"/>
  <c r="K495" i="13"/>
  <c r="K430" i="13"/>
  <c r="K329" i="13"/>
  <c r="K285" i="13"/>
  <c r="K247" i="13"/>
  <c r="K223" i="13"/>
  <c r="J146" i="13"/>
  <c r="J1335" i="13"/>
  <c r="J704" i="13"/>
  <c r="J1442" i="13"/>
  <c r="J863" i="13"/>
  <c r="J812" i="13"/>
  <c r="K1017" i="13"/>
  <c r="J305" i="13"/>
  <c r="J828" i="13"/>
  <c r="K1175" i="13"/>
  <c r="J1378" i="13"/>
  <c r="J781" i="13"/>
  <c r="J173" i="13"/>
  <c r="J83" i="13"/>
  <c r="J1004" i="13"/>
  <c r="J537" i="13"/>
  <c r="J99" i="13"/>
  <c r="J654" i="13"/>
  <c r="J1226" i="13"/>
  <c r="J1430" i="13"/>
  <c r="J854" i="13"/>
  <c r="J307" i="13"/>
  <c r="J1174" i="13"/>
  <c r="J632" i="13"/>
  <c r="J75" i="13"/>
  <c r="J832" i="13"/>
  <c r="J208" i="13"/>
  <c r="J631" i="13"/>
  <c r="J1351" i="13"/>
  <c r="J1048" i="13"/>
  <c r="J282" i="13"/>
  <c r="J1263" i="13"/>
  <c r="J901" i="13"/>
  <c r="J698" i="13"/>
  <c r="J501" i="13"/>
  <c r="J380" i="13"/>
  <c r="J245" i="13"/>
  <c r="J109" i="13"/>
  <c r="J1314" i="13"/>
  <c r="J843" i="13"/>
  <c r="J344" i="13"/>
  <c r="J1376" i="13"/>
  <c r="J1277" i="13"/>
  <c r="J1227" i="13"/>
  <c r="J1052" i="13"/>
  <c r="J964" i="13"/>
  <c r="J885" i="13"/>
  <c r="J732" i="13"/>
  <c r="J576" i="13"/>
  <c r="J457" i="13"/>
  <c r="J309" i="13"/>
  <c r="J235" i="13"/>
  <c r="J165" i="13"/>
  <c r="J106" i="13"/>
  <c r="J17" i="13"/>
  <c r="J1323" i="13"/>
  <c r="J1233" i="13"/>
  <c r="J1159" i="13"/>
  <c r="J1067" i="13"/>
  <c r="J990" i="13"/>
  <c r="J794" i="13"/>
  <c r="J696" i="13"/>
  <c r="J621" i="13"/>
  <c r="J527" i="13"/>
  <c r="J437" i="13"/>
  <c r="J327" i="13"/>
  <c r="J231" i="13"/>
  <c r="J89" i="13"/>
  <c r="J1443" i="13"/>
  <c r="J1345" i="13"/>
  <c r="J1193" i="13"/>
  <c r="J1098" i="13"/>
  <c r="J954" i="13"/>
  <c r="J756" i="13"/>
  <c r="J597" i="13"/>
  <c r="J402" i="13"/>
  <c r="J196" i="13"/>
  <c r="J24" i="13"/>
  <c r="J1414" i="13"/>
  <c r="J1318" i="13"/>
  <c r="J1232" i="13"/>
  <c r="J1137" i="13"/>
  <c r="J1091" i="13"/>
  <c r="J1054" i="13"/>
  <c r="J999" i="13"/>
  <c r="J924" i="13"/>
  <c r="J838" i="13"/>
  <c r="J769" i="13"/>
  <c r="J691" i="13"/>
  <c r="J618" i="13"/>
  <c r="J593" i="13"/>
  <c r="J547" i="13"/>
  <c r="J466" i="13"/>
  <c r="J388" i="13"/>
  <c r="J281" i="13"/>
  <c r="J175" i="13"/>
  <c r="J115" i="13"/>
  <c r="J62" i="13"/>
  <c r="J1423" i="13"/>
  <c r="J1381" i="13"/>
  <c r="J1283" i="13"/>
  <c r="J1210" i="13"/>
  <c r="J1153" i="13"/>
  <c r="J1064" i="13"/>
  <c r="J1018" i="13"/>
  <c r="J986" i="13"/>
  <c r="J919" i="13"/>
  <c r="J848" i="13"/>
  <c r="J808" i="13"/>
  <c r="J738" i="13"/>
  <c r="J639" i="13"/>
  <c r="J580" i="13"/>
  <c r="J498" i="13"/>
  <c r="J433" i="13"/>
  <c r="J365" i="13"/>
  <c r="J317" i="13"/>
  <c r="J260" i="13"/>
  <c r="J186" i="13"/>
  <c r="J111" i="13"/>
  <c r="J22" i="13"/>
  <c r="J1398" i="13"/>
  <c r="J1328" i="13"/>
  <c r="J1269" i="13"/>
  <c r="J1163" i="13"/>
  <c r="J1077" i="13"/>
  <c r="J965" i="13"/>
  <c r="J846" i="13"/>
  <c r="J768" i="13"/>
  <c r="J680" i="13"/>
  <c r="J595" i="13"/>
  <c r="J556" i="13"/>
  <c r="J494" i="13"/>
  <c r="J415" i="13"/>
  <c r="J323" i="13"/>
  <c r="J229" i="13"/>
  <c r="J124" i="13"/>
  <c r="J60" i="13"/>
  <c r="J1425" i="13"/>
  <c r="J1290" i="13"/>
  <c r="J978" i="13"/>
  <c r="J851" i="13"/>
  <c r="J920" i="13"/>
  <c r="J811" i="13"/>
  <c r="J718" i="13"/>
  <c r="J626" i="13"/>
  <c r="J542" i="13"/>
  <c r="J442" i="13"/>
  <c r="J414" i="13"/>
  <c r="K869" i="13"/>
  <c r="K1056" i="13"/>
  <c r="K1010" i="13"/>
  <c r="K902" i="13"/>
  <c r="K858" i="13"/>
  <c r="K815" i="13"/>
  <c r="K773" i="13"/>
  <c r="K711" i="13"/>
  <c r="K623" i="13"/>
  <c r="K502" i="13"/>
  <c r="K435" i="13"/>
  <c r="K387" i="13"/>
  <c r="K341" i="13"/>
  <c r="K264" i="13"/>
  <c r="K169" i="13"/>
  <c r="K114" i="13"/>
  <c r="K66" i="13"/>
  <c r="K1317" i="13"/>
  <c r="K1130" i="13"/>
  <c r="K880" i="13"/>
  <c r="K745" i="13"/>
  <c r="K386" i="13"/>
  <c r="J737" i="13"/>
  <c r="J1160" i="13"/>
  <c r="J540" i="13"/>
  <c r="J1236" i="13"/>
  <c r="J544" i="13"/>
  <c r="K92" i="13"/>
  <c r="J879" i="13"/>
  <c r="J164" i="13"/>
  <c r="K672" i="13"/>
  <c r="J744" i="13"/>
  <c r="J1250" i="13"/>
  <c r="J627" i="13"/>
  <c r="J73" i="13"/>
  <c r="J1319" i="13"/>
  <c r="J945" i="13"/>
  <c r="J410" i="13"/>
  <c r="J1313" i="13"/>
  <c r="J452" i="13"/>
  <c r="J1059" i="13"/>
  <c r="J1245" i="13"/>
  <c r="J713" i="13"/>
  <c r="J129" i="13"/>
  <c r="J1021" i="13"/>
  <c r="J484" i="13"/>
  <c r="J1391" i="13"/>
  <c r="J667" i="13"/>
  <c r="J57" i="13"/>
  <c r="J395" i="13"/>
  <c r="J1285" i="13"/>
  <c r="J849" i="13"/>
  <c r="J331" i="13"/>
  <c r="J1167" i="13"/>
  <c r="J857" i="13"/>
  <c r="K698" i="13"/>
  <c r="K501" i="13"/>
  <c r="K380" i="13"/>
  <c r="K245" i="13"/>
  <c r="K109" i="13"/>
  <c r="K1314" i="13"/>
  <c r="K843" i="13"/>
  <c r="K344" i="13"/>
  <c r="K1376" i="13"/>
  <c r="K1277" i="13"/>
  <c r="K1227" i="13"/>
  <c r="K1052" i="13"/>
  <c r="K964" i="13"/>
  <c r="K885" i="13"/>
  <c r="K732" i="13"/>
  <c r="K576" i="13"/>
  <c r="K457" i="13"/>
  <c r="K309" i="13"/>
  <c r="K235" i="13"/>
  <c r="K165" i="13"/>
  <c r="K106" i="13"/>
  <c r="K17" i="13"/>
  <c r="K1323" i="13"/>
  <c r="K1233" i="13"/>
  <c r="K1159" i="13"/>
  <c r="K1067" i="13"/>
  <c r="K990" i="13"/>
  <c r="K794" i="13"/>
  <c r="K696" i="13"/>
  <c r="K621" i="13"/>
  <c r="K527" i="13"/>
  <c r="K437" i="13"/>
  <c r="K327" i="13"/>
  <c r="K231" i="13"/>
  <c r="K89" i="13"/>
  <c r="K1443" i="13"/>
  <c r="K1345" i="13"/>
  <c r="K1193" i="13"/>
  <c r="K1098" i="13"/>
  <c r="K954" i="13"/>
  <c r="K756" i="13"/>
  <c r="K597" i="13"/>
  <c r="K402" i="13"/>
  <c r="K196" i="13"/>
  <c r="K24" i="13"/>
  <c r="K1414" i="13"/>
  <c r="K1318" i="13"/>
  <c r="K1232" i="13"/>
  <c r="K1137" i="13"/>
  <c r="K1091" i="13"/>
  <c r="K1054" i="13"/>
  <c r="K999" i="13"/>
  <c r="K924" i="13"/>
  <c r="K838" i="13"/>
  <c r="K769" i="13"/>
  <c r="K691" i="13"/>
  <c r="K618" i="13"/>
  <c r="K593" i="13"/>
  <c r="K547" i="13"/>
  <c r="K466" i="13"/>
  <c r="K388" i="13"/>
  <c r="K281" i="13"/>
  <c r="K175" i="13"/>
  <c r="K115" i="13"/>
  <c r="K62" i="13"/>
  <c r="K1423" i="13"/>
  <c r="K1381" i="13"/>
  <c r="K1283" i="13"/>
  <c r="K1210" i="13"/>
  <c r="K1153" i="13"/>
  <c r="K1064" i="13"/>
  <c r="K1018" i="13"/>
  <c r="K986" i="13"/>
  <c r="K919" i="13"/>
  <c r="K848" i="13"/>
  <c r="K808" i="13"/>
  <c r="K738" i="13"/>
  <c r="K639" i="13"/>
  <c r="K580" i="13"/>
  <c r="K498" i="13"/>
  <c r="K433" i="13"/>
  <c r="K365" i="13"/>
  <c r="K317" i="13"/>
  <c r="K260" i="13"/>
  <c r="K186" i="13"/>
  <c r="K111" i="13"/>
  <c r="K22" i="13"/>
  <c r="K1398" i="13"/>
  <c r="K1328" i="13"/>
  <c r="K1269" i="13"/>
  <c r="K1163" i="13"/>
  <c r="K1077" i="13"/>
  <c r="K965" i="13"/>
  <c r="K846" i="13"/>
  <c r="K768" i="13"/>
  <c r="K680" i="13"/>
  <c r="K595" i="13"/>
  <c r="K556" i="13"/>
  <c r="K494" i="13"/>
  <c r="K415" i="13"/>
  <c r="K323" i="13"/>
  <c r="K229" i="13"/>
  <c r="K124" i="13"/>
  <c r="K60" i="13"/>
  <c r="K1425" i="13"/>
  <c r="K1290" i="13"/>
  <c r="K978" i="13"/>
  <c r="K851" i="13"/>
  <c r="K920" i="13"/>
  <c r="K811" i="13"/>
  <c r="K718" i="13"/>
  <c r="K626" i="13"/>
  <c r="K542" i="13"/>
  <c r="K442" i="13"/>
  <c r="K414" i="13"/>
  <c r="J1116" i="13"/>
  <c r="J1036" i="13"/>
  <c r="J956" i="13"/>
  <c r="J883" i="13"/>
  <c r="J833" i="13"/>
  <c r="J796" i="13"/>
  <c r="J726" i="13"/>
  <c r="J678" i="13"/>
  <c r="J553" i="13"/>
  <c r="J479" i="13"/>
  <c r="J422" i="13"/>
  <c r="J360" i="13"/>
  <c r="J287" i="13"/>
  <c r="J209" i="13"/>
  <c r="J127" i="13"/>
  <c r="J84" i="13"/>
  <c r="J7" i="13"/>
  <c r="J1235" i="13"/>
  <c r="J974" i="13"/>
  <c r="J788" i="13"/>
  <c r="J578" i="13"/>
  <c r="J215" i="13"/>
  <c r="J219" i="13"/>
  <c r="J1038" i="13"/>
  <c r="J355" i="13"/>
  <c r="J1080" i="13"/>
  <c r="K310" i="13"/>
  <c r="J1292" i="13"/>
  <c r="J640" i="13"/>
  <c r="K69" i="13"/>
  <c r="J321" i="13"/>
  <c r="J390" i="13"/>
  <c r="J1044" i="13"/>
  <c r="J444" i="13"/>
  <c r="J1171" i="13"/>
  <c r="J1266" i="13"/>
  <c r="J871" i="13"/>
  <c r="J273" i="13"/>
  <c r="J1127" i="13"/>
  <c r="J258" i="13"/>
  <c r="J684" i="13"/>
  <c r="J1118" i="13"/>
  <c r="J599" i="13"/>
  <c r="J1447" i="13"/>
  <c r="J941" i="13"/>
  <c r="J349" i="13"/>
  <c r="J1229" i="13"/>
  <c r="J522" i="13"/>
  <c r="J1222" i="13"/>
  <c r="J1205" i="13"/>
  <c r="J1176" i="13"/>
  <c r="J722" i="13"/>
  <c r="J1386" i="13"/>
  <c r="J1053" i="13"/>
  <c r="J816" i="13"/>
  <c r="J609" i="13"/>
  <c r="J431" i="13"/>
  <c r="J325" i="13"/>
  <c r="J167" i="13"/>
  <c r="J63" i="13"/>
  <c r="J1122" i="13"/>
  <c r="J742" i="13"/>
  <c r="J38" i="13"/>
  <c r="J1305" i="13"/>
  <c r="J1257" i="13"/>
  <c r="J1178" i="13"/>
  <c r="J993" i="13"/>
  <c r="J911" i="13"/>
  <c r="J814" i="13"/>
  <c r="J643" i="13"/>
  <c r="J534" i="13"/>
  <c r="J383" i="13"/>
  <c r="J269" i="13"/>
  <c r="J203" i="13"/>
  <c r="J135" i="13"/>
  <c r="J86" i="13"/>
  <c r="J1416" i="13"/>
  <c r="J1286" i="13"/>
  <c r="J1185" i="13"/>
  <c r="J1111" i="13"/>
  <c r="J1020" i="13"/>
  <c r="J859" i="13"/>
  <c r="J709" i="13"/>
  <c r="J676" i="13"/>
  <c r="J567" i="13"/>
  <c r="J471" i="13"/>
  <c r="J394" i="13"/>
  <c r="J265" i="13"/>
  <c r="J152" i="13"/>
  <c r="J28" i="13"/>
  <c r="J1374" i="13"/>
  <c r="J1279" i="13"/>
  <c r="J1125" i="13"/>
  <c r="J1081" i="13"/>
  <c r="J893" i="13"/>
  <c r="J686" i="13"/>
  <c r="J505" i="13"/>
  <c r="J313" i="13"/>
  <c r="J155" i="13"/>
  <c r="J1440" i="13"/>
  <c r="J1366" i="13"/>
  <c r="J1274" i="13"/>
  <c r="J1212" i="13"/>
  <c r="J1120" i="13"/>
  <c r="J1072" i="13"/>
  <c r="J1016" i="13"/>
  <c r="J947" i="13"/>
  <c r="J878" i="13"/>
  <c r="J790" i="13"/>
  <c r="J715" i="13"/>
  <c r="J658" i="13"/>
  <c r="J605" i="13"/>
  <c r="J561" i="13"/>
  <c r="J492" i="13"/>
  <c r="J421" i="13"/>
  <c r="J315" i="13"/>
  <c r="J227" i="13"/>
  <c r="J137" i="13"/>
  <c r="J82" i="13"/>
  <c r="J5" i="13"/>
  <c r="J1401" i="13"/>
  <c r="J1338" i="13"/>
  <c r="J50" i="13"/>
  <c r="J844" i="13"/>
  <c r="J170" i="13"/>
  <c r="K1289" i="13"/>
  <c r="J77" i="13"/>
  <c r="J1190" i="13"/>
  <c r="K525" i="13"/>
  <c r="J1183" i="13"/>
  <c r="J1415" i="13"/>
  <c r="J74" i="13"/>
  <c r="J890" i="13"/>
  <c r="J345" i="13"/>
  <c r="J763" i="13"/>
  <c r="J1188" i="13"/>
  <c r="J717" i="13"/>
  <c r="J212" i="13"/>
  <c r="J807" i="13"/>
  <c r="J12" i="13"/>
  <c r="J297" i="13"/>
  <c r="J1006" i="13"/>
  <c r="J485" i="13"/>
  <c r="J1330" i="13"/>
  <c r="J798" i="13"/>
  <c r="J251" i="13"/>
  <c r="J1058" i="13"/>
  <c r="J396" i="13"/>
  <c r="J831" i="13"/>
  <c r="J1388" i="13"/>
  <c r="J1331" i="13"/>
  <c r="J458" i="13"/>
  <c r="J1340" i="13"/>
  <c r="J998" i="13"/>
  <c r="J766" i="13"/>
  <c r="K609" i="13"/>
  <c r="K431" i="13"/>
  <c r="K325" i="13"/>
  <c r="K167" i="13"/>
  <c r="K63" i="13"/>
  <c r="K1122" i="13"/>
  <c r="K742" i="13"/>
  <c r="K38" i="13"/>
  <c r="K1305" i="13"/>
  <c r="K1257" i="13"/>
  <c r="K1178" i="13"/>
  <c r="K993" i="13"/>
  <c r="K911" i="13"/>
  <c r="K814" i="13"/>
  <c r="K643" i="13"/>
  <c r="K534" i="13"/>
  <c r="K383" i="13"/>
  <c r="K269" i="13"/>
  <c r="K203" i="13"/>
  <c r="K135" i="13"/>
  <c r="K86" i="13"/>
  <c r="K1416" i="13"/>
  <c r="K1286" i="13"/>
  <c r="K1185" i="13"/>
  <c r="K1111" i="13"/>
  <c r="K1020" i="13"/>
  <c r="K859" i="13"/>
  <c r="K709" i="13"/>
  <c r="K676" i="13"/>
  <c r="K567" i="13"/>
  <c r="K471" i="13"/>
  <c r="K394" i="13"/>
  <c r="K265" i="13"/>
  <c r="K152" i="13"/>
  <c r="K28" i="13"/>
  <c r="K1374" i="13"/>
  <c r="K1279" i="13"/>
  <c r="K1125" i="13"/>
  <c r="K1081" i="13"/>
  <c r="K893" i="13"/>
  <c r="K686" i="13"/>
  <c r="K505" i="13"/>
  <c r="K313" i="13"/>
  <c r="K155" i="13"/>
  <c r="K1440" i="13"/>
  <c r="K1366" i="13"/>
  <c r="K1274" i="13"/>
  <c r="K1212" i="13"/>
  <c r="K1120" i="13"/>
  <c r="K1072" i="13"/>
  <c r="K1016" i="13"/>
  <c r="K947" i="13"/>
  <c r="K878" i="13"/>
  <c r="K790" i="13"/>
  <c r="K715" i="13"/>
  <c r="K658" i="13"/>
  <c r="K605" i="13"/>
  <c r="K561" i="13"/>
  <c r="K492" i="13"/>
  <c r="K421" i="13"/>
  <c r="K315" i="13"/>
  <c r="K227" i="13"/>
  <c r="K137" i="13"/>
  <c r="K82" i="13"/>
  <c r="K5" i="13"/>
  <c r="K1401" i="13"/>
  <c r="K1338" i="13"/>
  <c r="J1247" i="13"/>
  <c r="J1099" i="13"/>
  <c r="J1001" i="13"/>
  <c r="J889" i="13"/>
  <c r="J754" i="13"/>
  <c r="J616" i="13"/>
  <c r="J460" i="13"/>
  <c r="J334" i="13"/>
  <c r="J242" i="13"/>
  <c r="J53" i="13"/>
  <c r="J1356" i="13"/>
  <c r="J1194" i="13"/>
  <c r="J1013" i="13"/>
  <c r="J791" i="13"/>
  <c r="J659" i="13"/>
  <c r="J516" i="13"/>
  <c r="J375" i="13"/>
  <c r="J184" i="13"/>
  <c r="J44" i="13"/>
  <c r="J1146" i="13"/>
  <c r="J961" i="13"/>
  <c r="J759" i="13"/>
  <c r="J589" i="13"/>
  <c r="J424" i="13"/>
  <c r="K1116" i="13"/>
  <c r="K956" i="13"/>
  <c r="K833" i="13"/>
  <c r="K726" i="13"/>
  <c r="K553" i="13"/>
  <c r="K422" i="13"/>
  <c r="K287" i="13"/>
  <c r="K127" i="13"/>
  <c r="K7" i="13"/>
  <c r="K974" i="13"/>
  <c r="K578" i="13"/>
  <c r="K65" i="13"/>
  <c r="K1403" i="13"/>
  <c r="K1316" i="13"/>
  <c r="K1278" i="13"/>
  <c r="K1260" i="13"/>
  <c r="K1240" i="13"/>
  <c r="K1180" i="13"/>
  <c r="K1063" i="13"/>
  <c r="K995" i="13"/>
  <c r="K970" i="13"/>
  <c r="K912" i="13"/>
  <c r="K892" i="13"/>
  <c r="K841" i="13"/>
  <c r="K748" i="13"/>
  <c r="K645" i="13"/>
  <c r="K588" i="13"/>
  <c r="K535" i="13"/>
  <c r="K470" i="13"/>
  <c r="K406" i="13"/>
  <c r="K319" i="13"/>
  <c r="K271" i="13"/>
  <c r="K239" i="13"/>
  <c r="K207" i="13"/>
  <c r="K158" i="13"/>
  <c r="K88" i="13"/>
  <c r="K1424" i="13"/>
  <c r="K1298" i="13"/>
  <c r="K1186" i="13"/>
  <c r="K1114" i="13"/>
  <c r="K1031" i="13"/>
  <c r="K874" i="13"/>
  <c r="K730" i="13"/>
  <c r="K682" i="13"/>
  <c r="K601" i="13"/>
  <c r="K476" i="13"/>
  <c r="K399" i="13"/>
  <c r="K298" i="13"/>
  <c r="K183" i="13"/>
  <c r="K42" i="13"/>
  <c r="K1383" i="13"/>
  <c r="K1306" i="13"/>
  <c r="K1126" i="13"/>
  <c r="K1092" i="13"/>
  <c r="K909" i="13"/>
  <c r="K720" i="13"/>
  <c r="K513" i="13"/>
  <c r="K340" i="13"/>
  <c r="K156" i="13"/>
  <c r="K4" i="13"/>
  <c r="K1375" i="13"/>
  <c r="K1281" i="13"/>
  <c r="K1213" i="13"/>
  <c r="K1128" i="13"/>
  <c r="K1076" i="13"/>
  <c r="K1026" i="13"/>
  <c r="K952" i="13"/>
  <c r="K899" i="13"/>
  <c r="K800" i="13"/>
  <c r="K750" i="13"/>
  <c r="K666" i="13"/>
  <c r="K607" i="13"/>
  <c r="K571" i="13"/>
  <c r="K499" i="13"/>
  <c r="K453" i="13"/>
  <c r="K316" i="13"/>
  <c r="K257" i="13"/>
  <c r="K144" i="13"/>
  <c r="K85" i="13"/>
  <c r="K8" i="13"/>
  <c r="K1406" i="13"/>
  <c r="K1339" i="13"/>
  <c r="K1252" i="13"/>
  <c r="K1189" i="13"/>
  <c r="K1101" i="13"/>
  <c r="K1050" i="13"/>
  <c r="K1007" i="13"/>
  <c r="K980" i="13"/>
  <c r="K894" i="13"/>
  <c r="K835" i="13"/>
  <c r="K761" i="13"/>
  <c r="K702" i="13"/>
  <c r="K629" i="13"/>
  <c r="K546" i="13"/>
  <c r="K480" i="13"/>
  <c r="K392" i="13"/>
  <c r="K339" i="13"/>
  <c r="K299" i="13"/>
  <c r="K248" i="13"/>
  <c r="K172" i="13"/>
  <c r="K59" i="13"/>
  <c r="K1438" i="13"/>
  <c r="K1361" i="13"/>
  <c r="K1308" i="13"/>
  <c r="K1197" i="13"/>
  <c r="K1135" i="13"/>
  <c r="K1049" i="13"/>
  <c r="K932" i="13"/>
  <c r="K819" i="13"/>
  <c r="K729" i="13"/>
  <c r="K660" i="13"/>
  <c r="K575" i="13"/>
  <c r="K518" i="13"/>
  <c r="K475" i="13"/>
  <c r="K378" i="13"/>
  <c r="K263" i="13"/>
  <c r="K197" i="13"/>
  <c r="K110" i="13"/>
  <c r="K45" i="13"/>
  <c r="K1410" i="13"/>
  <c r="K1157" i="13"/>
  <c r="K937" i="13"/>
  <c r="K818" i="13"/>
  <c r="K669" i="13"/>
  <c r="K598" i="13"/>
  <c r="K462" i="13"/>
  <c r="K304" i="13"/>
  <c r="K206" i="13"/>
  <c r="K139" i="13"/>
  <c r="K33" i="13"/>
  <c r="K1393" i="13"/>
  <c r="K1333" i="13"/>
  <c r="K1211" i="13"/>
  <c r="K1196" i="13"/>
  <c r="K1141" i="13"/>
  <c r="K1071" i="13"/>
  <c r="K958" i="13"/>
  <c r="K881" i="13"/>
  <c r="K797" i="13"/>
  <c r="K727" i="13"/>
  <c r="K671" i="13"/>
  <c r="K568" i="13"/>
  <c r="K474" i="13"/>
  <c r="K405" i="13"/>
  <c r="K324" i="13"/>
  <c r="K211" i="13"/>
  <c r="K147" i="13"/>
  <c r="K26" i="13"/>
  <c r="K1247" i="13"/>
  <c r="K1099" i="13"/>
  <c r="K1001" i="13"/>
  <c r="K889" i="13"/>
  <c r="K754" i="13"/>
  <c r="K616" i="13"/>
  <c r="K460" i="13"/>
  <c r="K334" i="13"/>
  <c r="K242" i="13"/>
  <c r="K53" i="13"/>
  <c r="K1356" i="13"/>
  <c r="K1194" i="13"/>
  <c r="K1013" i="13"/>
  <c r="K791" i="13"/>
  <c r="K659" i="13"/>
  <c r="K516" i="13"/>
  <c r="K375" i="13"/>
  <c r="K184" i="13"/>
  <c r="K44" i="13"/>
  <c r="K1146" i="13"/>
  <c r="K961" i="13"/>
  <c r="K759" i="13"/>
  <c r="K589" i="13"/>
  <c r="K424" i="13"/>
  <c r="J1056" i="13"/>
  <c r="J902" i="13"/>
  <c r="J815" i="13"/>
  <c r="J711" i="13"/>
  <c r="J502" i="13"/>
  <c r="J387" i="13"/>
  <c r="J264" i="13"/>
  <c r="J114" i="13"/>
  <c r="J1317" i="13"/>
  <c r="J880" i="13"/>
  <c r="J386" i="13"/>
  <c r="J1441" i="13"/>
  <c r="J1357" i="13"/>
  <c r="J1300" i="13"/>
  <c r="J1271" i="13"/>
  <c r="J1248" i="13"/>
  <c r="J1200" i="13"/>
  <c r="J1132" i="13"/>
  <c r="J1033" i="13"/>
  <c r="J979" i="13"/>
  <c r="J942" i="13"/>
  <c r="J905" i="13"/>
  <c r="J867" i="13"/>
  <c r="J803" i="13"/>
  <c r="J716" i="13"/>
  <c r="J608" i="13"/>
  <c r="J562" i="13"/>
  <c r="J504" i="13"/>
  <c r="J432" i="13"/>
  <c r="J357" i="13"/>
  <c r="J288" i="13"/>
  <c r="J252" i="13"/>
  <c r="J225" i="13"/>
  <c r="J177" i="13"/>
  <c r="J125" i="13"/>
  <c r="J27" i="13"/>
  <c r="J1327" i="13"/>
  <c r="J1251" i="13"/>
  <c r="J1166" i="13"/>
  <c r="J1070" i="13"/>
  <c r="J991" i="13"/>
  <c r="J804" i="13"/>
  <c r="J699" i="13"/>
  <c r="J644" i="13"/>
  <c r="J528" i="13"/>
  <c r="J443" i="13"/>
  <c r="J336" i="13"/>
  <c r="J240" i="13"/>
  <c r="J91" i="13"/>
  <c r="J1446" i="13"/>
  <c r="J1355" i="13"/>
  <c r="J1201" i="13"/>
  <c r="J1105" i="13"/>
  <c r="J997" i="13"/>
  <c r="J775" i="13"/>
  <c r="J679" i="13"/>
  <c r="J407" i="13"/>
  <c r="J284" i="13"/>
  <c r="J34" i="13"/>
  <c r="J1418" i="13"/>
  <c r="J1350" i="13"/>
  <c r="J1237" i="13"/>
  <c r="J1147" i="13"/>
  <c r="J1113" i="13"/>
  <c r="J1057" i="13"/>
  <c r="J1005" i="13"/>
  <c r="J931" i="13"/>
  <c r="J853" i="13"/>
  <c r="J776" i="13"/>
  <c r="J692" i="13"/>
  <c r="J622" i="13"/>
  <c r="J594" i="13"/>
  <c r="J549" i="13"/>
  <c r="J481" i="13"/>
  <c r="J391" i="13"/>
  <c r="J289" i="13"/>
  <c r="J182" i="13"/>
  <c r="J121" i="13"/>
  <c r="J72" i="13"/>
  <c r="J1426" i="13"/>
  <c r="J1382" i="13"/>
  <c r="J1302" i="13"/>
  <c r="J1216" i="13"/>
  <c r="J1152" i="13"/>
  <c r="J1073" i="13"/>
  <c r="J1019" i="13"/>
  <c r="J992" i="13"/>
  <c r="J935" i="13"/>
  <c r="J852" i="13"/>
  <c r="J809" i="13"/>
  <c r="J740" i="13"/>
  <c r="J649" i="13"/>
  <c r="J584" i="13"/>
  <c r="J508" i="13"/>
  <c r="J441" i="13"/>
  <c r="J368" i="13"/>
  <c r="J326" i="13"/>
  <c r="J278" i="13"/>
  <c r="J187" i="13"/>
  <c r="J122" i="13"/>
  <c r="J41" i="13"/>
  <c r="J1400" i="13"/>
  <c r="J1332" i="13"/>
  <c r="J1270" i="13"/>
  <c r="J1164" i="13"/>
  <c r="J1096" i="13"/>
  <c r="J966" i="13"/>
  <c r="J850" i="13"/>
  <c r="J771" i="13"/>
  <c r="J681" i="13"/>
  <c r="J624" i="13"/>
  <c r="J560" i="13"/>
  <c r="J497" i="13"/>
  <c r="J416" i="13"/>
  <c r="J354" i="13"/>
  <c r="J236" i="13"/>
  <c r="J128" i="13"/>
  <c r="J71" i="13"/>
  <c r="J1433" i="13"/>
  <c r="J1307" i="13"/>
  <c r="J1024" i="13"/>
  <c r="J888" i="13"/>
  <c r="J724" i="13"/>
  <c r="J628" i="13"/>
  <c r="J524" i="13"/>
  <c r="J382" i="13"/>
  <c r="J266" i="13"/>
  <c r="J178" i="13"/>
  <c r="J55" i="13"/>
  <c r="J1434" i="13"/>
  <c r="J1362" i="13"/>
  <c r="J1255" i="13"/>
  <c r="J1204" i="13"/>
  <c r="J1156" i="13"/>
  <c r="J1106" i="13"/>
  <c r="J1032" i="13"/>
  <c r="J938" i="13"/>
  <c r="J836" i="13"/>
  <c r="J755" i="13"/>
  <c r="J689" i="13"/>
  <c r="J653" i="13"/>
  <c r="J519" i="13"/>
  <c r="J449" i="13"/>
  <c r="J342" i="13"/>
  <c r="J267" i="13"/>
  <c r="J168" i="13"/>
  <c r="J49" i="13"/>
  <c r="J1187" i="13"/>
  <c r="J1029" i="13"/>
  <c r="J967" i="13"/>
  <c r="J834" i="13"/>
  <c r="J701" i="13"/>
  <c r="J533" i="13"/>
  <c r="J389" i="13"/>
  <c r="J296" i="13"/>
  <c r="J154" i="13"/>
  <c r="J1437" i="13"/>
  <c r="J1295" i="13"/>
  <c r="J1109" i="13"/>
  <c r="J930" i="13"/>
  <c r="J703" i="13"/>
  <c r="J574" i="13"/>
  <c r="J469" i="13"/>
  <c r="J250" i="13"/>
  <c r="J104" i="13"/>
  <c r="J1385" i="13"/>
  <c r="J928" i="13"/>
  <c r="J882" i="13"/>
  <c r="J651" i="13"/>
  <c r="J487" i="13"/>
  <c r="K1407" i="13"/>
  <c r="K1036" i="13"/>
  <c r="K883" i="13"/>
  <c r="K796" i="13"/>
  <c r="K678" i="13"/>
  <c r="K479" i="13"/>
  <c r="K360" i="13"/>
  <c r="K209" i="13"/>
  <c r="K84" i="13"/>
  <c r="K1235" i="13"/>
  <c r="K788" i="13"/>
  <c r="K215" i="13"/>
  <c r="K1441" i="13"/>
  <c r="K1357" i="13"/>
  <c r="K1300" i="13"/>
  <c r="K1271" i="13"/>
  <c r="K1248" i="13"/>
  <c r="K1200" i="13"/>
  <c r="K1132" i="13"/>
  <c r="K1033" i="13"/>
  <c r="K979" i="13"/>
  <c r="K942" i="13"/>
  <c r="K905" i="13"/>
  <c r="K867" i="13"/>
  <c r="K803" i="13"/>
  <c r="K716" i="13"/>
  <c r="K608" i="13"/>
  <c r="K562" i="13"/>
  <c r="K504" i="13"/>
  <c r="K432" i="13"/>
  <c r="K357" i="13"/>
  <c r="K288" i="13"/>
  <c r="K252" i="13"/>
  <c r="K225" i="13"/>
  <c r="K177" i="13"/>
  <c r="K125" i="13"/>
  <c r="K27" i="13"/>
  <c r="K1327" i="13"/>
  <c r="K1251" i="13"/>
  <c r="K1166" i="13"/>
  <c r="K1070" i="13"/>
  <c r="K991" i="13"/>
  <c r="K804" i="13"/>
  <c r="K699" i="13"/>
  <c r="K644" i="13"/>
  <c r="K528" i="13"/>
  <c r="K443" i="13"/>
  <c r="K336" i="13"/>
  <c r="K240" i="13"/>
  <c r="K91" i="13"/>
  <c r="K1446" i="13"/>
  <c r="K1355" i="13"/>
  <c r="K1201" i="13"/>
  <c r="K1105" i="13"/>
  <c r="K997" i="13"/>
  <c r="K775" i="13"/>
  <c r="K679" i="13"/>
  <c r="K407" i="13"/>
  <c r="K284" i="13"/>
  <c r="K34" i="13"/>
  <c r="K1418" i="13"/>
  <c r="K1350" i="13"/>
  <c r="K1237" i="13"/>
  <c r="K1147" i="13"/>
  <c r="K1113" i="13"/>
  <c r="K1057" i="13"/>
  <c r="K1005" i="13"/>
  <c r="K931" i="13"/>
  <c r="K853" i="13"/>
  <c r="K776" i="13"/>
  <c r="K692" i="13"/>
  <c r="K622" i="13"/>
  <c r="K594" i="13"/>
  <c r="K549" i="13"/>
  <c r="K481" i="13"/>
  <c r="K391" i="13"/>
  <c r="K289" i="13"/>
  <c r="K182" i="13"/>
  <c r="K121" i="13"/>
  <c r="K72" i="13"/>
  <c r="K1426" i="13"/>
  <c r="K1382" i="13"/>
  <c r="K1302" i="13"/>
  <c r="K1216" i="13"/>
  <c r="K1152" i="13"/>
  <c r="K1073" i="13"/>
  <c r="K1019" i="13"/>
  <c r="K992" i="13"/>
  <c r="K935" i="13"/>
  <c r="K852" i="13"/>
  <c r="K809" i="13"/>
  <c r="K740" i="13"/>
  <c r="K649" i="13"/>
  <c r="K584" i="13"/>
  <c r="K508" i="13"/>
  <c r="K441" i="13"/>
  <c r="K368" i="13"/>
  <c r="K326" i="13"/>
  <c r="K278" i="13"/>
  <c r="K187" i="13"/>
  <c r="K122" i="13"/>
  <c r="K41" i="13"/>
  <c r="K1400" i="13"/>
  <c r="K1332" i="13"/>
  <c r="K1270" i="13"/>
  <c r="K1164" i="13"/>
  <c r="K1096" i="13"/>
  <c r="K966" i="13"/>
  <c r="K850" i="13"/>
  <c r="K771" i="13"/>
  <c r="K681" i="13"/>
  <c r="K624" i="13"/>
  <c r="K560" i="13"/>
  <c r="K497" i="13"/>
  <c r="K416" i="13"/>
  <c r="K354" i="13"/>
  <c r="K236" i="13"/>
  <c r="K128" i="13"/>
  <c r="K71" i="13"/>
  <c r="K1433" i="13"/>
  <c r="K1307" i="13"/>
  <c r="K1024" i="13"/>
  <c r="K888" i="13"/>
  <c r="K724" i="13"/>
  <c r="K628" i="13"/>
  <c r="K524" i="13"/>
  <c r="K382" i="13"/>
  <c r="K266" i="13"/>
  <c r="K178" i="13"/>
  <c r="K55" i="13"/>
  <c r="K1434" i="13"/>
  <c r="K1362" i="13"/>
  <c r="K1255" i="13"/>
  <c r="K1204" i="13"/>
  <c r="K1156" i="13"/>
  <c r="K1106" i="13"/>
  <c r="K1032" i="13"/>
  <c r="K938" i="13"/>
  <c r="K836" i="13"/>
  <c r="K755" i="13"/>
  <c r="K689" i="13"/>
  <c r="K653" i="13"/>
  <c r="K519" i="13"/>
  <c r="K449" i="13"/>
  <c r="K342" i="13"/>
  <c r="K267" i="13"/>
  <c r="K168" i="13"/>
  <c r="K49" i="13"/>
  <c r="K1187" i="13"/>
  <c r="K1029" i="13"/>
  <c r="K967" i="13"/>
  <c r="K834" i="13"/>
  <c r="K701" i="13"/>
  <c r="K533" i="13"/>
  <c r="K389" i="13"/>
  <c r="K296" i="13"/>
  <c r="K154" i="13"/>
  <c r="K1437" i="13"/>
  <c r="K1295" i="13"/>
  <c r="K1109" i="13"/>
  <c r="K930" i="13"/>
  <c r="K703" i="13"/>
  <c r="K574" i="13"/>
  <c r="K469" i="13"/>
  <c r="K250" i="13"/>
  <c r="K104" i="13"/>
  <c r="K1385" i="13"/>
  <c r="K928" i="13"/>
  <c r="K882" i="13"/>
  <c r="K651" i="13"/>
  <c r="K487" i="13"/>
  <c r="K664" i="13"/>
  <c r="J1010" i="13"/>
  <c r="J858" i="13"/>
  <c r="J773" i="13"/>
  <c r="J623" i="13"/>
  <c r="J435" i="13"/>
  <c r="J341" i="13"/>
  <c r="J169" i="13"/>
  <c r="J66" i="13"/>
  <c r="J1130" i="13"/>
  <c r="J745" i="13"/>
  <c r="J65" i="13"/>
  <c r="J1403" i="13"/>
  <c r="J1316" i="13"/>
  <c r="J1278" i="13"/>
  <c r="J1260" i="13"/>
  <c r="J1240" i="13"/>
  <c r="J1180" i="13"/>
  <c r="J1063" i="13"/>
  <c r="J995" i="13"/>
  <c r="J970" i="13"/>
  <c r="J912" i="13"/>
  <c r="J892" i="13"/>
  <c r="J841" i="13"/>
  <c r="J748" i="13"/>
  <c r="J645" i="13"/>
  <c r="J588" i="13"/>
  <c r="J535" i="13"/>
  <c r="J470" i="13"/>
  <c r="J406" i="13"/>
  <c r="J319" i="13"/>
  <c r="J271" i="13"/>
  <c r="J239" i="13"/>
  <c r="J207" i="13"/>
  <c r="J158" i="13"/>
  <c r="J88" i="13"/>
  <c r="J1424" i="13"/>
  <c r="J1298" i="13"/>
  <c r="J1186" i="13"/>
  <c r="J1114" i="13"/>
  <c r="J1031" i="13"/>
  <c r="J874" i="13"/>
  <c r="J730" i="13"/>
  <c r="J682" i="13"/>
  <c r="J601" i="13"/>
  <c r="J476" i="13"/>
  <c r="J399" i="13"/>
  <c r="J298" i="13"/>
  <c r="J183" i="13"/>
  <c r="J42" i="13"/>
  <c r="J1383" i="13"/>
  <c r="J1306" i="13"/>
  <c r="J1126" i="13"/>
  <c r="J1092" i="13"/>
  <c r="J909" i="13"/>
  <c r="J720" i="13"/>
  <c r="J513" i="13"/>
  <c r="J340" i="13"/>
  <c r="J156" i="13"/>
  <c r="J4" i="13"/>
  <c r="J1375" i="13"/>
  <c r="J1281" i="13"/>
  <c r="J1213" i="13"/>
  <c r="J1128" i="13"/>
  <c r="J1076" i="13"/>
  <c r="J1026" i="13"/>
  <c r="J952" i="13"/>
  <c r="J899" i="13"/>
  <c r="J800" i="13"/>
  <c r="J750" i="13"/>
  <c r="J666" i="13"/>
  <c r="J607" i="13"/>
  <c r="J571" i="13"/>
  <c r="J499" i="13"/>
  <c r="J453" i="13"/>
  <c r="J316" i="13"/>
  <c r="J257" i="13"/>
  <c r="J144" i="13"/>
  <c r="J85" i="13"/>
  <c r="J8" i="13"/>
  <c r="J1406" i="13"/>
  <c r="J1339" i="13"/>
  <c r="J1252" i="13"/>
  <c r="J1189" i="13"/>
  <c r="J1101" i="13"/>
  <c r="J1050" i="13"/>
  <c r="J1007" i="13"/>
  <c r="J980" i="13"/>
  <c r="J894" i="13"/>
  <c r="J835" i="13"/>
  <c r="J761" i="13"/>
  <c r="J702" i="13"/>
  <c r="J629" i="13"/>
  <c r="J546" i="13"/>
  <c r="J480" i="13"/>
  <c r="J392" i="13"/>
  <c r="J339" i="13"/>
  <c r="J299" i="13"/>
  <c r="J248" i="13"/>
  <c r="J172" i="13"/>
  <c r="J59" i="13"/>
  <c r="J1438" i="13"/>
  <c r="J1361" i="13"/>
  <c r="J1308" i="13"/>
  <c r="J1197" i="13"/>
  <c r="J1135" i="13"/>
  <c r="J1049" i="13"/>
  <c r="J932" i="13"/>
  <c r="J819" i="13"/>
  <c r="J729" i="13"/>
  <c r="J660" i="13"/>
  <c r="J575" i="13"/>
  <c r="J518" i="13"/>
  <c r="J475" i="13"/>
  <c r="J378" i="13"/>
  <c r="J263" i="13"/>
  <c r="J197" i="13"/>
  <c r="J110" i="13"/>
  <c r="J45" i="13"/>
  <c r="J1410" i="13"/>
  <c r="J1157" i="13"/>
  <c r="J937" i="13"/>
  <c r="J818" i="13"/>
  <c r="J669" i="13"/>
  <c r="J598" i="13"/>
  <c r="J462" i="13"/>
  <c r="J304" i="13"/>
  <c r="J206" i="13"/>
  <c r="J139" i="13"/>
  <c r="J33" i="13"/>
  <c r="J1393" i="13"/>
  <c r="J1333" i="13"/>
  <c r="J1211" i="13"/>
  <c r="J1196" i="13"/>
  <c r="J1141" i="13"/>
  <c r="J1071" i="13"/>
  <c r="J958" i="13"/>
  <c r="J881" i="13"/>
  <c r="J797" i="13"/>
  <c r="J727" i="13"/>
  <c r="J671" i="13"/>
  <c r="J568" i="13"/>
  <c r="J474" i="13"/>
  <c r="J405" i="13"/>
  <c r="J324" i="13"/>
  <c r="J211" i="13"/>
  <c r="J147" i="13"/>
  <c r="J26" i="13"/>
  <c r="K1387" i="13"/>
  <c r="K1268" i="13"/>
  <c r="K1161" i="13"/>
  <c r="K1094" i="13"/>
  <c r="K1039" i="13"/>
  <c r="K955" i="13"/>
  <c r="K877" i="13"/>
  <c r="K778" i="13"/>
  <c r="K710" i="13"/>
  <c r="K604" i="13"/>
  <c r="K530" i="13"/>
  <c r="K440" i="13"/>
  <c r="K404" i="13"/>
  <c r="K361" i="13"/>
  <c r="K290" i="13"/>
  <c r="K210" i="13"/>
  <c r="K145" i="13"/>
  <c r="K103" i="13"/>
  <c r="K31" i="13"/>
  <c r="K625" i="13"/>
  <c r="K507" i="13"/>
  <c r="K364" i="13"/>
  <c r="K255" i="13"/>
  <c r="K157" i="13"/>
  <c r="K56" i="13"/>
  <c r="K1412" i="13"/>
  <c r="K1344" i="13"/>
  <c r="K1244" i="13"/>
  <c r="K1203" i="13"/>
  <c r="K1154" i="13"/>
  <c r="K1089" i="13"/>
  <c r="K1028" i="13"/>
  <c r="K934" i="13"/>
  <c r="K821" i="13"/>
  <c r="K736" i="13"/>
  <c r="K675" i="13"/>
  <c r="K638" i="13"/>
  <c r="K511" i="13"/>
  <c r="K445" i="13"/>
  <c r="K338" i="13"/>
  <c r="K234" i="13"/>
  <c r="K163" i="13"/>
  <c r="K48" i="13"/>
  <c r="K1427" i="13"/>
  <c r="K1325" i="13"/>
  <c r="K1181" i="13"/>
  <c r="K1142" i="13"/>
  <c r="K1062" i="13"/>
  <c r="K969" i="13"/>
  <c r="K916" i="13"/>
  <c r="K830" i="13"/>
  <c r="K743" i="13"/>
  <c r="K641" i="13"/>
  <c r="K563" i="13"/>
  <c r="K478" i="13"/>
  <c r="K419" i="13"/>
  <c r="K370" i="13"/>
  <c r="K332" i="13"/>
  <c r="K233" i="13"/>
  <c r="K176" i="13"/>
  <c r="K119" i="13"/>
  <c r="K40" i="13"/>
  <c r="K1358" i="13"/>
  <c r="K1261" i="13"/>
  <c r="K1191" i="13"/>
  <c r="K1119" i="13"/>
  <c r="K1068" i="13"/>
  <c r="K1015" i="13"/>
  <c r="K940" i="13"/>
  <c r="K860" i="13"/>
  <c r="K780" i="13"/>
  <c r="K714" i="13"/>
  <c r="K655" i="13"/>
  <c r="K603" i="13"/>
  <c r="K555" i="13"/>
  <c r="K491" i="13"/>
  <c r="K420" i="13"/>
  <c r="K308" i="13"/>
  <c r="K214" i="13"/>
  <c r="K130" i="13"/>
  <c r="K81" i="13"/>
  <c r="K2" i="13"/>
  <c r="K1396" i="13"/>
  <c r="K1336" i="13"/>
  <c r="K1234" i="13"/>
  <c r="K1177" i="13"/>
  <c r="K1093" i="13"/>
  <c r="K1022" i="13"/>
  <c r="K1000" i="13"/>
  <c r="K946" i="13"/>
  <c r="K876" i="13"/>
  <c r="K826" i="13"/>
  <c r="K751" i="13"/>
  <c r="K662" i="13"/>
  <c r="K610" i="13"/>
  <c r="K531" i="13"/>
  <c r="K455" i="13"/>
  <c r="K385" i="13"/>
  <c r="K333" i="13"/>
  <c r="K293" i="13"/>
  <c r="K201" i="13"/>
  <c r="K150" i="13"/>
  <c r="K47" i="13"/>
  <c r="K1422" i="13"/>
  <c r="K1352" i="13"/>
  <c r="K1287" i="13"/>
  <c r="K1169" i="13"/>
  <c r="K1107" i="13"/>
  <c r="K996" i="13"/>
  <c r="K898" i="13"/>
  <c r="K787" i="13"/>
  <c r="K695" i="13"/>
  <c r="K636" i="13"/>
  <c r="K573" i="13"/>
  <c r="K515" i="13"/>
  <c r="K447" i="13"/>
  <c r="K367" i="13"/>
  <c r="K249" i="13"/>
  <c r="K162" i="13"/>
  <c r="K100" i="13"/>
  <c r="K32" i="13"/>
  <c r="K1346" i="13"/>
  <c r="K1148" i="13"/>
  <c r="K925" i="13"/>
  <c r="K741" i="13"/>
  <c r="K647" i="13"/>
  <c r="K559" i="13"/>
  <c r="K408" i="13"/>
  <c r="K280" i="13"/>
  <c r="K198" i="13"/>
  <c r="K133" i="13"/>
  <c r="K11" i="13"/>
  <c r="K1367" i="13"/>
  <c r="K1297" i="13"/>
  <c r="K1206" i="13"/>
  <c r="K1182" i="13"/>
  <c r="K1124" i="13"/>
  <c r="K1040" i="13"/>
  <c r="K950" i="13"/>
  <c r="K862" i="13"/>
  <c r="K785" i="13"/>
  <c r="K708" i="13"/>
  <c r="K657" i="13"/>
  <c r="K557" i="13"/>
  <c r="K461" i="13"/>
  <c r="K358" i="13"/>
  <c r="K291" i="13"/>
  <c r="K190" i="13"/>
  <c r="K80" i="13"/>
  <c r="K9" i="13"/>
  <c r="K1372" i="13"/>
  <c r="K1256" i="13"/>
  <c r="K1155" i="13"/>
  <c r="K1084" i="13"/>
  <c r="K1009" i="13"/>
  <c r="K929" i="13"/>
  <c r="K870" i="13"/>
  <c r="K765" i="13"/>
  <c r="K663" i="13"/>
  <c r="K590" i="13"/>
  <c r="K493" i="13"/>
  <c r="K438" i="13"/>
  <c r="K379" i="13"/>
  <c r="K352" i="13"/>
  <c r="K272" i="13"/>
  <c r="K189" i="13"/>
  <c r="K141" i="13"/>
  <c r="K94" i="13"/>
  <c r="K13" i="13"/>
  <c r="J363" i="13"/>
  <c r="J217" i="13"/>
  <c r="J105" i="13"/>
  <c r="K620" i="13"/>
  <c r="J1431" i="13"/>
  <c r="J1342" i="13"/>
  <c r="J1231" i="13"/>
  <c r="J1150" i="13"/>
  <c r="J1079" i="13"/>
  <c r="J987" i="13"/>
  <c r="J918" i="13"/>
  <c r="J865" i="13"/>
  <c r="J746" i="13"/>
  <c r="J648" i="13"/>
  <c r="J566" i="13"/>
  <c r="J482" i="13"/>
  <c r="J423" i="13"/>
  <c r="J371" i="13"/>
  <c r="J337" i="13"/>
  <c r="J237" i="13"/>
  <c r="J181" i="13"/>
  <c r="J120" i="13"/>
  <c r="J54" i="13"/>
  <c r="J719" i="13"/>
  <c r="J585" i="13"/>
  <c r="J448" i="13"/>
  <c r="J295" i="13"/>
  <c r="J199" i="13"/>
  <c r="J138" i="13"/>
  <c r="J21" i="13"/>
  <c r="J1389" i="13"/>
  <c r="J1312" i="13"/>
  <c r="J1207" i="13"/>
  <c r="J1195" i="13"/>
  <c r="J1139" i="13"/>
  <c r="J1051" i="13"/>
  <c r="J957" i="13"/>
  <c r="J866" i="13"/>
  <c r="J792" i="13"/>
  <c r="J723" i="13"/>
  <c r="J665" i="13"/>
  <c r="J558" i="13"/>
  <c r="J464" i="13"/>
  <c r="J401" i="13"/>
  <c r="J312" i="13"/>
  <c r="J205" i="13"/>
  <c r="J95" i="13"/>
  <c r="J14" i="13"/>
  <c r="J1379" i="13"/>
  <c r="J1259" i="13"/>
  <c r="J1158" i="13"/>
  <c r="J1087" i="13"/>
  <c r="J1034" i="13"/>
  <c r="J933" i="13"/>
  <c r="J875" i="13"/>
  <c r="J774" i="13"/>
  <c r="J700" i="13"/>
  <c r="J602" i="13"/>
  <c r="J510" i="13"/>
  <c r="J439" i="13"/>
  <c r="J403" i="13"/>
  <c r="J353" i="13"/>
  <c r="J277" i="13"/>
  <c r="J193" i="13"/>
  <c r="J142" i="13"/>
  <c r="J102" i="13"/>
  <c r="J29" i="13"/>
  <c r="J1311" i="13"/>
  <c r="J1225" i="13"/>
  <c r="J1133" i="13"/>
  <c r="J1085" i="13"/>
  <c r="J1046" i="13"/>
  <c r="J982" i="13"/>
  <c r="J915" i="13"/>
  <c r="J824" i="13"/>
  <c r="J762" i="13"/>
  <c r="J683" i="13"/>
  <c r="J614" i="13"/>
  <c r="J582" i="13"/>
  <c r="J523" i="13"/>
  <c r="J465" i="13"/>
  <c r="J362" i="13"/>
  <c r="J270" i="13"/>
  <c r="J174" i="13"/>
  <c r="J113" i="13"/>
  <c r="J25" i="13"/>
  <c r="J1417" i="13"/>
  <c r="J1377" i="13"/>
  <c r="J1282" i="13"/>
  <c r="J1209" i="13"/>
  <c r="J1103" i="13"/>
  <c r="J1060" i="13"/>
  <c r="J1014" i="13"/>
  <c r="J984" i="13"/>
  <c r="J917" i="13"/>
  <c r="J847" i="13"/>
  <c r="J799" i="13"/>
  <c r="J735" i="13"/>
  <c r="J635" i="13"/>
  <c r="J570" i="13"/>
  <c r="J489" i="13"/>
  <c r="J412" i="13"/>
  <c r="J351" i="13"/>
  <c r="J314" i="13"/>
  <c r="J256" i="13"/>
  <c r="J185" i="13"/>
  <c r="J101" i="13"/>
  <c r="J19" i="13"/>
  <c r="J1392" i="13"/>
  <c r="J1322" i="13"/>
  <c r="J1238" i="13"/>
  <c r="J1162" i="13"/>
  <c r="J1066" i="13"/>
  <c r="J963" i="13"/>
  <c r="J839" i="13"/>
  <c r="J760" i="13"/>
  <c r="J670" i="13"/>
  <c r="J583" i="13"/>
  <c r="J529" i="13"/>
  <c r="J490" i="13"/>
  <c r="J409" i="13"/>
  <c r="J311" i="13"/>
  <c r="J226" i="13"/>
  <c r="J123" i="13"/>
  <c r="J58" i="13"/>
  <c r="J1421" i="13"/>
  <c r="J1264" i="13"/>
  <c r="J960" i="13"/>
  <c r="J842" i="13"/>
  <c r="J707" i="13"/>
  <c r="K784" i="13"/>
  <c r="J477" i="13"/>
  <c r="J348" i="13"/>
  <c r="J238" i="13"/>
  <c r="J151" i="13"/>
  <c r="J52" i="13"/>
  <c r="J1402" i="13"/>
  <c r="J1337" i="13"/>
  <c r="J1219" i="13"/>
  <c r="J1202" i="13"/>
  <c r="J1149" i="13"/>
  <c r="J1088" i="13"/>
  <c r="J1023" i="13"/>
  <c r="J921" i="13"/>
  <c r="J820" i="13"/>
  <c r="J731" i="13"/>
  <c r="J674" i="13"/>
  <c r="J617" i="13"/>
  <c r="J503" i="13"/>
  <c r="J436" i="13"/>
  <c r="J335" i="13"/>
  <c r="J218" i="13"/>
  <c r="J153" i="13"/>
  <c r="J43" i="13"/>
  <c r="J1419" i="13"/>
  <c r="J1324" i="13"/>
  <c r="J1179" i="13"/>
  <c r="J1138" i="13"/>
  <c r="J1047" i="13"/>
  <c r="J962" i="13"/>
  <c r="J884" i="13"/>
  <c r="J827" i="13"/>
  <c r="J739" i="13"/>
  <c r="J637" i="13"/>
  <c r="J552" i="13"/>
  <c r="J463" i="13"/>
  <c r="J418" i="13"/>
  <c r="J366" i="13"/>
  <c r="J294" i="13"/>
  <c r="J220" i="13"/>
  <c r="J166" i="13"/>
  <c r="J108" i="13"/>
  <c r="J39" i="13"/>
  <c r="K343" i="13"/>
  <c r="K363" i="13"/>
  <c r="K217" i="13"/>
  <c r="K105" i="13"/>
  <c r="K1431" i="13"/>
  <c r="K1342" i="13"/>
  <c r="K1231" i="13"/>
  <c r="K1150" i="13"/>
  <c r="K1079" i="13"/>
  <c r="K987" i="13"/>
  <c r="K918" i="13"/>
  <c r="K865" i="13"/>
  <c r="K746" i="13"/>
  <c r="K648" i="13"/>
  <c r="K566" i="13"/>
  <c r="K482" i="13"/>
  <c r="K423" i="13"/>
  <c r="K371" i="13"/>
  <c r="K337" i="13"/>
  <c r="K237" i="13"/>
  <c r="K181" i="13"/>
  <c r="K120" i="13"/>
  <c r="K54" i="13"/>
  <c r="K719" i="13"/>
  <c r="K585" i="13"/>
  <c r="K448" i="13"/>
  <c r="K295" i="13"/>
  <c r="K199" i="13"/>
  <c r="K138" i="13"/>
  <c r="K21" i="13"/>
  <c r="K1389" i="13"/>
  <c r="K1312" i="13"/>
  <c r="K1207" i="13"/>
  <c r="K1195" i="13"/>
  <c r="K1139" i="13"/>
  <c r="K1051" i="13"/>
  <c r="K957" i="13"/>
  <c r="K866" i="13"/>
  <c r="K792" i="13"/>
  <c r="K723" i="13"/>
  <c r="K665" i="13"/>
  <c r="K558" i="13"/>
  <c r="K464" i="13"/>
  <c r="K401" i="13"/>
  <c r="K312" i="13"/>
  <c r="K205" i="13"/>
  <c r="K95" i="13"/>
  <c r="K14" i="13"/>
  <c r="K1379" i="13"/>
  <c r="K1259" i="13"/>
  <c r="K1158" i="13"/>
  <c r="K1087" i="13"/>
  <c r="K1034" i="13"/>
  <c r="K933" i="13"/>
  <c r="K875" i="13"/>
  <c r="K774" i="13"/>
  <c r="K700" i="13"/>
  <c r="K602" i="13"/>
  <c r="K510" i="13"/>
  <c r="K439" i="13"/>
  <c r="K403" i="13"/>
  <c r="K353" i="13"/>
  <c r="K277" i="13"/>
  <c r="K193" i="13"/>
  <c r="K142" i="13"/>
  <c r="K102" i="13"/>
  <c r="K29" i="13"/>
  <c r="K1311" i="13"/>
  <c r="K1225" i="13"/>
  <c r="K1133" i="13"/>
  <c r="K1085" i="13"/>
  <c r="K1046" i="13"/>
  <c r="K982" i="13"/>
  <c r="K915" i="13"/>
  <c r="K824" i="13"/>
  <c r="K762" i="13"/>
  <c r="K683" i="13"/>
  <c r="K614" i="13"/>
  <c r="K582" i="13"/>
  <c r="K523" i="13"/>
  <c r="K465" i="13"/>
  <c r="K362" i="13"/>
  <c r="K270" i="13"/>
  <c r="K174" i="13"/>
  <c r="K113" i="13"/>
  <c r="K25" i="13"/>
  <c r="K1417" i="13"/>
  <c r="K1377" i="13"/>
  <c r="K1282" i="13"/>
  <c r="K1209" i="13"/>
  <c r="K1103" i="13"/>
  <c r="K1060" i="13"/>
  <c r="K1014" i="13"/>
  <c r="K984" i="13"/>
  <c r="K917" i="13"/>
  <c r="K847" i="13"/>
  <c r="K799" i="13"/>
  <c r="K735" i="13"/>
  <c r="K635" i="13"/>
  <c r="K570" i="13"/>
  <c r="K489" i="13"/>
  <c r="K412" i="13"/>
  <c r="K351" i="13"/>
  <c r="K314" i="13"/>
  <c r="K256" i="13"/>
  <c r="K185" i="13"/>
  <c r="K101" i="13"/>
  <c r="K19" i="13"/>
  <c r="K1392" i="13"/>
  <c r="K1322" i="13"/>
  <c r="K1238" i="13"/>
  <c r="K1162" i="13"/>
  <c r="K1066" i="13"/>
  <c r="K963" i="13"/>
  <c r="K839" i="13"/>
  <c r="K760" i="13"/>
  <c r="K670" i="13"/>
  <c r="K583" i="13"/>
  <c r="K529" i="13"/>
  <c r="K490" i="13"/>
  <c r="K409" i="13"/>
  <c r="K311" i="13"/>
  <c r="K226" i="13"/>
  <c r="K123" i="13"/>
  <c r="K58" i="13"/>
  <c r="K1421" i="13"/>
  <c r="K1264" i="13"/>
  <c r="K960" i="13"/>
  <c r="K842" i="13"/>
  <c r="K707" i="13"/>
  <c r="K988" i="13"/>
  <c r="K477" i="13"/>
  <c r="K348" i="13"/>
  <c r="K238" i="13"/>
  <c r="K151" i="13"/>
  <c r="K52" i="13"/>
  <c r="K1402" i="13"/>
  <c r="K1337" i="13"/>
  <c r="K1219" i="13"/>
  <c r="K1202" i="13"/>
  <c r="K1149" i="13"/>
  <c r="K1088" i="13"/>
  <c r="K1023" i="13"/>
  <c r="K921" i="13"/>
  <c r="K820" i="13"/>
  <c r="K731" i="13"/>
  <c r="K674" i="13"/>
  <c r="K617" i="13"/>
  <c r="K503" i="13"/>
  <c r="K436" i="13"/>
  <c r="K335" i="13"/>
  <c r="K218" i="13"/>
  <c r="K153" i="13"/>
  <c r="K43" i="13"/>
  <c r="K1419" i="13"/>
  <c r="K1324" i="13"/>
  <c r="K1179" i="13"/>
  <c r="K1138" i="13"/>
  <c r="K1047" i="13"/>
  <c r="K962" i="13"/>
  <c r="K884" i="13"/>
  <c r="K827" i="13"/>
  <c r="K739" i="13"/>
  <c r="K637" i="13"/>
  <c r="K552" i="13"/>
  <c r="K463" i="13"/>
  <c r="K418" i="13"/>
  <c r="K366" i="13"/>
  <c r="K294" i="13"/>
  <c r="K220" i="13"/>
  <c r="K166" i="13"/>
  <c r="K108" i="13"/>
  <c r="K39" i="13"/>
  <c r="K188" i="13"/>
  <c r="J292" i="13"/>
  <c r="J148" i="13"/>
  <c r="J37" i="13"/>
  <c r="J1387" i="13"/>
  <c r="J1268" i="13"/>
  <c r="J1161" i="13"/>
  <c r="J1094" i="13"/>
  <c r="J1039" i="13"/>
  <c r="J955" i="13"/>
  <c r="J877" i="13"/>
  <c r="J778" i="13"/>
  <c r="J710" i="13"/>
  <c r="J604" i="13"/>
  <c r="J530" i="13"/>
  <c r="J440" i="13"/>
  <c r="J404" i="13"/>
  <c r="J361" i="13"/>
  <c r="J290" i="13"/>
  <c r="J210" i="13"/>
  <c r="J145" i="13"/>
  <c r="J103" i="13"/>
  <c r="J31" i="13"/>
  <c r="J625" i="13"/>
  <c r="J507" i="13"/>
  <c r="J364" i="13"/>
  <c r="J255" i="13"/>
  <c r="J157" i="13"/>
  <c r="J56" i="13"/>
  <c r="J1412" i="13"/>
  <c r="J1344" i="13"/>
  <c r="J1244" i="13"/>
  <c r="J1203" i="13"/>
  <c r="J1154" i="13"/>
  <c r="J1089" i="13"/>
  <c r="J1028" i="13"/>
  <c r="J934" i="13"/>
  <c r="J821" i="13"/>
  <c r="J736" i="13"/>
  <c r="J675" i="13"/>
  <c r="J638" i="13"/>
  <c r="J511" i="13"/>
  <c r="J445" i="13"/>
  <c r="J338" i="13"/>
  <c r="J234" i="13"/>
  <c r="J163" i="13"/>
  <c r="J48" i="13"/>
  <c r="J1427" i="13"/>
  <c r="J1325" i="13"/>
  <c r="J1181" i="13"/>
  <c r="J1142" i="13"/>
  <c r="J1062" i="13"/>
  <c r="J969" i="13"/>
  <c r="J916" i="13"/>
  <c r="J830" i="13"/>
  <c r="J743" i="13"/>
  <c r="J641" i="13"/>
  <c r="J563" i="13"/>
  <c r="J478" i="13"/>
  <c r="J419" i="13"/>
  <c r="J370" i="13"/>
  <c r="J332" i="13"/>
  <c r="J233" i="13"/>
  <c r="J176" i="13"/>
  <c r="J119" i="13"/>
  <c r="J40" i="13"/>
  <c r="J1358" i="13"/>
  <c r="J1261" i="13"/>
  <c r="J1191" i="13"/>
  <c r="J1119" i="13"/>
  <c r="J1068" i="13"/>
  <c r="J1015" i="13"/>
  <c r="J940" i="13"/>
  <c r="J860" i="13"/>
  <c r="J780" i="13"/>
  <c r="J714" i="13"/>
  <c r="J655" i="13"/>
  <c r="J603" i="13"/>
  <c r="J555" i="13"/>
  <c r="J491" i="13"/>
  <c r="J420" i="13"/>
  <c r="J308" i="13"/>
  <c r="J214" i="13"/>
  <c r="J130" i="13"/>
  <c r="J81" i="13"/>
  <c r="J2" i="13"/>
  <c r="J1396" i="13"/>
  <c r="J1336" i="13"/>
  <c r="J1234" i="13"/>
  <c r="J1177" i="13"/>
  <c r="J1093" i="13"/>
  <c r="J1022" i="13"/>
  <c r="J1000" i="13"/>
  <c r="J946" i="13"/>
  <c r="J876" i="13"/>
  <c r="J826" i="13"/>
  <c r="J751" i="13"/>
  <c r="J662" i="13"/>
  <c r="J610" i="13"/>
  <c r="J531" i="13"/>
  <c r="J455" i="13"/>
  <c r="J385" i="13"/>
  <c r="J333" i="13"/>
  <c r="J293" i="13"/>
  <c r="J201" i="13"/>
  <c r="J150" i="13"/>
  <c r="J47" i="13"/>
  <c r="J1422" i="13"/>
  <c r="J1352" i="13"/>
  <c r="J1287" i="13"/>
  <c r="J1169" i="13"/>
  <c r="J1107" i="13"/>
  <c r="J996" i="13"/>
  <c r="J898" i="13"/>
  <c r="J787" i="13"/>
  <c r="J695" i="13"/>
  <c r="J636" i="13"/>
  <c r="J573" i="13"/>
  <c r="J515" i="13"/>
  <c r="J447" i="13"/>
  <c r="J367" i="13"/>
  <c r="J249" i="13"/>
  <c r="J162" i="13"/>
  <c r="J100" i="13"/>
  <c r="J32" i="13"/>
  <c r="J1346" i="13"/>
  <c r="J1148" i="13"/>
  <c r="J925" i="13"/>
  <c r="J741" i="13"/>
  <c r="J647" i="13"/>
  <c r="J559" i="13"/>
  <c r="J408" i="13"/>
  <c r="J280" i="13"/>
  <c r="J198" i="13"/>
  <c r="J133" i="13"/>
  <c r="J11" i="13"/>
  <c r="J1367" i="13"/>
  <c r="J1297" i="13"/>
  <c r="J1206" i="13"/>
  <c r="J1182" i="13"/>
  <c r="J1124" i="13"/>
  <c r="J1040" i="13"/>
  <c r="J950" i="13"/>
  <c r="J862" i="13"/>
  <c r="J785" i="13"/>
  <c r="J708" i="13"/>
  <c r="J657" i="13"/>
  <c r="J557" i="13"/>
  <c r="J461" i="13"/>
  <c r="J358" i="13"/>
  <c r="J291" i="13"/>
  <c r="J190" i="13"/>
  <c r="J80" i="13"/>
  <c r="J9" i="13"/>
  <c r="J1372" i="13"/>
  <c r="J1256" i="13"/>
  <c r="J1155" i="13"/>
  <c r="J1084" i="13"/>
  <c r="J1009" i="13"/>
  <c r="J929" i="13"/>
  <c r="J870" i="13"/>
  <c r="J765" i="13"/>
  <c r="J663" i="13"/>
  <c r="J590" i="13"/>
  <c r="J493" i="13"/>
  <c r="J438" i="13"/>
  <c r="J379" i="13"/>
  <c r="J352" i="13"/>
  <c r="J272" i="13"/>
  <c r="J189" i="13"/>
  <c r="J141" i="13"/>
  <c r="J94" i="13"/>
  <c r="J13" i="13"/>
  <c r="K87" i="13"/>
  <c r="K292" i="13"/>
  <c r="K148" i="13"/>
  <c r="K37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<sst xmlns="http://schemas.openxmlformats.org/spreadsheetml/2006/main" count="18571" uniqueCount="5072">
  <si>
    <t>Name</t>
  </si>
  <si>
    <t>Native</t>
  </si>
  <si>
    <t>Status</t>
  </si>
  <si>
    <t>City / District / County</t>
  </si>
  <si>
    <t>Population</t>
  </si>
  <si>
    <t>Băichĭ Zhèn</t>
  </si>
  <si>
    <t>百尺镇</t>
  </si>
  <si>
    <t>Town</t>
  </si>
  <si>
    <t>Húguān Xiàn</t>
  </si>
  <si>
    <t>Bàodiàn Zhèn</t>
  </si>
  <si>
    <t>鲍店镇</t>
  </si>
  <si>
    <t>Chángzi Xiàn</t>
  </si>
  <si>
    <t>Bāyì Zhèn</t>
  </si>
  <si>
    <t>八义镇</t>
  </si>
  <si>
    <t>Shàngdăng Qū</t>
  </si>
  <si>
    <t>Bĕichéng Xiāng</t>
  </si>
  <si>
    <t>北呈乡</t>
  </si>
  <si>
    <t>Rural Township</t>
  </si>
  <si>
    <t>Bĕidānchē Xiāng</t>
  </si>
  <si>
    <t>北耽车乡</t>
  </si>
  <si>
    <t>Píngshùn Xiàn</t>
  </si>
  <si>
    <t>Bĕidĭ Xiāng</t>
  </si>
  <si>
    <t>北底乡</t>
  </si>
  <si>
    <t>Xiāngyuán Xiàn</t>
  </si>
  <si>
    <t>Bĕishè Xiāng</t>
  </si>
  <si>
    <t>北社乡</t>
  </si>
  <si>
    <t>Cècūn Zhèn</t>
  </si>
  <si>
    <t>册村镇</t>
  </si>
  <si>
    <t>Qìn Xiàn</t>
  </si>
  <si>
    <t>Chángbĕi Jiēdào</t>
  </si>
  <si>
    <t>长北街道</t>
  </si>
  <si>
    <t>Urban Subdistrict</t>
  </si>
  <si>
    <t>Lùzhōu Qū</t>
  </si>
  <si>
    <t>Chángpíng Kāifāqū [Changping Economic Development Zone]</t>
  </si>
  <si>
    <t>常平开发区</t>
  </si>
  <si>
    <t>Township-like Area</t>
  </si>
  <si>
    <t>Chángqīng Jiēdào</t>
  </si>
  <si>
    <t>常青街道</t>
  </si>
  <si>
    <t>Chángzhāng Xiāng</t>
  </si>
  <si>
    <t>常张乡</t>
  </si>
  <si>
    <t>Chángzhì Gāoxīn Jìshù Kāifāqū [Changzhi High-tech Development Zone]</t>
  </si>
  <si>
    <t>长治高新技术开发区</t>
  </si>
  <si>
    <t>Chéngjiāchuān Jiēdào</t>
  </si>
  <si>
    <t>成家川街道</t>
  </si>
  <si>
    <t>Lùchéng Qū</t>
  </si>
  <si>
    <t>Chéngjiāshān Xiāng</t>
  </si>
  <si>
    <t>程家山乡</t>
  </si>
  <si>
    <t>Líchéng Xiàn</t>
  </si>
  <si>
    <t>Chìshíqiáo Xiāng</t>
  </si>
  <si>
    <t>赤石桥乡</t>
  </si>
  <si>
    <t>Qìnyuán Xiàn</t>
  </si>
  <si>
    <t>Cìcūn Xiāng</t>
  </si>
  <si>
    <t>次村乡</t>
  </si>
  <si>
    <t>Cílín Zhèn</t>
  </si>
  <si>
    <t>慈林镇</t>
  </si>
  <si>
    <t>Cōngziyù Xiāng</t>
  </si>
  <si>
    <t>聪子峪乡</t>
  </si>
  <si>
    <t>Dàbăotóu Zhèn</t>
  </si>
  <si>
    <t>大堡头镇</t>
  </si>
  <si>
    <t>Dānzhū Zhèn</t>
  </si>
  <si>
    <t>丹朱镇</t>
  </si>
  <si>
    <t>Dàxīnzhuāng Zhèn</t>
  </si>
  <si>
    <t>大辛庄镇</t>
  </si>
  <si>
    <t>Dàyŏu Xiāng</t>
  </si>
  <si>
    <t>大有乡</t>
  </si>
  <si>
    <t>Wŭxiāng Xiàn</t>
  </si>
  <si>
    <t>Diànshàng Zhèn</t>
  </si>
  <si>
    <t>店上镇</t>
  </si>
  <si>
    <t>Dìngchāng Zhèn</t>
  </si>
  <si>
    <t>定昌镇</t>
  </si>
  <si>
    <t>Dōnghé Xiāng</t>
  </si>
  <si>
    <t>东和乡</t>
  </si>
  <si>
    <t>Dōngjiē Jiēdào</t>
  </si>
  <si>
    <t>东街街道</t>
  </si>
  <si>
    <t>Dōngjĭnglĭng Xiāng</t>
  </si>
  <si>
    <t>东井岭乡</t>
  </si>
  <si>
    <t>Dōngsìtóu Xiāng</t>
  </si>
  <si>
    <t>东寺头乡</t>
  </si>
  <si>
    <t>Dōngyángguān Zhèn</t>
  </si>
  <si>
    <t>东阳关镇</t>
  </si>
  <si>
    <t>Duànliŭ Xiāng</t>
  </si>
  <si>
    <t>段柳乡</t>
  </si>
  <si>
    <t>Éwū Xiāng</t>
  </si>
  <si>
    <t>鹅屋乡</t>
  </si>
  <si>
    <t>Făzhōng Xiāng</t>
  </si>
  <si>
    <t>法中乡</t>
  </si>
  <si>
    <t>Fēngyí Zhèn</t>
  </si>
  <si>
    <t>丰宜镇</t>
  </si>
  <si>
    <t>Túnliú Qū</t>
  </si>
  <si>
    <t>Fēngzhōu Zhèn</t>
  </si>
  <si>
    <t>丰州镇</t>
  </si>
  <si>
    <t>Fēnshuĭlĭng Xiāng</t>
  </si>
  <si>
    <t>分水岭乡</t>
  </si>
  <si>
    <t>Guāntān Xiāng</t>
  </si>
  <si>
    <t>官滩乡</t>
  </si>
  <si>
    <t>Gùchéng Zhèn</t>
  </si>
  <si>
    <t>故城镇</t>
  </si>
  <si>
    <t>Gŭhán Zhèn</t>
  </si>
  <si>
    <t>古韩镇</t>
  </si>
  <si>
    <t>Guōcūn Zhèn</t>
  </si>
  <si>
    <t>郭村镇</t>
  </si>
  <si>
    <t>Guōdào Zhèn</t>
  </si>
  <si>
    <t>郭道镇</t>
  </si>
  <si>
    <t>Gùxiàn Jiēdào</t>
  </si>
  <si>
    <t>故县街道</t>
  </si>
  <si>
    <t>Gùxiàn Xiāng</t>
  </si>
  <si>
    <t>故县乡</t>
  </si>
  <si>
    <t>Gùxiàn Zhèn</t>
  </si>
  <si>
    <t>故县镇</t>
  </si>
  <si>
    <t>Hánbĕi Xiāng</t>
  </si>
  <si>
    <t>韩北乡</t>
  </si>
  <si>
    <t>Hándiàn Jiēdào</t>
  </si>
  <si>
    <t>韩店街道</t>
  </si>
  <si>
    <t>Hánhóng Xiāng</t>
  </si>
  <si>
    <t>韩洪乡</t>
  </si>
  <si>
    <t>Hăojiāzhuāng Zhèn</t>
  </si>
  <si>
    <t>郝家庄镇</t>
  </si>
  <si>
    <t>Héshénmiào Xiāng</t>
  </si>
  <si>
    <t>河神庙乡</t>
  </si>
  <si>
    <t>Héshì Xiāng</t>
  </si>
  <si>
    <t>合室乡</t>
  </si>
  <si>
    <t>Hóngjĭng Xiāng</t>
  </si>
  <si>
    <t>洪井乡</t>
  </si>
  <si>
    <t>Hóngshuĭ Zhèn</t>
  </si>
  <si>
    <t>洪水镇</t>
  </si>
  <si>
    <t>Hóngtīguān Xiāng</t>
  </si>
  <si>
    <t>虹梯关乡</t>
  </si>
  <si>
    <t>Hòubăo Zhèn</t>
  </si>
  <si>
    <t>侯堡镇</t>
  </si>
  <si>
    <t>Hòubĕizhuāng Zhèn</t>
  </si>
  <si>
    <t>堠北庄镇</t>
  </si>
  <si>
    <t>Huángniăn Zhèn</t>
  </si>
  <si>
    <t>黄碾镇</t>
  </si>
  <si>
    <t>Huángniútí Xiāng</t>
  </si>
  <si>
    <t>黄牛蹄乡</t>
  </si>
  <si>
    <t>Huángshān Xiāng</t>
  </si>
  <si>
    <t>黄山乡</t>
  </si>
  <si>
    <t>Huángyádòng Zhèn</t>
  </si>
  <si>
    <t>黄崖洞镇</t>
  </si>
  <si>
    <t>Jiăhuò Xiāng</t>
  </si>
  <si>
    <t>贾豁乡</t>
  </si>
  <si>
    <t>Jiānzhāng Zhèn</t>
  </si>
  <si>
    <t>监漳镇</t>
  </si>
  <si>
    <t>Jiāokŏu Xiāng</t>
  </si>
  <si>
    <t>交口乡</t>
  </si>
  <si>
    <t>Jiăzhăng Zhèn</t>
  </si>
  <si>
    <t>贾掌镇</t>
  </si>
  <si>
    <t>Jídiàn Xiāng</t>
  </si>
  <si>
    <t>集店乡</t>
  </si>
  <si>
    <t>Jĭngfèng Xiāng</t>
  </si>
  <si>
    <t>景凤乡</t>
  </si>
  <si>
    <t>Jìnzhuāng Zhèn</t>
  </si>
  <si>
    <t>晋庄镇</t>
  </si>
  <si>
    <t>Kāifā Yuánqū Kāifāqū</t>
  </si>
  <si>
    <t>开发园区</t>
  </si>
  <si>
    <t>Kāngzhuāng Gōngyè Yuánqū</t>
  </si>
  <si>
    <t>康庄工业园区</t>
  </si>
  <si>
    <t>Lánshuĭ Xiāng</t>
  </si>
  <si>
    <t>岚水乡</t>
  </si>
  <si>
    <t>Lăodĭngshān Zhèn</t>
  </si>
  <si>
    <t>老顶山镇</t>
  </si>
  <si>
    <t>Lĭgāo Xiāng</t>
  </si>
  <si>
    <t>李高乡</t>
  </si>
  <si>
    <t>Líhòu Zhèn</t>
  </si>
  <si>
    <t>黎侯镇</t>
  </si>
  <si>
    <t>Língkōngshān Zhèn</t>
  </si>
  <si>
    <t>灵空山镇</t>
  </si>
  <si>
    <t>Línjiàng Jiēdào</t>
  </si>
  <si>
    <t>麟绛街道</t>
  </si>
  <si>
    <t>Lĭyuán Zhèn</t>
  </si>
  <si>
    <t>李元镇</t>
  </si>
  <si>
    <t>Lóngquán Zhèn</t>
  </si>
  <si>
    <t>龙泉镇</t>
  </si>
  <si>
    <t>Lóngxī Zhèn</t>
  </si>
  <si>
    <t>龙溪镇</t>
  </si>
  <si>
    <t>Lùcūn Xiāng</t>
  </si>
  <si>
    <t>路村乡</t>
  </si>
  <si>
    <t>Lùhuá Jiēdào</t>
  </si>
  <si>
    <t>潞华街道</t>
  </si>
  <si>
    <t>Măchăng Zhèn</t>
  </si>
  <si>
    <t>马厂镇</t>
  </si>
  <si>
    <t>Miáozhuāng Zhèn</t>
  </si>
  <si>
    <t>苗庄镇</t>
  </si>
  <si>
    <t>Mòdèng Xiāng</t>
  </si>
  <si>
    <t>墨镫乡</t>
  </si>
  <si>
    <t>Nánchén Xiāng</t>
  </si>
  <si>
    <t>南陈乡</t>
  </si>
  <si>
    <t>Nánlĭ Xiāng</t>
  </si>
  <si>
    <t>南里乡</t>
  </si>
  <si>
    <t>Nánquán Xiāng</t>
  </si>
  <si>
    <t>南泉乡</t>
  </si>
  <si>
    <t>Nánsòng Xiāng</t>
  </si>
  <si>
    <t>南宋乡</t>
  </si>
  <si>
    <t>Nánzhāng Zhèn</t>
  </si>
  <si>
    <t>南漳镇</t>
  </si>
  <si>
    <t>Niănzhāng Xiāng</t>
  </si>
  <si>
    <t>碾张乡</t>
  </si>
  <si>
    <t>Niúsì Xiāng</t>
  </si>
  <si>
    <t>牛寺乡</t>
  </si>
  <si>
    <t>Pánlóng Zhèn</t>
  </si>
  <si>
    <t>蟠龙镇</t>
  </si>
  <si>
    <t>Qiáoshàng Zhèn [Qiáoshàng Xiāng]</t>
  </si>
  <si>
    <t>大峡谷镇</t>
  </si>
  <si>
    <t>Qīngyáng Zhèn</t>
  </si>
  <si>
    <t>青羊镇</t>
  </si>
  <si>
    <t>Qìnhé Zhèn</t>
  </si>
  <si>
    <t>沁河镇</t>
  </si>
  <si>
    <t>Sètóu Zhèn</t>
  </si>
  <si>
    <t>色头镇</t>
  </si>
  <si>
    <t>Shànfú Xiāng</t>
  </si>
  <si>
    <t>善福乡</t>
  </si>
  <si>
    <t>Shàngcūn Zhèn</t>
  </si>
  <si>
    <t>上村镇</t>
  </si>
  <si>
    <t>Shànglián Kāifāqū</t>
  </si>
  <si>
    <t>上莲开发区</t>
  </si>
  <si>
    <t>Shàngmă Xiāng</t>
  </si>
  <si>
    <t>上马乡</t>
  </si>
  <si>
    <t>Shàngsī Xiāng</t>
  </si>
  <si>
    <t>上司乡</t>
  </si>
  <si>
    <t>Shàngyáo Zhèn</t>
  </si>
  <si>
    <t>上遥镇</t>
  </si>
  <si>
    <t>Shíbĕi Xiāng</t>
  </si>
  <si>
    <t>石北乡</t>
  </si>
  <si>
    <t>Shíchéng Zhèn</t>
  </si>
  <si>
    <t>石城镇</t>
  </si>
  <si>
    <t>Shĭhuí Zhèn</t>
  </si>
  <si>
    <t>史回镇</t>
  </si>
  <si>
    <t>Shípō Xiāng</t>
  </si>
  <si>
    <t>石坡乡</t>
  </si>
  <si>
    <t>Shízhé Zhèn</t>
  </si>
  <si>
    <t>石哲镇</t>
  </si>
  <si>
    <t>Shùzhăng Zhèn</t>
  </si>
  <si>
    <t>树掌镇</t>
  </si>
  <si>
    <t>Sòngcūn Xiāng</t>
  </si>
  <si>
    <t>宋村乡</t>
  </si>
  <si>
    <t>Sōngcūn Xiāng</t>
  </si>
  <si>
    <t>松村乡</t>
  </si>
  <si>
    <t>Sūdiàn Zhèn</t>
  </si>
  <si>
    <t>苏店镇</t>
  </si>
  <si>
    <t>Tàixíng Dōngjiē Jiēdào</t>
  </si>
  <si>
    <t>太行东街街道</t>
  </si>
  <si>
    <t>Tàixíng Xījiē Jiēdào</t>
  </si>
  <si>
    <t>太行西街街道</t>
  </si>
  <si>
    <t>Tínghépū Xiāng</t>
  </si>
  <si>
    <t>停河铺乡</t>
  </si>
  <si>
    <t>Wángcūn Zhèn</t>
  </si>
  <si>
    <t>王村镇</t>
  </si>
  <si>
    <t>Wánghé Zhèn</t>
  </si>
  <si>
    <t>王和镇</t>
  </si>
  <si>
    <t>Wángqiáo Zhèn</t>
  </si>
  <si>
    <t>王桥镇</t>
  </si>
  <si>
    <t>Wángtáo Zhèn</t>
  </si>
  <si>
    <t>王陶镇</t>
  </si>
  <si>
    <t>Wēizi Zhèn</t>
  </si>
  <si>
    <t>微子镇</t>
  </si>
  <si>
    <t>Wŭlóngshān Xiāng</t>
  </si>
  <si>
    <t>五龙山乡</t>
  </si>
  <si>
    <t>Wŭmă Jiēdào</t>
  </si>
  <si>
    <t>五马街道</t>
  </si>
  <si>
    <t>Wúyuán Zhèn</t>
  </si>
  <si>
    <t>吾元镇</t>
  </si>
  <si>
    <t>Xiàdiàn Zhèn</t>
  </si>
  <si>
    <t>夏店镇</t>
  </si>
  <si>
    <t>Xiàliáng Zhèn</t>
  </si>
  <si>
    <t>下良镇</t>
  </si>
  <si>
    <t>Xībáitù Xiāng</t>
  </si>
  <si>
    <t>西白兔乡</t>
  </si>
  <si>
    <t>Xīchí Xiāng</t>
  </si>
  <si>
    <t>西池乡</t>
  </si>
  <si>
    <t>Xīgōu Xiāng</t>
  </si>
  <si>
    <t>西沟乡</t>
  </si>
  <si>
    <t>Xīhuŏ Zhèn [incl. Zhènxīng Xīnqū]</t>
  </si>
  <si>
    <t>西火镇</t>
  </si>
  <si>
    <t>Xījiă Xiāng</t>
  </si>
  <si>
    <t>西贾乡</t>
  </si>
  <si>
    <t>Xījiē Jiēdào</t>
  </si>
  <si>
    <t>西街街道</t>
  </si>
  <si>
    <t>Xījĭng Zhèn</t>
  </si>
  <si>
    <t>西井镇</t>
  </si>
  <si>
    <t>Xīliúzhài Kāifāqū</t>
  </si>
  <si>
    <t>西流寨开发区</t>
  </si>
  <si>
    <t>Xīn'ānquán Zhèn</t>
  </si>
  <si>
    <t>辛安泉镇</t>
  </si>
  <si>
    <t>Xīndiàn Zhèn</t>
  </si>
  <si>
    <t>新店镇</t>
  </si>
  <si>
    <t>Xìngchéng Zhèn</t>
  </si>
  <si>
    <t>杏城镇</t>
  </si>
  <si>
    <t>Xīwŭ Xiāng</t>
  </si>
  <si>
    <t>西仵乡</t>
  </si>
  <si>
    <t>Xīyíng Zhèn</t>
  </si>
  <si>
    <t>西营镇</t>
  </si>
  <si>
    <t>Yán'ānnánlù Jiēdào</t>
  </si>
  <si>
    <t>延安南路街道</t>
  </si>
  <si>
    <t>Yáng'ān Xiāng</t>
  </si>
  <si>
    <t>杨安乡</t>
  </si>
  <si>
    <t>Yánggāo Xiāng</t>
  </si>
  <si>
    <t>阳高乡</t>
  </si>
  <si>
    <t>Yìnchéng Zhèn</t>
  </si>
  <si>
    <t>荫城镇</t>
  </si>
  <si>
    <t>Yīngxióng Nánlù Jiēdào</t>
  </si>
  <si>
    <t>英雄南路街道</t>
  </si>
  <si>
    <t>Yīngxióng Zhōnglù Jiēdào</t>
  </si>
  <si>
    <t>英雄中路街道</t>
  </si>
  <si>
    <t>Yŏngquán Xiāng</t>
  </si>
  <si>
    <t>涌泉乡</t>
  </si>
  <si>
    <t>Yúwú Zhèn</t>
  </si>
  <si>
    <t>余吾镇</t>
  </si>
  <si>
    <t>Yúzé Zhèn</t>
  </si>
  <si>
    <t>渔泽镇</t>
  </si>
  <si>
    <t>Zháidiàn Zhèn</t>
  </si>
  <si>
    <t>翟店镇</t>
  </si>
  <si>
    <t>Zhāngdiàn Zhèn</t>
  </si>
  <si>
    <t>张店镇</t>
  </si>
  <si>
    <t>Zhāngyuán Zhèn</t>
  </si>
  <si>
    <t>漳源镇</t>
  </si>
  <si>
    <t>Zhìtíng Zhèn</t>
  </si>
  <si>
    <t>虒亭镇</t>
  </si>
  <si>
    <t>Zhōngwŭjĭng Xiāng</t>
  </si>
  <si>
    <t>中五井乡</t>
  </si>
  <si>
    <t>Zhōngyù Xiāng</t>
  </si>
  <si>
    <t>中峪乡</t>
  </si>
  <si>
    <t>Zĭjīnjiē Jiēdào</t>
  </si>
  <si>
    <t>紫金街街道</t>
  </si>
  <si>
    <t>Áoshí Xiāng</t>
  </si>
  <si>
    <t>鳌石乡</t>
  </si>
  <si>
    <t>Yánggāo Xiàn</t>
  </si>
  <si>
    <t>Báidòng Jiēdào</t>
  </si>
  <si>
    <t>白洞街道</t>
  </si>
  <si>
    <t>Yúngāng Qū</t>
  </si>
  <si>
    <t>Báiyátái Xiāng</t>
  </si>
  <si>
    <t>白崖台乡</t>
  </si>
  <si>
    <t>Língqiū Xiàn</t>
  </si>
  <si>
    <t>Băoziwān Xiāng</t>
  </si>
  <si>
    <t>堡子湾乡</t>
  </si>
  <si>
    <t>Xīnróng Qū</t>
  </si>
  <si>
    <t>Bĕiguān Jiēdào</t>
  </si>
  <si>
    <t>北关街道</t>
  </si>
  <si>
    <t>Píngchéng Qū</t>
  </si>
  <si>
    <t>Bèijiāzào Zhèn</t>
  </si>
  <si>
    <t>倍加造镇</t>
  </si>
  <si>
    <t>Yúnzhōu Qū</t>
  </si>
  <si>
    <t>Bĕijiē Jiēdào</t>
  </si>
  <si>
    <t>北街街道</t>
  </si>
  <si>
    <t>Bĕixútún Xiāng</t>
  </si>
  <si>
    <t>北徐屯乡</t>
  </si>
  <si>
    <t>Càicūn Zhèn</t>
  </si>
  <si>
    <t>蔡村镇</t>
  </si>
  <si>
    <t>Húnyuán Xiàn</t>
  </si>
  <si>
    <t>Chángchéng Xiāng</t>
  </si>
  <si>
    <t>长城乡</t>
  </si>
  <si>
    <t>Dàbáidēng Zhèn</t>
  </si>
  <si>
    <t>大白登镇</t>
  </si>
  <si>
    <t>Dàcíyáo Zhèn</t>
  </si>
  <si>
    <t>大磁窑镇</t>
  </si>
  <si>
    <t>Dàdòugōu Jiēdào</t>
  </si>
  <si>
    <t>大斗沟街道</t>
  </si>
  <si>
    <t>Dăngliúzhuāng Xiāng</t>
  </si>
  <si>
    <t>党留庄乡</t>
  </si>
  <si>
    <t>Dàqìnglù Jiēdào</t>
  </si>
  <si>
    <t>大庆路街道</t>
  </si>
  <si>
    <t>Dàrénzhuāng Xiāng</t>
  </si>
  <si>
    <t>大仁庄乡</t>
  </si>
  <si>
    <t>Diànwān Zhèn</t>
  </si>
  <si>
    <t>店湾镇</t>
  </si>
  <si>
    <t>Zuǒyún Xiàn</t>
  </si>
  <si>
    <t>Dōngfāngchéng Xiāng</t>
  </si>
  <si>
    <t>东坊城乡</t>
  </si>
  <si>
    <t>Dōnghénán Zhèn</t>
  </si>
  <si>
    <t>东河南镇</t>
  </si>
  <si>
    <t>Dōngjiē</t>
  </si>
  <si>
    <t>东街办事处</t>
  </si>
  <si>
    <t>Dōngxiăocūn Zhèn</t>
  </si>
  <si>
    <t>东小村镇</t>
  </si>
  <si>
    <t>Dúyù Xiāng</t>
  </si>
  <si>
    <t>独峪乡</t>
  </si>
  <si>
    <t>Dùzhuāng Xiāng</t>
  </si>
  <si>
    <t>杜庄乡</t>
  </si>
  <si>
    <t>Fēngyù Xiāng</t>
  </si>
  <si>
    <t>峰峪乡</t>
  </si>
  <si>
    <t>Gāoshān Zhèn</t>
  </si>
  <si>
    <t>高山镇</t>
  </si>
  <si>
    <t>Guān'ér Xiāng</t>
  </si>
  <si>
    <t>官儿乡</t>
  </si>
  <si>
    <t>Guănjiābăo Xiāng</t>
  </si>
  <si>
    <t>管家堡乡</t>
  </si>
  <si>
    <t>Guāyuán Xiāng</t>
  </si>
  <si>
    <t>瓜园乡</t>
  </si>
  <si>
    <t>Gŭchéng Zhèn</t>
  </si>
  <si>
    <t>古城镇</t>
  </si>
  <si>
    <t>Gŭdiàn Zhèn</t>
  </si>
  <si>
    <t>古店镇</t>
  </si>
  <si>
    <t>Guōjiāyáo Xiāng</t>
  </si>
  <si>
    <t>郭家窑乡</t>
  </si>
  <si>
    <t>Gŭqiánbăo Zhèn</t>
  </si>
  <si>
    <t>谷前堡镇</t>
  </si>
  <si>
    <t>Tiānzhèn Xiàn</t>
  </si>
  <si>
    <t>Héruì Jiēdào</t>
  </si>
  <si>
    <t>和瑞街道</t>
  </si>
  <si>
    <t>Héshùn Jiēdào</t>
  </si>
  <si>
    <t>和顺街道</t>
  </si>
  <si>
    <t>Hóngshíléng Xiāng</t>
  </si>
  <si>
    <t>红石塄乡</t>
  </si>
  <si>
    <t>Huánghuātān Xiāng</t>
  </si>
  <si>
    <t>黄花滩乡</t>
  </si>
  <si>
    <t>Huāyuántún Xiāng</t>
  </si>
  <si>
    <t>花园屯乡</t>
  </si>
  <si>
    <t>Húdōng</t>
  </si>
  <si>
    <t>湖东办事处</t>
  </si>
  <si>
    <t>Húquán Zhèn</t>
  </si>
  <si>
    <t>壶泉镇</t>
  </si>
  <si>
    <t>Guănglíng Xiàn</t>
  </si>
  <si>
    <t>Jiādòu Xiāng</t>
  </si>
  <si>
    <t>加斗乡</t>
  </si>
  <si>
    <t>Jiăjiātún Xiāng</t>
  </si>
  <si>
    <t>贾家屯乡</t>
  </si>
  <si>
    <t>Jiāngjiāwān Jiēdào</t>
  </si>
  <si>
    <t>姜家湾街道</t>
  </si>
  <si>
    <t>Jiāoshān Xiāng</t>
  </si>
  <si>
    <t>蕉山乡</t>
  </si>
  <si>
    <t>Jíjiāzhuāng Xiāng</t>
  </si>
  <si>
    <t>吉家庄乡</t>
  </si>
  <si>
    <t>Jīngjì Jìshù Kāifāqū</t>
  </si>
  <si>
    <t>经济技术开发区</t>
  </si>
  <si>
    <t>Jìnhuágōng Jiēdào</t>
  </si>
  <si>
    <t>晋华宫街道</t>
  </si>
  <si>
    <t>Jùlè Xiāng</t>
  </si>
  <si>
    <t>聚乐乡</t>
  </si>
  <si>
    <t>Kŏuquán Jiēdào</t>
  </si>
  <si>
    <t>口泉街道</t>
  </si>
  <si>
    <t>Kŏuquán Xiāng</t>
  </si>
  <si>
    <t>口泉乡</t>
  </si>
  <si>
    <t>Lăopíngwàng Jiēdào</t>
  </si>
  <si>
    <t>老平旺街道办事处</t>
  </si>
  <si>
    <t>Liángzhuāng Xiāng</t>
  </si>
  <si>
    <t>梁庄乡</t>
  </si>
  <si>
    <t>Liŭkē Xiāng</t>
  </si>
  <si>
    <t>柳科乡</t>
  </si>
  <si>
    <t>Lùjiāwān Zhèn</t>
  </si>
  <si>
    <t>逯家湾镇</t>
  </si>
  <si>
    <t>Luòshuĭhé Xiāng</t>
  </si>
  <si>
    <t>落水河乡</t>
  </si>
  <si>
    <t>Luówénzào Zhèn</t>
  </si>
  <si>
    <t>罗文皂镇</t>
  </si>
  <si>
    <t>Mădàotóu Xiāng</t>
  </si>
  <si>
    <t>马道头乡</t>
  </si>
  <si>
    <t>Măjiāzào Xiāng</t>
  </si>
  <si>
    <t>马家皂乡</t>
  </si>
  <si>
    <t>Măjĭliáng Jiēdào</t>
  </si>
  <si>
    <t>马脊梁街道</t>
  </si>
  <si>
    <t>Măjūnyíng Xiāng</t>
  </si>
  <si>
    <t>马军营乡</t>
  </si>
  <si>
    <t>Măkŏu Jiēdào</t>
  </si>
  <si>
    <t>马口街道</t>
  </si>
  <si>
    <t>Méiyùkŏu Jiēdào</t>
  </si>
  <si>
    <t>煤峪口街道</t>
  </si>
  <si>
    <t>Mínshèng Jiēdào</t>
  </si>
  <si>
    <t>民胜街道</t>
  </si>
  <si>
    <t>Mĭxīnguān Zhèn</t>
  </si>
  <si>
    <t>米薪关镇</t>
  </si>
  <si>
    <t>Náncūn Zhèn</t>
  </si>
  <si>
    <t>南村镇</t>
  </si>
  <si>
    <t>Nángāoyá Xiāng</t>
  </si>
  <si>
    <t>南高崖乡</t>
  </si>
  <si>
    <t>Nánguān Jiēdào</t>
  </si>
  <si>
    <t>南关街道</t>
  </si>
  <si>
    <t>Nánhébăo Xiāng</t>
  </si>
  <si>
    <t>南河堡乡</t>
  </si>
  <si>
    <t>Nánjiē Jiēdào</t>
  </si>
  <si>
    <t>南街街道</t>
  </si>
  <si>
    <t>Nányúlín Xiāng</t>
  </si>
  <si>
    <t>南榆林乡</t>
  </si>
  <si>
    <t>Péicūn Xiāng</t>
  </si>
  <si>
    <t>裴村乡</t>
  </si>
  <si>
    <t>Píngquánlù Jiēdào</t>
  </si>
  <si>
    <t>平泉路街道</t>
  </si>
  <si>
    <t>Píngwàng Xiāng</t>
  </si>
  <si>
    <t>平旺乡</t>
  </si>
  <si>
    <t>Pòlŭbăo Xiāng</t>
  </si>
  <si>
    <t>破鲁堡乡</t>
  </si>
  <si>
    <t>Qiānfólĭng Xiāng</t>
  </si>
  <si>
    <t>千佛岭乡</t>
  </si>
  <si>
    <t>Qīngcíyáo Jiēdào</t>
  </si>
  <si>
    <t>青磁窑街道</t>
  </si>
  <si>
    <t>Qīngcíyáo Xiāng</t>
  </si>
  <si>
    <t>青磁窑乡</t>
  </si>
  <si>
    <t>Què'érshān Zhèn</t>
  </si>
  <si>
    <t>鹊儿山镇</t>
  </si>
  <si>
    <t>Sàlĭpū Xiāng</t>
  </si>
  <si>
    <t>卅里铺乡</t>
  </si>
  <si>
    <t>Sāntún Xiāng</t>
  </si>
  <si>
    <t>三屯乡</t>
  </si>
  <si>
    <t>Shāgētuó Zhèn</t>
  </si>
  <si>
    <t>沙圪坨镇</t>
  </si>
  <si>
    <t>Shàngshēnjiàn Xiāng</t>
  </si>
  <si>
    <t>上深涧乡</t>
  </si>
  <si>
    <t>Shàngzhài Zhèn</t>
  </si>
  <si>
    <t>上寨镇</t>
  </si>
  <si>
    <t>Shíjiātián Xiāng</t>
  </si>
  <si>
    <t>石家田乡</t>
  </si>
  <si>
    <t>Shĭzhuāng Xiāng</t>
  </si>
  <si>
    <t>史庄乡</t>
  </si>
  <si>
    <t>Shīzitún Xiāng</t>
  </si>
  <si>
    <t>狮子屯乡</t>
  </si>
  <si>
    <t>Shuĭbósì Xiāng</t>
  </si>
  <si>
    <t>水泊寺乡</t>
  </si>
  <si>
    <t>Shuĭyáo Xiāng</t>
  </si>
  <si>
    <t>水窑乡</t>
  </si>
  <si>
    <t>Sìlăogōu Jiēdào</t>
  </si>
  <si>
    <t>四老沟街道</t>
  </si>
  <si>
    <t>Sìtáigōu Jiēdào</t>
  </si>
  <si>
    <t>四台沟街道</t>
  </si>
  <si>
    <t>Tóngjiāliáng Jiēdào</t>
  </si>
  <si>
    <t>同家梁街道</t>
  </si>
  <si>
    <t>Tuófēng Xiāng</t>
  </si>
  <si>
    <t>驼峰乡</t>
  </si>
  <si>
    <t>Wājīnwān Jiēdào</t>
  </si>
  <si>
    <t>挖金湾街道</t>
  </si>
  <si>
    <t>Wángcūn Jiēdào</t>
  </si>
  <si>
    <t>王村街道</t>
  </si>
  <si>
    <t>Wángguāntún Zhèn</t>
  </si>
  <si>
    <t>王官屯镇</t>
  </si>
  <si>
    <t>Wánghú Xiāng</t>
  </si>
  <si>
    <t>望狐乡</t>
  </si>
  <si>
    <t>Wángzhuāngbăo Zhèn</t>
  </si>
  <si>
    <t>王庄堡镇</t>
  </si>
  <si>
    <t>Wúchéng Xiāng</t>
  </si>
  <si>
    <t>吴城乡</t>
  </si>
  <si>
    <t>Wŭlíng Zhèn</t>
  </si>
  <si>
    <t>武灵镇</t>
  </si>
  <si>
    <t>Xiàguān Xiāng</t>
  </si>
  <si>
    <t>下关乡</t>
  </si>
  <si>
    <t>Xiàháncūn Xiāng</t>
  </si>
  <si>
    <t>下韩村乡</t>
  </si>
  <si>
    <t>Xiàngyánglĭ Jiēdào</t>
  </si>
  <si>
    <t>向阳里街道</t>
  </si>
  <si>
    <t>Xiăojīngzhuāng Xiāng</t>
  </si>
  <si>
    <t>小京庄乡</t>
  </si>
  <si>
    <t>Xiàshēnjĭng Xiāng</t>
  </si>
  <si>
    <t>下深井乡</t>
  </si>
  <si>
    <t>Xīcūn Xiāng</t>
  </si>
  <si>
    <t>西村乡</t>
  </si>
  <si>
    <t>Xīfāngchéng Zhèn</t>
  </si>
  <si>
    <t>西坊城镇</t>
  </si>
  <si>
    <t>Xīhánlĭng Xiāng</t>
  </si>
  <si>
    <t>西韩岭乡</t>
  </si>
  <si>
    <t>Xīhuāyuán Jiēdào</t>
  </si>
  <si>
    <t>西花园街道办事处</t>
  </si>
  <si>
    <t>Xījiē</t>
  </si>
  <si>
    <t>西街办事处</t>
  </si>
  <si>
    <t>Xīliúcūn Xiāng</t>
  </si>
  <si>
    <t>西留村乡</t>
  </si>
  <si>
    <t>Xìng'érgōu Jiēdào</t>
  </si>
  <si>
    <t>杏儿沟街道</t>
  </si>
  <si>
    <t>Xīnhuájiē Jiēdào</t>
  </si>
  <si>
    <t>新华街街道</t>
  </si>
  <si>
    <t>Xīnjiàn Bĕilù Jiēdào</t>
  </si>
  <si>
    <t>新建北路街道</t>
  </si>
  <si>
    <t>Xīnjiàn Nánlù Jiēdào</t>
  </si>
  <si>
    <t>新建南路街道</t>
  </si>
  <si>
    <t>Xīnpíngbǎo Zhèn</t>
  </si>
  <si>
    <t>新平堡镇</t>
  </si>
  <si>
    <t>Xīnpíngwàng Jiēdào</t>
  </si>
  <si>
    <t>新平旺街道</t>
  </si>
  <si>
    <t>Xīnquánlù Jiēdào</t>
  </si>
  <si>
    <t>新泉路街道</t>
  </si>
  <si>
    <t>Xīnróng Qū Jēdào Guănlĭ Zhōngxīn</t>
  </si>
  <si>
    <t>新荣区街道管理中心</t>
  </si>
  <si>
    <t>Xīnróng Zhèn</t>
  </si>
  <si>
    <t>新荣镇</t>
  </si>
  <si>
    <t>Xīnshèng Jiēdào</t>
  </si>
  <si>
    <t>新胜街道</t>
  </si>
  <si>
    <t>Xīnwàng Xiāng</t>
  </si>
  <si>
    <t>新旺乡</t>
  </si>
  <si>
    <t>Xīnzhōuyáo Jiēdào</t>
  </si>
  <si>
    <t>忻州窑街道</t>
  </si>
  <si>
    <t>Xīpíng Zhèn</t>
  </si>
  <si>
    <t>西坪镇</t>
  </si>
  <si>
    <t>Xŭbăo Xiāng</t>
  </si>
  <si>
    <t>许堡乡</t>
  </si>
  <si>
    <t>Yā'éryá Xiāng</t>
  </si>
  <si>
    <t>鸦儿崖乡</t>
  </si>
  <si>
    <t>Yànyá Jiēdào</t>
  </si>
  <si>
    <t>雁崖街道</t>
  </si>
  <si>
    <t>Yànzishān Jiēdào</t>
  </si>
  <si>
    <t>燕子山街道</t>
  </si>
  <si>
    <t>Yīdòuquán Xiāng [Dòuquán Xiāng]</t>
  </si>
  <si>
    <t>一斗泉乡</t>
  </si>
  <si>
    <t>Yíxīng Xiāng</t>
  </si>
  <si>
    <t>宜兴乡</t>
  </si>
  <si>
    <t>Yŏng'ān Zhèn</t>
  </si>
  <si>
    <t>永安镇</t>
  </si>
  <si>
    <t>Yŏngdìngzhuāng Jiēdào</t>
  </si>
  <si>
    <t>永定庄街道</t>
  </si>
  <si>
    <t>Yŏuzăi Zhèn</t>
  </si>
  <si>
    <t>友宰镇</t>
  </si>
  <si>
    <t>Yúngāng Zhèn</t>
  </si>
  <si>
    <t>云冈镇</t>
  </si>
  <si>
    <t>Yúnxīng Zhèn</t>
  </si>
  <si>
    <t>云兴镇</t>
  </si>
  <si>
    <t>Yùquán Zhèn</t>
  </si>
  <si>
    <t>玉泉镇</t>
  </si>
  <si>
    <t>Zhāngjiāchăng Xiāng</t>
  </si>
  <si>
    <t>张家场乡</t>
  </si>
  <si>
    <t>Zhāngxīhé Xiāng</t>
  </si>
  <si>
    <t>张西河乡</t>
  </si>
  <si>
    <t>Zhàobĕi Xiāng</t>
  </si>
  <si>
    <t>赵北乡</t>
  </si>
  <si>
    <t>Zhàojiāgōu Xiāng</t>
  </si>
  <si>
    <t>赵家沟乡</t>
  </si>
  <si>
    <t>Zhènhuá Nánjiē Jiēdào</t>
  </si>
  <si>
    <t>振华南街街道</t>
  </si>
  <si>
    <t>Zhōushìzhuāng Zhèn</t>
  </si>
  <si>
    <t>周士庄镇</t>
  </si>
  <si>
    <t>Zuòtuăn Xiāng</t>
  </si>
  <si>
    <t>作疃乡</t>
  </si>
  <si>
    <t>Bāgōng Zhèn</t>
  </si>
  <si>
    <t>巴公镇</t>
  </si>
  <si>
    <t>Zézhōu Xiàn</t>
  </si>
  <si>
    <t>Báisāng Xiāng</t>
  </si>
  <si>
    <t>白桑乡</t>
  </si>
  <si>
    <t>Yángchéng Xiàn</t>
  </si>
  <si>
    <t>Bĕichéng Jiēdào</t>
  </si>
  <si>
    <t>北城街道</t>
  </si>
  <si>
    <t>Gāopíng Shì</t>
  </si>
  <si>
    <t>Chéng Qū</t>
  </si>
  <si>
    <t>Bĕiliú Zhèn</t>
  </si>
  <si>
    <t>北留镇</t>
  </si>
  <si>
    <t>Bĕishídiàn Zhèn</t>
  </si>
  <si>
    <t>北石店镇</t>
  </si>
  <si>
    <t>Bĕishī Zhèn</t>
  </si>
  <si>
    <t>北诗镇</t>
  </si>
  <si>
    <t>Bĕiyìchéng Zhèn</t>
  </si>
  <si>
    <t>北义城镇</t>
  </si>
  <si>
    <t>Chénqū Zhèn</t>
  </si>
  <si>
    <t>陈区镇</t>
  </si>
  <si>
    <t>Chóngwén Zhèn</t>
  </si>
  <si>
    <t>崇文镇</t>
  </si>
  <si>
    <t>Língchuān Xiàn</t>
  </si>
  <si>
    <t>Chuāndĭ Xiāng</t>
  </si>
  <si>
    <t>川底乡</t>
  </si>
  <si>
    <t>Cìyíng Zhèn</t>
  </si>
  <si>
    <t>次营镇</t>
  </si>
  <si>
    <t>Dàdōnggōu Zhèn</t>
  </si>
  <si>
    <t>大东沟镇</t>
  </si>
  <si>
    <t>Dàjī Zhèn</t>
  </si>
  <si>
    <t>大箕镇</t>
  </si>
  <si>
    <t>Dàyáng Zhèn</t>
  </si>
  <si>
    <t>大阳镇</t>
  </si>
  <si>
    <t>Dīngdiàn Zhèn</t>
  </si>
  <si>
    <t>町店镇</t>
  </si>
  <si>
    <t>Dōngchéng Jiēdào</t>
  </si>
  <si>
    <t>东城街道办事处</t>
  </si>
  <si>
    <t>东城街道</t>
  </si>
  <si>
    <t>Dŏngfēng Xiāng</t>
  </si>
  <si>
    <t>董封乡</t>
  </si>
  <si>
    <t>Dōngyĕ Zhèn</t>
  </si>
  <si>
    <t>东冶镇</t>
  </si>
  <si>
    <t>Duānshì Zhèn</t>
  </si>
  <si>
    <t>端氏镇</t>
  </si>
  <si>
    <t>Qìnshuǐ Xiàn</t>
  </si>
  <si>
    <t>Duóhuŏ Xiāng</t>
  </si>
  <si>
    <t>夺火乡</t>
  </si>
  <si>
    <t>Fáncūnhé Xiāng</t>
  </si>
  <si>
    <t>樊村河乡</t>
  </si>
  <si>
    <t>Fèngchéng Zhèn</t>
  </si>
  <si>
    <t>凤城镇</t>
  </si>
  <si>
    <t>Fùchéng Zhèn</t>
  </si>
  <si>
    <t>附城镇</t>
  </si>
  <si>
    <t>Gāodū Zhèn</t>
  </si>
  <si>
    <t>高都镇</t>
  </si>
  <si>
    <t>Gŭjiāo Xiāng</t>
  </si>
  <si>
    <t>古郊乡</t>
  </si>
  <si>
    <t>Gùlóng Xiāng</t>
  </si>
  <si>
    <t>固隆乡</t>
  </si>
  <si>
    <t>固县乡</t>
  </si>
  <si>
    <t>Hébĕi Zhèn</t>
  </si>
  <si>
    <t>河北镇</t>
  </si>
  <si>
    <t>Hénghé Zhèn</t>
  </si>
  <si>
    <t>横河镇</t>
  </si>
  <si>
    <t>Héxī Zhèn</t>
  </si>
  <si>
    <t>河西镇</t>
  </si>
  <si>
    <t>Húdĭ Xiāng</t>
  </si>
  <si>
    <t>胡底乡</t>
  </si>
  <si>
    <t>Jiāfēng Zhèn</t>
  </si>
  <si>
    <t>嘉峰镇</t>
  </si>
  <si>
    <t>Jiàlĭng Xiāng</t>
  </si>
  <si>
    <t>驾岭乡</t>
  </si>
  <si>
    <t>Jiànníng Xiāng</t>
  </si>
  <si>
    <t>建宁乡</t>
  </si>
  <si>
    <t>Jīncūn Zhèn</t>
  </si>
  <si>
    <t>金村镇</t>
  </si>
  <si>
    <t>Jìnmiàopū Zhèn</t>
  </si>
  <si>
    <t>晋庙铺镇</t>
  </si>
  <si>
    <t>Kāifāqū Jiēdào</t>
  </si>
  <si>
    <t>开发区街道</t>
  </si>
  <si>
    <t>Kuàngqū Jiēdào</t>
  </si>
  <si>
    <t>矿区街道</t>
  </si>
  <si>
    <t>Líchuān Zhèn</t>
  </si>
  <si>
    <t>犁川镇</t>
  </si>
  <si>
    <t>Línchăng Guănlĭchŭ</t>
  </si>
  <si>
    <t>林场管理处</t>
  </si>
  <si>
    <t>Liùquán Xiāng</t>
  </si>
  <si>
    <t>六泉乡</t>
  </si>
  <si>
    <t>Liŭshùkŏu Zhèn</t>
  </si>
  <si>
    <t>柳树口镇</t>
  </si>
  <si>
    <t>Lĭyì Zhèn</t>
  </si>
  <si>
    <t>礼义镇</t>
  </si>
  <si>
    <t>Lĭzhài Xiāng</t>
  </si>
  <si>
    <t>李寨乡</t>
  </si>
  <si>
    <t>Lónggăng Zhèn</t>
  </si>
  <si>
    <t>龙港镇</t>
  </si>
  <si>
    <t>Lùchéng Zhèn</t>
  </si>
  <si>
    <t>潞城镇</t>
  </si>
  <si>
    <t>Măcūn Zhèn</t>
  </si>
  <si>
    <t>马村镇</t>
  </si>
  <si>
    <t>Măgēdāng Xiāng</t>
  </si>
  <si>
    <t>马圪当乡</t>
  </si>
  <si>
    <t>Mănghé Zhèn</t>
  </si>
  <si>
    <t>蟒河镇</t>
  </si>
  <si>
    <t>Mĭshān Zhèn</t>
  </si>
  <si>
    <t>米山镇</t>
  </si>
  <si>
    <t>Nánchéng Jiēdào</t>
  </si>
  <si>
    <t>南城街道</t>
  </si>
  <si>
    <t>Nánlĭng Xiāng</t>
  </si>
  <si>
    <t>南岭乡</t>
  </si>
  <si>
    <t>Píngchéng Zhèn</t>
  </si>
  <si>
    <t>平城镇</t>
  </si>
  <si>
    <t>Qínchí Zhèn</t>
  </si>
  <si>
    <t>芹池镇</t>
  </si>
  <si>
    <t>Qínjiāzhuāng Xiāng</t>
  </si>
  <si>
    <t>秦家庄乡</t>
  </si>
  <si>
    <t>Rùnchéng Zhèn</t>
  </si>
  <si>
    <t>润城镇</t>
  </si>
  <si>
    <t>Sānjiă Zhèn</t>
  </si>
  <si>
    <t>三甲镇</t>
  </si>
  <si>
    <t>Shānhé Zhèn</t>
  </si>
  <si>
    <t>山河镇</t>
  </si>
  <si>
    <t>Shénnóng Zhèn</t>
  </si>
  <si>
    <t>神农镇</t>
  </si>
  <si>
    <t>Shílĭ Xiāng</t>
  </si>
  <si>
    <t>十里乡</t>
  </si>
  <si>
    <t>Shímò Xiāng</t>
  </si>
  <si>
    <t>石末乡</t>
  </si>
  <si>
    <t>Shìzhuāng Zhèn</t>
  </si>
  <si>
    <t>柿庄镇</t>
  </si>
  <si>
    <t>Sìtóu Xiāng</t>
  </si>
  <si>
    <t>寺头乡</t>
  </si>
  <si>
    <t>Sìzhuāng Zhèn</t>
  </si>
  <si>
    <t>寺庄镇</t>
  </si>
  <si>
    <t>Sūzhuāng Xiāng</t>
  </si>
  <si>
    <t>苏庄乡</t>
  </si>
  <si>
    <t>Tŭwò Xiāng</t>
  </si>
  <si>
    <t>土沃乡</t>
  </si>
  <si>
    <t>Xiàcūn Zhèn</t>
  </si>
  <si>
    <t>下村镇</t>
  </si>
  <si>
    <t>Xīhédĭ Zhèn</t>
  </si>
  <si>
    <t>西河底镇</t>
  </si>
  <si>
    <t>Xīhé Xiāng</t>
  </si>
  <si>
    <t>西河乡</t>
  </si>
  <si>
    <t>Xīshàngzhuāng Jiēdào</t>
  </si>
  <si>
    <t>西上庄街道</t>
  </si>
  <si>
    <t>Yángcūn Zhèn</t>
  </si>
  <si>
    <t>杨村镇</t>
  </si>
  <si>
    <t>Yănlĭ Xiāng</t>
  </si>
  <si>
    <t>演礼乡</t>
  </si>
  <si>
    <t>Yĕchuān Zhèn</t>
  </si>
  <si>
    <t>野川镇</t>
  </si>
  <si>
    <t>Yŏnglù Xiāng</t>
  </si>
  <si>
    <t>永禄乡</t>
  </si>
  <si>
    <t>Yuáncūn Xiāng</t>
  </si>
  <si>
    <t>原村乡</t>
  </si>
  <si>
    <t>Zhāngcūn Xiāng</t>
  </si>
  <si>
    <t>张村乡</t>
  </si>
  <si>
    <t>Zhèngcūn Zhèn</t>
  </si>
  <si>
    <t>郑村镇</t>
  </si>
  <si>
    <t>Zhèngzhuāng Zhèn</t>
  </si>
  <si>
    <t>郑庄镇</t>
  </si>
  <si>
    <t>Zhōngcūn Zhèn</t>
  </si>
  <si>
    <t>中村镇</t>
  </si>
  <si>
    <t>Zhōngjiāzhuāng Jiēdào</t>
  </si>
  <si>
    <t>钟家庄街道</t>
  </si>
  <si>
    <t>Zhōucūn Zhèn</t>
  </si>
  <si>
    <t>周村镇</t>
  </si>
  <si>
    <t>Ānníng Jiēdào</t>
  </si>
  <si>
    <t>安宁街道</t>
  </si>
  <si>
    <t>Yúcì Qū</t>
  </si>
  <si>
    <t>Bĕichéng Guănlĭ Wĕiyuánhuì</t>
  </si>
  <si>
    <t>北城管理委员会</t>
  </si>
  <si>
    <t>Língshí Xiàn</t>
  </si>
  <si>
    <t>Jièxiū Shì</t>
  </si>
  <si>
    <t>Bĕitán Jiēdào</t>
  </si>
  <si>
    <t>北坛街道</t>
  </si>
  <si>
    <t>Bĕitián Zhèn</t>
  </si>
  <si>
    <t>北田镇</t>
  </si>
  <si>
    <t>Bĕiwāng Xiāng</t>
  </si>
  <si>
    <t>北汪乡</t>
  </si>
  <si>
    <t>Tàigŭ Qū</t>
  </si>
  <si>
    <t>Bĕizhài Xiāng</t>
  </si>
  <si>
    <t>北寨乡</t>
  </si>
  <si>
    <t>Yúshè Xiàn</t>
  </si>
  <si>
    <t>Bŭyí Xiāng</t>
  </si>
  <si>
    <t>卜宜乡</t>
  </si>
  <si>
    <t>Píngyáo Xiàn</t>
  </si>
  <si>
    <t>Chángníng Zhèn</t>
  </si>
  <si>
    <t>长凝镇</t>
  </si>
  <si>
    <t>Chāngyuán Chéngqū</t>
  </si>
  <si>
    <t>昌源城区</t>
  </si>
  <si>
    <t>Qí Xiàn</t>
  </si>
  <si>
    <t>Cháoyáng Zhèn</t>
  </si>
  <si>
    <t>朝阳镇</t>
  </si>
  <si>
    <t>Shòuyáng Xiàn</t>
  </si>
  <si>
    <t>Chéngguān Xiāng</t>
  </si>
  <si>
    <t>城关乡</t>
  </si>
  <si>
    <t>Chéngqū</t>
  </si>
  <si>
    <t>城区</t>
  </si>
  <si>
    <t>Zuǒquán Xiàn</t>
  </si>
  <si>
    <t>Chéngzhào Zhèn</t>
  </si>
  <si>
    <t>城赵镇</t>
  </si>
  <si>
    <t>Cuìfēng Zhèn</t>
  </si>
  <si>
    <t>翠峰镇</t>
  </si>
  <si>
    <t>Dānfēng Chéngqū</t>
  </si>
  <si>
    <t>丹枫城区</t>
  </si>
  <si>
    <t>Dàzhài Zhèn</t>
  </si>
  <si>
    <t>大寨镇</t>
  </si>
  <si>
    <t>Xīyáng Xiàn</t>
  </si>
  <si>
    <t>Dōngchéng Guănlĭ Wĕiyuánhuì</t>
  </si>
  <si>
    <t>东城管理委员会</t>
  </si>
  <si>
    <t>Dōngguān Zhèn [incl. Qíxiàn Jīngjì Kāifāqū]</t>
  </si>
  <si>
    <t>东观镇</t>
  </si>
  <si>
    <t>Dōngnán Jiēdào</t>
  </si>
  <si>
    <t>东南街道</t>
  </si>
  <si>
    <t>Dōngquán Zhèn</t>
  </si>
  <si>
    <t>东泉镇</t>
  </si>
  <si>
    <t>Dōngyáng Zhèn</t>
  </si>
  <si>
    <t>东阳镇</t>
  </si>
  <si>
    <t>Dōngzhào Xiāng</t>
  </si>
  <si>
    <t>东赵乡</t>
  </si>
  <si>
    <t>Duànchún Zhèn</t>
  </si>
  <si>
    <t>段纯镇</t>
  </si>
  <si>
    <t>Duàncūn Zhèn</t>
  </si>
  <si>
    <t>段村镇</t>
  </si>
  <si>
    <t>Dùjiāzhuāng Xiāng</t>
  </si>
  <si>
    <t>杜家庄乡</t>
  </si>
  <si>
    <t>Fàncūn Zhèn</t>
  </si>
  <si>
    <t>范村镇</t>
  </si>
  <si>
    <t>Gāoluò Zhèn</t>
  </si>
  <si>
    <t>皋落镇</t>
  </si>
  <si>
    <t>Guăi'ér Zhèn</t>
  </si>
  <si>
    <t>拐儿镇</t>
  </si>
  <si>
    <t>Guōjiābăo Xiāng</t>
  </si>
  <si>
    <t>郭家堡乡</t>
  </si>
  <si>
    <t>Gŭtáo Zhèn [incl. Gǔchéng Jiēdào, Chéngdōng Jiēdào, Chéngxī Jiēdào]</t>
  </si>
  <si>
    <t>古陶镇</t>
  </si>
  <si>
    <t>Gŭxiàn Zhèn</t>
  </si>
  <si>
    <t>古县镇</t>
  </si>
  <si>
    <t>Hánwáng Xiāng</t>
  </si>
  <si>
    <t>寒王乡</t>
  </si>
  <si>
    <t>Hăobĕi Zhèn</t>
  </si>
  <si>
    <t>郝北镇</t>
  </si>
  <si>
    <t>Hénglĭng Zhèn</t>
  </si>
  <si>
    <t>横岭镇</t>
  </si>
  <si>
    <t>Héshùn Xiàn</t>
  </si>
  <si>
    <t>Héyù Xiāng</t>
  </si>
  <si>
    <t>河峪乡</t>
  </si>
  <si>
    <t>Hóngshàn Zhèn</t>
  </si>
  <si>
    <t>洪善镇</t>
  </si>
  <si>
    <t>Hóngshān Zhèn</t>
  </si>
  <si>
    <t>洪山镇</t>
  </si>
  <si>
    <t>Hòuchéng Xiāng</t>
  </si>
  <si>
    <t>侯城乡</t>
  </si>
  <si>
    <t>Húcūn Zhèn</t>
  </si>
  <si>
    <t>胡村镇</t>
  </si>
  <si>
    <t>Jiălìng Zhèn</t>
  </si>
  <si>
    <t>贾令镇</t>
  </si>
  <si>
    <t>Jiăngtáng Xiāng</t>
  </si>
  <si>
    <t>讲堂乡</t>
  </si>
  <si>
    <t>Jīchéng Zhèn</t>
  </si>
  <si>
    <t>箕城镇</t>
  </si>
  <si>
    <t>Jiĕchóu Xiāng</t>
  </si>
  <si>
    <t>解愁乡</t>
  </si>
  <si>
    <t>Jièdū Xiāng</t>
  </si>
  <si>
    <t>界都乡</t>
  </si>
  <si>
    <t>Jĭngshàng Xiāng</t>
  </si>
  <si>
    <t>景尚乡</t>
  </si>
  <si>
    <t>Jìngshēng Zhèn</t>
  </si>
  <si>
    <t>静升镇</t>
  </si>
  <si>
    <t>Jīngwĕi Jiēdào</t>
  </si>
  <si>
    <t>经纬街道</t>
  </si>
  <si>
    <t>Jìnhuá Jiēdào</t>
  </si>
  <si>
    <t>晋华街道</t>
  </si>
  <si>
    <t>Jĭnlún Jiēdào</t>
  </si>
  <si>
    <t>锦纶街道</t>
  </si>
  <si>
    <t>Jìnzhōng Jīngjì Kāifāqū</t>
  </si>
  <si>
    <t>晋中经济开发区</t>
  </si>
  <si>
    <t>Kŏngshì Xiāng</t>
  </si>
  <si>
    <t>孔氏乡</t>
  </si>
  <si>
    <t>Láiyuăn Zhèn</t>
  </si>
  <si>
    <t>来远镇</t>
  </si>
  <si>
    <t>Lányù Xiāng</t>
  </si>
  <si>
    <t>岚峪乡</t>
  </si>
  <si>
    <t>Lèpíng Zhèn</t>
  </si>
  <si>
    <t>乐平镇</t>
  </si>
  <si>
    <t>Liánfú Zhèn</t>
  </si>
  <si>
    <t>连福镇</t>
  </si>
  <si>
    <t>Liăngdù Zhèn</t>
  </si>
  <si>
    <t>两渡镇</t>
  </si>
  <si>
    <t>Liángjiāyān Xiāng</t>
  </si>
  <si>
    <t>梁家焉乡</t>
  </si>
  <si>
    <t>Liáoyáng Zhèn</t>
  </si>
  <si>
    <t>辽阳镇</t>
  </si>
  <si>
    <t>Lĭjiāzhuāng Xiāng</t>
  </si>
  <si>
    <t>李家庄乡</t>
  </si>
  <si>
    <t>Lĭyáng Zhèn</t>
  </si>
  <si>
    <t>李阳镇</t>
  </si>
  <si>
    <t>Lóngfèng Zhèn</t>
  </si>
  <si>
    <t>龙凤镇</t>
  </si>
  <si>
    <t>Lóngquán Xiāng</t>
  </si>
  <si>
    <t>龙泉乡</t>
  </si>
  <si>
    <t>Lùtái Chéngqū</t>
  </si>
  <si>
    <t>麓台城区</t>
  </si>
  <si>
    <t>Lùxī Jiēdào</t>
  </si>
  <si>
    <t>路西街道</t>
  </si>
  <si>
    <t>Măfāng Xiāng</t>
  </si>
  <si>
    <t>马坊乡</t>
  </si>
  <si>
    <t>Măhé Xiāng</t>
  </si>
  <si>
    <t>马和乡</t>
  </si>
  <si>
    <t>Măshŏu Xiāng</t>
  </si>
  <si>
    <t>马首乡</t>
  </si>
  <si>
    <t>Mátián Zhèn</t>
  </si>
  <si>
    <t>麻田镇</t>
  </si>
  <si>
    <t>Mèngshān Xiāng</t>
  </si>
  <si>
    <t>孟山乡</t>
  </si>
  <si>
    <t>Miánshān Zhèn</t>
  </si>
  <si>
    <t>绵山镇</t>
  </si>
  <si>
    <t>Míngxīng Zhèn</t>
  </si>
  <si>
    <t>明星镇</t>
  </si>
  <si>
    <t>Nánguān Zhèn</t>
  </si>
  <si>
    <t>南关镇</t>
  </si>
  <si>
    <t>Nányànzhú Zhèn</t>
  </si>
  <si>
    <t>南燕竹镇</t>
  </si>
  <si>
    <t>Nánzhèng Xiāng</t>
  </si>
  <si>
    <t>南政乡</t>
  </si>
  <si>
    <t>Nínggù Zhèn</t>
  </si>
  <si>
    <t>宁固镇</t>
  </si>
  <si>
    <t>Niúchuān Xiāng</t>
  </si>
  <si>
    <t>牛川乡</t>
  </si>
  <si>
    <t>Píngshū Xiāng</t>
  </si>
  <si>
    <t>平舒乡</t>
  </si>
  <si>
    <t>Píngsōng Xiāng</t>
  </si>
  <si>
    <t>平松乡</t>
  </si>
  <si>
    <t>Píngtóu Zhèn</t>
  </si>
  <si>
    <t>平头镇</t>
  </si>
  <si>
    <t>Qīngchéng Zhèn</t>
  </si>
  <si>
    <t>青城镇</t>
  </si>
  <si>
    <t>Qínquán Zhèn</t>
  </si>
  <si>
    <t>芹泉镇</t>
  </si>
  <si>
    <t>Rèncūn Xiāng</t>
  </si>
  <si>
    <t>任村乡</t>
  </si>
  <si>
    <t>Sāndū Xiāng</t>
  </si>
  <si>
    <t>三都乡</t>
  </si>
  <si>
    <t>Sānjiā Xiāng</t>
  </si>
  <si>
    <t>三佳乡</t>
  </si>
  <si>
    <t>Shànghú Xiāng</t>
  </si>
  <si>
    <t>上湖乡</t>
  </si>
  <si>
    <t>Shèchéng Zhèn</t>
  </si>
  <si>
    <t>社城镇</t>
  </si>
  <si>
    <t>Shítiē Zhèn</t>
  </si>
  <si>
    <t>什贴镇</t>
  </si>
  <si>
    <t>Shíxiá Xiāng</t>
  </si>
  <si>
    <t>石匣乡</t>
  </si>
  <si>
    <t>Shuĭxiù Xiāng</t>
  </si>
  <si>
    <t>水秀乡</t>
  </si>
  <si>
    <t>Sònggŭ Xiāng</t>
  </si>
  <si>
    <t>宋古乡</t>
  </si>
  <si>
    <t>Sōngtă Zhèn</t>
  </si>
  <si>
    <t>松塔镇</t>
  </si>
  <si>
    <t>Sōngyān Zhèn</t>
  </si>
  <si>
    <t>松烟镇</t>
  </si>
  <si>
    <t>Sùchéng Xiāng</t>
  </si>
  <si>
    <t>粟城乡</t>
  </si>
  <si>
    <t>Tánzhèn Xiāng</t>
  </si>
  <si>
    <t>坛镇乡</t>
  </si>
  <si>
    <t>Tóngyù Zhèn</t>
  </si>
  <si>
    <t>桐峪镇</t>
  </si>
  <si>
    <t>Wángyŭ Xiāng</t>
  </si>
  <si>
    <t>王禹乡</t>
  </si>
  <si>
    <t>Wèimă Xiāng</t>
  </si>
  <si>
    <t>喂马乡</t>
  </si>
  <si>
    <t>Wēnjiāzhuāng Xiāng</t>
  </si>
  <si>
    <t>温家庄乡</t>
  </si>
  <si>
    <t>Wūjīnshān Zhèn</t>
  </si>
  <si>
    <t>乌金山镇</t>
  </si>
  <si>
    <t>Xiàmén Zhèn</t>
  </si>
  <si>
    <t>夏门镇</t>
  </si>
  <si>
    <t>Xiānglè Xiāng</t>
  </si>
  <si>
    <t>香乐乡</t>
  </si>
  <si>
    <t>Xiāngyuán Xiāng</t>
  </si>
  <si>
    <t>襄垣乡</t>
  </si>
  <si>
    <t>Xiăobái Xiāng</t>
  </si>
  <si>
    <t>小白乡</t>
  </si>
  <si>
    <t>Xīchéng Guănlĭ Wĕiyuánhuì</t>
  </si>
  <si>
    <t>西城管理委员会</t>
  </si>
  <si>
    <t>Xīguān Jiēdào</t>
  </si>
  <si>
    <t>西关街道</t>
  </si>
  <si>
    <t>Xīliùzhī Xiāng</t>
  </si>
  <si>
    <t>西六支乡</t>
  </si>
  <si>
    <t>Xīluò Zhèn</t>
  </si>
  <si>
    <t>西洛镇</t>
  </si>
  <si>
    <t>Xīmă Xiāng</t>
  </si>
  <si>
    <t>西马乡</t>
  </si>
  <si>
    <t>Xīnán Jiēdào</t>
  </si>
  <si>
    <t>西南街道</t>
  </si>
  <si>
    <t>Xīnhuá Jiēdào</t>
  </si>
  <si>
    <t>新华街道</t>
  </si>
  <si>
    <t>Xīnjiàn Jiēdào</t>
  </si>
  <si>
    <t>新建街道</t>
  </si>
  <si>
    <t>Xiūwén Zhèn</t>
  </si>
  <si>
    <t>修文镇</t>
  </si>
  <si>
    <t>Xīzhài Xiāng</t>
  </si>
  <si>
    <t>西寨乡</t>
  </si>
  <si>
    <t>Yángguāngzhàn Xiāng</t>
  </si>
  <si>
    <t>阳光占乡</t>
  </si>
  <si>
    <t>Yángjiăo Xiāng</t>
  </si>
  <si>
    <t>羊角乡</t>
  </si>
  <si>
    <t>Yángtóuyá Xiāng</t>
  </si>
  <si>
    <t>羊头崖乡</t>
  </si>
  <si>
    <t>Yángyì Xiāng</t>
  </si>
  <si>
    <t>阳邑乡</t>
  </si>
  <si>
    <t>Yánzhuāng Xiāng</t>
  </si>
  <si>
    <t>闫庄乡</t>
  </si>
  <si>
    <t>Yĕtóu Zhèn</t>
  </si>
  <si>
    <t>冶头镇</t>
  </si>
  <si>
    <t>Yì'ān Zhèn</t>
  </si>
  <si>
    <t>义安镇</t>
  </si>
  <si>
    <t>Yīngwŭ Xiāng</t>
  </si>
  <si>
    <t>英武乡</t>
  </si>
  <si>
    <t>Yĭnlíngzhī Zhèn</t>
  </si>
  <si>
    <t>尹灵芝镇</t>
  </si>
  <si>
    <t>Yìtáng Zhèn</t>
  </si>
  <si>
    <t>义棠镇</t>
  </si>
  <si>
    <t>Yìxīng Zhèn</t>
  </si>
  <si>
    <t>义兴镇</t>
  </si>
  <si>
    <t>Yuèbì Xiāng</t>
  </si>
  <si>
    <t>岳壁乡</t>
  </si>
  <si>
    <t>Yùkŏu Xiāng</t>
  </si>
  <si>
    <t>峪口乡</t>
  </si>
  <si>
    <t>Yúncù Zhèn</t>
  </si>
  <si>
    <t>云簇镇</t>
  </si>
  <si>
    <t>Zhānglán Zhèn</t>
  </si>
  <si>
    <t>张兰镇</t>
  </si>
  <si>
    <t>Zhāngqìng Xiāng</t>
  </si>
  <si>
    <t>张庆乡</t>
  </si>
  <si>
    <t>Zhānshàng Zhèn</t>
  </si>
  <si>
    <t>沾尚镇</t>
  </si>
  <si>
    <t>Zhàobì Xiāng</t>
  </si>
  <si>
    <t>赵壁乡</t>
  </si>
  <si>
    <t>Zhāoyú Zhèn</t>
  </si>
  <si>
    <t>昭馀镇</t>
  </si>
  <si>
    <t>Zhōngdū Xiāng</t>
  </si>
  <si>
    <t>中都乡</t>
  </si>
  <si>
    <t>Zhuāngzi Xiāng</t>
  </si>
  <si>
    <t>庄子乡</t>
  </si>
  <si>
    <t>Zhūkēng Xiāng</t>
  </si>
  <si>
    <t>朱坑乡</t>
  </si>
  <si>
    <t>Zōng'ài Zhèn</t>
  </si>
  <si>
    <t>宗艾镇</t>
  </si>
  <si>
    <t>Báilóng Zhèn</t>
  </si>
  <si>
    <t>白龙镇</t>
  </si>
  <si>
    <t>Huòzhōu Shì</t>
  </si>
  <si>
    <t>Bǎishānsì Xiāng</t>
  </si>
  <si>
    <t>柏山寺乡</t>
  </si>
  <si>
    <t>Jí Xiàn</t>
  </si>
  <si>
    <t>Bĕidŏng Xiāng</t>
  </si>
  <si>
    <t>北董乡</t>
  </si>
  <si>
    <t>Qŭwò Xiàn</t>
  </si>
  <si>
    <t>Bĕihán Xiāng</t>
  </si>
  <si>
    <t>北韩乡</t>
  </si>
  <si>
    <t>Fúshān Xiàn</t>
  </si>
  <si>
    <t>Bĕihuánlù Jiēdào</t>
  </si>
  <si>
    <t>北环路街道</t>
  </si>
  <si>
    <t>Bĕipíng Zhèn</t>
  </si>
  <si>
    <t>北平镇</t>
  </si>
  <si>
    <t>Gŭ Xiàn</t>
  </si>
  <si>
    <t>Bĕiwáng Xiāng</t>
  </si>
  <si>
    <t>北王乡</t>
  </si>
  <si>
    <t>Bīnhé Jiēdào</t>
  </si>
  <si>
    <t>滨河街道</t>
  </si>
  <si>
    <t>Yáodū Qū</t>
  </si>
  <si>
    <t>Chāngníng Zhèn</t>
  </si>
  <si>
    <t>昌宁镇</t>
  </si>
  <si>
    <t>Xiāngníng Xiàn</t>
  </si>
  <si>
    <t>Chēchéng Xiāng</t>
  </si>
  <si>
    <t>车城乡</t>
  </si>
  <si>
    <t>Chéngnán Xiāng</t>
  </si>
  <si>
    <t>城南乡</t>
  </si>
  <si>
    <t>Xí Xiàn</t>
  </si>
  <si>
    <t>Chēzhànjiē Jiēdào</t>
  </si>
  <si>
    <t>车站街街道</t>
  </si>
  <si>
    <t>Dàdèng Xiāng</t>
  </si>
  <si>
    <t>大邓乡</t>
  </si>
  <si>
    <t>Xiāngfén Xiàn</t>
  </si>
  <si>
    <t>Dàhuáishù Zhèn</t>
  </si>
  <si>
    <t>大槐树镇</t>
  </si>
  <si>
    <t>Hóngdòng Xiàn</t>
  </si>
  <si>
    <t>Dăshíyāo Xiāng</t>
  </si>
  <si>
    <t>打石腰乡</t>
  </si>
  <si>
    <t>Yŏnghé Xiàn</t>
  </si>
  <si>
    <t>Dàzhāng Zhèn</t>
  </si>
  <si>
    <t>大张镇</t>
  </si>
  <si>
    <t>Dèngzhuāng Zhèn</t>
  </si>
  <si>
    <t>邓庄镇</t>
  </si>
  <si>
    <t>Diànpíng Xiāng</t>
  </si>
  <si>
    <t>佃坪乡</t>
  </si>
  <si>
    <t>Fénxī Xiàn</t>
  </si>
  <si>
    <t>Dīcūn Xiāng</t>
  </si>
  <si>
    <t>堤村乡</t>
  </si>
  <si>
    <t>Dōngchéng Xiāng</t>
  </si>
  <si>
    <t>东城乡</t>
  </si>
  <si>
    <t>Dōngzhāng Xiāng</t>
  </si>
  <si>
    <t>东张乡</t>
  </si>
  <si>
    <t>Dŏupō Xiāng</t>
  </si>
  <si>
    <t>陡坡乡</t>
  </si>
  <si>
    <t>Duàndiàn Xiāng</t>
  </si>
  <si>
    <t>段店乡</t>
  </si>
  <si>
    <t>Dùcūn Xiāng</t>
  </si>
  <si>
    <t>杜村乡</t>
  </si>
  <si>
    <t>Ānzé Xiàn</t>
  </si>
  <si>
    <t>Duìzhú Zhèn</t>
  </si>
  <si>
    <t>对竹镇</t>
  </si>
  <si>
    <t>Fénchéng Zhèn</t>
  </si>
  <si>
    <t>汾城镇</t>
  </si>
  <si>
    <t>Fèngchéng Xiāng</t>
  </si>
  <si>
    <t>凤城乡</t>
  </si>
  <si>
    <t>Hòumă Shì</t>
  </si>
  <si>
    <t>Fénhé Jiēdào</t>
  </si>
  <si>
    <t>汾河街道</t>
  </si>
  <si>
    <t>Fŭchéng Zhèn</t>
  </si>
  <si>
    <t>府城镇</t>
  </si>
  <si>
    <t>Gāntíng Zhèn</t>
  </si>
  <si>
    <t>甘亭镇</t>
  </si>
  <si>
    <t>Gāocūn Xiāng</t>
  </si>
  <si>
    <t>高村乡</t>
  </si>
  <si>
    <t>Gāoxiăn Zhèn</t>
  </si>
  <si>
    <t>高显镇</t>
  </si>
  <si>
    <t>Gédĭ Xiāng</t>
  </si>
  <si>
    <t>阁底乡</t>
  </si>
  <si>
    <t>Guānghuá Zhèn</t>
  </si>
  <si>
    <t>光华镇</t>
  </si>
  <si>
    <t>Guăngshèngsì Zhèn</t>
  </si>
  <si>
    <t>广胜寺镇</t>
  </si>
  <si>
    <t>Guăntóu Zhèn</t>
  </si>
  <si>
    <t>管头镇</t>
  </si>
  <si>
    <t>Guānwángmiào Xiāng</t>
  </si>
  <si>
    <t>关王庙乡</t>
  </si>
  <si>
    <t>Gŭlóu Jiēdào</t>
  </si>
  <si>
    <t>鼓楼街道</t>
  </si>
  <si>
    <t>Gŭlóu Xījiē Jiēdào</t>
  </si>
  <si>
    <t>鼓楼西街街道</t>
  </si>
  <si>
    <t>Gŭxiàn Xiāng</t>
  </si>
  <si>
    <t>古县乡</t>
  </si>
  <si>
    <t>Pú Xiàn</t>
  </si>
  <si>
    <t>Gŭyáng Zhèn</t>
  </si>
  <si>
    <t>古阳镇</t>
  </si>
  <si>
    <t>Héchuān Zhèn</t>
  </si>
  <si>
    <t>和川镇</t>
  </si>
  <si>
    <t>Hédĭ Xiāng</t>
  </si>
  <si>
    <t>河底乡</t>
  </si>
  <si>
    <t>Hēilóngguān Zhèn</t>
  </si>
  <si>
    <t>黑龙关镇</t>
  </si>
  <si>
    <t>Hèjiāzhuāng Xiāng</t>
  </si>
  <si>
    <t>贺家庄乡</t>
  </si>
  <si>
    <t>Hépíng Zhèn</t>
  </si>
  <si>
    <t>和平镇</t>
  </si>
  <si>
    <t>Hóngdào Xiāng</t>
  </si>
  <si>
    <t>红道乡</t>
  </si>
  <si>
    <t>Huáiniàn Xiāng</t>
  </si>
  <si>
    <t>槐埝乡</t>
  </si>
  <si>
    <t>Huángtŭ Zhèn</t>
  </si>
  <si>
    <t>黄土镇</t>
  </si>
  <si>
    <t>Huìbīn Jiēdào</t>
  </si>
  <si>
    <t>浍滨街道</t>
  </si>
  <si>
    <t>Húkŏu Zhèn</t>
  </si>
  <si>
    <t>壶口镇</t>
  </si>
  <si>
    <t>Jiădé Xiāng</t>
  </si>
  <si>
    <t>贾得乡</t>
  </si>
  <si>
    <t>Jiāodĭ Xiāng</t>
  </si>
  <si>
    <t>浇底乡</t>
  </si>
  <si>
    <t>Yìchéng Xiàn</t>
  </si>
  <si>
    <t>Jíchāng Zhèn</t>
  </si>
  <si>
    <t>吉昌镇</t>
  </si>
  <si>
    <t>Jiĕfànglù Jiēdào</t>
  </si>
  <si>
    <t>解放路街道</t>
  </si>
  <si>
    <t>Jīndiàn Zhèn</t>
  </si>
  <si>
    <t>金殿镇</t>
  </si>
  <si>
    <t>Jĭngmáo Xiāng</t>
  </si>
  <si>
    <t>景毛乡</t>
  </si>
  <si>
    <t>Jìshì Zhèn</t>
  </si>
  <si>
    <t>冀氏镇</t>
  </si>
  <si>
    <t>Jiùxiàn Zhèn</t>
  </si>
  <si>
    <t>旧县镇</t>
  </si>
  <si>
    <t>Kāiyuán Jiēdào</t>
  </si>
  <si>
    <t>开元街道</t>
  </si>
  <si>
    <t>Kèchéng Zhèn</t>
  </si>
  <si>
    <t>克城镇</t>
  </si>
  <si>
    <t>Lèchāng Zhèn</t>
  </si>
  <si>
    <t>乐昌镇</t>
  </si>
  <si>
    <t>Liángmă Xiāng</t>
  </si>
  <si>
    <t>良马乡</t>
  </si>
  <si>
    <t>Lĭcáo Zhèn</t>
  </si>
  <si>
    <t>李曹镇</t>
  </si>
  <si>
    <t>Lĭcūn Zhèn</t>
  </si>
  <si>
    <t>里村镇</t>
  </si>
  <si>
    <t>Liúcūn Zhèn</t>
  </si>
  <si>
    <t>刘村镇</t>
  </si>
  <si>
    <t>Liújiāyuán Zhèn</t>
  </si>
  <si>
    <t>刘家垣镇</t>
  </si>
  <si>
    <t>Lĭzhài Zhèn</t>
  </si>
  <si>
    <t>里砦镇</t>
  </si>
  <si>
    <t>Lónghuà Zhèn</t>
  </si>
  <si>
    <t>隆化镇</t>
  </si>
  <si>
    <t>Lóngmă Xiāng</t>
  </si>
  <si>
    <t>龙马乡</t>
  </si>
  <si>
    <t>Lùdōng Jiēdào</t>
  </si>
  <si>
    <t>路东街道</t>
  </si>
  <si>
    <t>Măbì Xiāng</t>
  </si>
  <si>
    <t>马必乡</t>
  </si>
  <si>
    <t>Mĭjiāyuán Xiāng</t>
  </si>
  <si>
    <t>米家垣乡</t>
  </si>
  <si>
    <t>Míngjiāng Zhèn</t>
  </si>
  <si>
    <t>明姜镇</t>
  </si>
  <si>
    <t>Nánhuánlù Jiēdào</t>
  </si>
  <si>
    <t>南环路街道</t>
  </si>
  <si>
    <t>Nánjiă Zhèn</t>
  </si>
  <si>
    <t>南贾镇</t>
  </si>
  <si>
    <t>Nánliáng Zhèn</t>
  </si>
  <si>
    <t>南梁镇</t>
  </si>
  <si>
    <t>Nántáng Xiāng</t>
  </si>
  <si>
    <t>南唐乡</t>
  </si>
  <si>
    <t>Nánxīndiàn Xiāng</t>
  </si>
  <si>
    <t>南辛店乡</t>
  </si>
  <si>
    <t>Nányuán Xiāng</t>
  </si>
  <si>
    <t>南垣乡</t>
  </si>
  <si>
    <t>Nánzhuāng Xiāng</t>
  </si>
  <si>
    <t>南庄乡</t>
  </si>
  <si>
    <t>Pōtóu Xiāng</t>
  </si>
  <si>
    <t>坡头乡</t>
  </si>
  <si>
    <t>Púchéng Zhèn</t>
  </si>
  <si>
    <t>蒲城镇</t>
  </si>
  <si>
    <t>Qiáojiāwān Xiāng</t>
  </si>
  <si>
    <t>乔家湾乡</t>
  </si>
  <si>
    <t>Qiáolĭ Zhèn</t>
  </si>
  <si>
    <t>乔李镇</t>
  </si>
  <si>
    <t>Qiáoshàng Zhèn</t>
  </si>
  <si>
    <t>桥上镇</t>
  </si>
  <si>
    <t>Qíngxiāng Zhèn</t>
  </si>
  <si>
    <t>勍香镇</t>
  </si>
  <si>
    <t>Qŭcūn Zhèn</t>
  </si>
  <si>
    <t>曲村镇</t>
  </si>
  <si>
    <t>Qŭ'é Zhèn</t>
  </si>
  <si>
    <t>曲峨镇</t>
  </si>
  <si>
    <t>Dàníng Xiàn</t>
  </si>
  <si>
    <t>Qŭtíng Zhèn</t>
  </si>
  <si>
    <t>曲亭镇</t>
  </si>
  <si>
    <t>Sānduō Xiāng</t>
  </si>
  <si>
    <t>三多乡</t>
  </si>
  <si>
    <t>Sāngbì Zhèn</t>
  </si>
  <si>
    <t>桑壁镇</t>
  </si>
  <si>
    <t>Sānjiào Xiāng</t>
  </si>
  <si>
    <t>三教乡</t>
  </si>
  <si>
    <t>Sēngniàn Zhèn</t>
  </si>
  <si>
    <t>僧念镇</t>
  </si>
  <si>
    <t>Shàngmă Jiēdào</t>
  </si>
  <si>
    <t>上马街道</t>
  </si>
  <si>
    <t>Shāntóu Xiāng</t>
  </si>
  <si>
    <t>山头乡</t>
  </si>
  <si>
    <t>Shānzhōng Xiāng</t>
  </si>
  <si>
    <t>山中乡</t>
  </si>
  <si>
    <t>Shèqū Guǎnlǐ Wěiyuánhuì</t>
  </si>
  <si>
    <t>社区管理委员会</t>
  </si>
  <si>
    <t>Shíbì Xiāng</t>
  </si>
  <si>
    <t>石壁乡</t>
  </si>
  <si>
    <t>Shĭcūn Zhèn</t>
  </si>
  <si>
    <t>史村镇</t>
  </si>
  <si>
    <t>Shīzhuāng Xiāng</t>
  </si>
  <si>
    <t>师庄乡</t>
  </si>
  <si>
    <t>Shuānghè Xiāng</t>
  </si>
  <si>
    <t>双鹤乡</t>
  </si>
  <si>
    <t>Shuĭtăjiē Jiēdào</t>
  </si>
  <si>
    <t>水塔街街道</t>
  </si>
  <si>
    <t>Sūbăo Zhèn</t>
  </si>
  <si>
    <t>苏堡镇</t>
  </si>
  <si>
    <t>Tàidé Xiāng</t>
  </si>
  <si>
    <t>太德乡</t>
  </si>
  <si>
    <t>Tàigŭ Xiāng</t>
  </si>
  <si>
    <t>太古乡</t>
  </si>
  <si>
    <t>Tàilín Xiāng</t>
  </si>
  <si>
    <t>太林乡</t>
  </si>
  <si>
    <t>Táitóu Zhèn</t>
  </si>
  <si>
    <t>台头镇</t>
  </si>
  <si>
    <t>Tángchéng Zhèn</t>
  </si>
  <si>
    <t>唐城镇</t>
  </si>
  <si>
    <t>Tángxīng Zhèn</t>
  </si>
  <si>
    <t>唐兴镇</t>
  </si>
  <si>
    <t>Táosì Xiāng</t>
  </si>
  <si>
    <t>陶寺乡</t>
  </si>
  <si>
    <t>Táotángyù Xiāng</t>
  </si>
  <si>
    <t>陶唐峪乡</t>
  </si>
  <si>
    <t>Tiāntán Zhèn</t>
  </si>
  <si>
    <t>天坛镇</t>
  </si>
  <si>
    <t>Tiĕlùdōng Jiēdào</t>
  </si>
  <si>
    <t>铁路东街道</t>
  </si>
  <si>
    <t>Tuánbǎi Xiāng</t>
  </si>
  <si>
    <t>团柏乡</t>
  </si>
  <si>
    <t>Tuìshā Jiēdào</t>
  </si>
  <si>
    <t>退沙街道</t>
  </si>
  <si>
    <t>Tŭmén Zhèn</t>
  </si>
  <si>
    <t>土门镇</t>
  </si>
  <si>
    <t>Túnlĭ Zhèn</t>
  </si>
  <si>
    <t>屯里镇</t>
  </si>
  <si>
    <t>Wàn'ān Zhèn</t>
  </si>
  <si>
    <t>万安镇</t>
  </si>
  <si>
    <t>Wángzhuāng Xiāng</t>
  </si>
  <si>
    <t>王庄乡</t>
  </si>
  <si>
    <t>Wèicūn Zhèn</t>
  </si>
  <si>
    <t>魏村镇</t>
  </si>
  <si>
    <t>Wèizhuāng Xiāng</t>
  </si>
  <si>
    <t>尉庄乡</t>
  </si>
  <si>
    <t>Wénchéng Xiāng</t>
  </si>
  <si>
    <t>文城乡</t>
  </si>
  <si>
    <t>Wŭchéng Zhèn</t>
  </si>
  <si>
    <t>午城镇</t>
  </si>
  <si>
    <t>Wúcūn Zhèn</t>
  </si>
  <si>
    <t>吴村镇</t>
  </si>
  <si>
    <t>Xiàlĭ Xiāng</t>
  </si>
  <si>
    <t>下李乡</t>
  </si>
  <si>
    <t>Xiàndĭ Zhèn</t>
  </si>
  <si>
    <t>县底镇</t>
  </si>
  <si>
    <t>Xiānglíng Zhèn</t>
  </si>
  <si>
    <t>襄陵镇</t>
  </si>
  <si>
    <t>Xiăngshuĭhé Zhèn</t>
  </si>
  <si>
    <t>响水河镇</t>
  </si>
  <si>
    <t>Xiāngxiánjiē Jiēdào</t>
  </si>
  <si>
    <t>乡贤街街道</t>
  </si>
  <si>
    <t>Xījiāokŏu Xiāng</t>
  </si>
  <si>
    <t>西交口乡</t>
  </si>
  <si>
    <t>Xīnchéng Zhèn</t>
  </si>
  <si>
    <t>新城镇</t>
  </si>
  <si>
    <t>Xīncūn Xiāng</t>
  </si>
  <si>
    <t>辛村乡</t>
  </si>
  <si>
    <t>Xíngjiāyào Xiāng</t>
  </si>
  <si>
    <t>邢家要乡</t>
  </si>
  <si>
    <t>Xīngtángsì Xiāng</t>
  </si>
  <si>
    <t>兴唐寺乡</t>
  </si>
  <si>
    <t>Xīnshuĭ Zhèn</t>
  </si>
  <si>
    <t>昕水镇</t>
  </si>
  <si>
    <t>Xīnsìjiē Jiēdào</t>
  </si>
  <si>
    <t>辛寺街街道</t>
  </si>
  <si>
    <t>Xīntián Xiāng</t>
  </si>
  <si>
    <t>新田乡</t>
  </si>
  <si>
    <t>Xīnzhì Zhèn</t>
  </si>
  <si>
    <t>辛置镇</t>
  </si>
  <si>
    <t>Xīpō Zhèn</t>
  </si>
  <si>
    <t>西坡镇</t>
  </si>
  <si>
    <t>Xīyán Zhèn</t>
  </si>
  <si>
    <t>西阎镇</t>
  </si>
  <si>
    <t>Xuēguān Zhèn</t>
  </si>
  <si>
    <t>薛关镇</t>
  </si>
  <si>
    <t>Xújiāduŏ Xiāng</t>
  </si>
  <si>
    <t>徐家垛乡</t>
  </si>
  <si>
    <t>Yāndĭ Xiāng</t>
  </si>
  <si>
    <t>淹底乡</t>
  </si>
  <si>
    <t>Yángtán Xiāng</t>
  </si>
  <si>
    <t>杨谈乡</t>
  </si>
  <si>
    <t>Yángtóushēng Xiāng</t>
  </si>
  <si>
    <t>阳头升乡</t>
  </si>
  <si>
    <t>Yáomiào Zhèn</t>
  </si>
  <si>
    <t>尧庙镇</t>
  </si>
  <si>
    <t>Yīpíngyuán Xiāng</t>
  </si>
  <si>
    <t>一平垣乡</t>
  </si>
  <si>
    <t>Yŏnggù Xiāng</t>
  </si>
  <si>
    <t>永固乡</t>
  </si>
  <si>
    <t>Yŏnglè Xiāng</t>
  </si>
  <si>
    <t>永乐乡</t>
  </si>
  <si>
    <t>Yuèyáng Zhèn</t>
  </si>
  <si>
    <t>岳阳镇</t>
  </si>
  <si>
    <t>Zăolĭng Xiāng</t>
  </si>
  <si>
    <t>枣岭乡</t>
  </si>
  <si>
    <t>Zhàigētă Xiāng</t>
  </si>
  <si>
    <t>寨圪塔乡</t>
  </si>
  <si>
    <t>Zhàizi Xiāng</t>
  </si>
  <si>
    <t>寨子乡</t>
  </si>
  <si>
    <t>Zhāngcūn Jiēdào</t>
  </si>
  <si>
    <t>张村街道</t>
  </si>
  <si>
    <t>Zhāngzhuāng Xiāng</t>
  </si>
  <si>
    <t>张庄乡</t>
  </si>
  <si>
    <t>Zhàochéng Zhèn</t>
  </si>
  <si>
    <t>赵城镇</t>
  </si>
  <si>
    <t>Zhàokāng Zhèn</t>
  </si>
  <si>
    <t>赵康镇</t>
  </si>
  <si>
    <t>Zhĕntóu Xiāng</t>
  </si>
  <si>
    <t>枕头乡</t>
  </si>
  <si>
    <t>Zhīhé Zhèn</t>
  </si>
  <si>
    <t>芝河镇</t>
  </si>
  <si>
    <t>Zhōngduŏ Xiāng</t>
  </si>
  <si>
    <t>中垛乡</t>
  </si>
  <si>
    <t>Zhōngwèi Xiāng</t>
  </si>
  <si>
    <t>中卫乡</t>
  </si>
  <si>
    <t>Zuŏmù Xiāng</t>
  </si>
  <si>
    <t>左木乡</t>
  </si>
  <si>
    <t>Ānjiāzhuāng Xiāng</t>
  </si>
  <si>
    <t>安家庄乡</t>
  </si>
  <si>
    <t>Lín Xiàn</t>
  </si>
  <si>
    <t>Ānyè Xiāng</t>
  </si>
  <si>
    <t>安业乡</t>
  </si>
  <si>
    <t>Àojiāwān Xiāng</t>
  </si>
  <si>
    <t>奥家湾乡</t>
  </si>
  <si>
    <t>Xīng Xiàn</t>
  </si>
  <si>
    <t>Bābăo Xiāng [Dìbābăo Xiāng]</t>
  </si>
  <si>
    <t>八堡乡</t>
  </si>
  <si>
    <t>Báiwén Zhèn</t>
  </si>
  <si>
    <t>白文镇</t>
  </si>
  <si>
    <t>Bĕiwŭdāng Zhèn</t>
  </si>
  <si>
    <t>北武当镇</t>
  </si>
  <si>
    <t>Fāngshān Xiàn</t>
  </si>
  <si>
    <t>Bĕizhāng Xiāng</t>
  </si>
  <si>
    <t>北张乡</t>
  </si>
  <si>
    <t>Wénshuĭ Xiàn</t>
  </si>
  <si>
    <t>Líshí Qū</t>
  </si>
  <si>
    <t>Càijiāhuì Zhèn</t>
  </si>
  <si>
    <t>蔡家会镇</t>
  </si>
  <si>
    <t>Càijiāyá Xiāng</t>
  </si>
  <si>
    <t>蔡家崖乡</t>
  </si>
  <si>
    <t>Cáojiāyuán Xiāng</t>
  </si>
  <si>
    <t>曹家垣乡</t>
  </si>
  <si>
    <t>Shílóu Xiàn</t>
  </si>
  <si>
    <t>Chēgăn Xiāng</t>
  </si>
  <si>
    <t>车赶乡</t>
  </si>
  <si>
    <t>Chēmíngyù Xiāng [Zhāngzishān Xiāng]</t>
  </si>
  <si>
    <t>车鸣峪乡</t>
  </si>
  <si>
    <t>Zhōngyáng Xiàn</t>
  </si>
  <si>
    <t>Chéngbĕi Jiēdào</t>
  </si>
  <si>
    <t>城北街道</t>
  </si>
  <si>
    <t>Chéngjiāzhuāng Zhèn</t>
  </si>
  <si>
    <t>成家庄镇</t>
  </si>
  <si>
    <t>Liŭlín Xiàn</t>
  </si>
  <si>
    <t>Chéngzhuāng Zhèn</t>
  </si>
  <si>
    <t>城庄镇</t>
  </si>
  <si>
    <t>Chénjiāwān Xiāng</t>
  </si>
  <si>
    <t>陈家湾乡</t>
  </si>
  <si>
    <t>Chóngwén Jiēdào</t>
  </si>
  <si>
    <t>崇文街道</t>
  </si>
  <si>
    <t>Xiàoyì Shì</t>
  </si>
  <si>
    <t>Cóngluóyù Zhèn</t>
  </si>
  <si>
    <t>丛罗峪镇</t>
  </si>
  <si>
    <t>Dàshétóu Xiāng</t>
  </si>
  <si>
    <t>大蛇头乡</t>
  </si>
  <si>
    <t>Lán Xiàn</t>
  </si>
  <si>
    <t>Dàwŭ Zhèn</t>
  </si>
  <si>
    <t>大武镇</t>
  </si>
  <si>
    <t>Dàxiàobăo Xiāng</t>
  </si>
  <si>
    <t>大孝堡乡</t>
  </si>
  <si>
    <t>Dàyŭ Xiāng</t>
  </si>
  <si>
    <t>大禹乡</t>
  </si>
  <si>
    <t>Dōngcūn Zhèn</t>
  </si>
  <si>
    <t>东村镇</t>
  </si>
  <si>
    <t>Dōnghuì Xiāng</t>
  </si>
  <si>
    <t>东会乡</t>
  </si>
  <si>
    <t>Dōngpōdĭ Xiāng</t>
  </si>
  <si>
    <t>东坡底乡</t>
  </si>
  <si>
    <t>Jiāochéng Xiàn</t>
  </si>
  <si>
    <t>Duìzhèn Zhèn</t>
  </si>
  <si>
    <t>兑镇镇</t>
  </si>
  <si>
    <t>Èhŭtān Xiāng</t>
  </si>
  <si>
    <t>恶虎滩乡</t>
  </si>
  <si>
    <t>Fèngshān Jiēdào</t>
  </si>
  <si>
    <t>凤山街道</t>
  </si>
  <si>
    <t>Gāojiācūn Zhèn</t>
  </si>
  <si>
    <t>高家村镇</t>
  </si>
  <si>
    <t>Gāojiāgōu Xiāng</t>
  </si>
  <si>
    <t>高家沟乡</t>
  </si>
  <si>
    <t>Gāoyáng Zhèn</t>
  </si>
  <si>
    <t>高阳镇</t>
  </si>
  <si>
    <t>Gēdashàng Xiāng</t>
  </si>
  <si>
    <t>圪垯上乡</t>
  </si>
  <si>
    <t>Gēdòng Zhèn</t>
  </si>
  <si>
    <t>圪洞镇</t>
  </si>
  <si>
    <t>Gùxián Xiāng</t>
  </si>
  <si>
    <t>固贤乡</t>
  </si>
  <si>
    <t>Héhé Xiāng</t>
  </si>
  <si>
    <t>和合乡</t>
  </si>
  <si>
    <t>Hèjiāhuì Xiāng</t>
  </si>
  <si>
    <t>贺家会乡</t>
  </si>
  <si>
    <t>Hékŏu Xiāng</t>
  </si>
  <si>
    <t>河口乡</t>
  </si>
  <si>
    <t>Hóngxiāng Xiāng</t>
  </si>
  <si>
    <t>洪相乡</t>
  </si>
  <si>
    <t>Hóngyănchuān Xiāng</t>
  </si>
  <si>
    <t>红眼川乡</t>
  </si>
  <si>
    <t>Huìlì Xiāng</t>
  </si>
  <si>
    <t>会立乡</t>
  </si>
  <si>
    <t>Huílóng Xiāng</t>
  </si>
  <si>
    <t>回龙乡</t>
  </si>
  <si>
    <t>Jiāokŏu Xiàn</t>
  </si>
  <si>
    <t>Jiăjiāyuán Xiāng</t>
  </si>
  <si>
    <t>贾家垣乡</t>
  </si>
  <si>
    <t>Jiăjiāzhuāng Zhèn</t>
  </si>
  <si>
    <t>贾家庄镇</t>
  </si>
  <si>
    <t>Fényáng Shì</t>
  </si>
  <si>
    <t>Jiāokŏu Jiēdào</t>
  </si>
  <si>
    <t>交口街道</t>
  </si>
  <si>
    <t>Jiāolóushēn Xiāng</t>
  </si>
  <si>
    <t>交楼申乡</t>
  </si>
  <si>
    <t>Jīcuì Xiāng</t>
  </si>
  <si>
    <t>积翠乡</t>
  </si>
  <si>
    <t>Jìcūn Zhèn</t>
  </si>
  <si>
    <t>冀村镇</t>
  </si>
  <si>
    <t>Jièhékŏu Zhèn</t>
  </si>
  <si>
    <t>界河口镇</t>
  </si>
  <si>
    <t>Jīnjiāzhuāng Xiāng</t>
  </si>
  <si>
    <t>金家庄乡</t>
  </si>
  <si>
    <t>Jīnluó Zhèn</t>
  </si>
  <si>
    <t>金罗镇</t>
  </si>
  <si>
    <t>Kāizhà Zhèn</t>
  </si>
  <si>
    <t>开栅镇</t>
  </si>
  <si>
    <t>Kāngchéng Zhèn</t>
  </si>
  <si>
    <t>康城镇</t>
  </si>
  <si>
    <t>Kāngníng Zhèn</t>
  </si>
  <si>
    <t>康宁镇</t>
  </si>
  <si>
    <t>Kèhŭ Zhèn</t>
  </si>
  <si>
    <t>克虎镇</t>
  </si>
  <si>
    <t>Lánchéng Zhèn</t>
  </si>
  <si>
    <t>岚城镇</t>
  </si>
  <si>
    <t>Léijiāqì Xiāng</t>
  </si>
  <si>
    <t>雷家碛乡</t>
  </si>
  <si>
    <t>Liángjiāzhuāng Xiāng</t>
  </si>
  <si>
    <t>梁家庄乡</t>
  </si>
  <si>
    <t>Liánhuāchí Jiēdào</t>
  </si>
  <si>
    <t>莲花池街道</t>
  </si>
  <si>
    <t>Lĭjiāwān Xiāng</t>
  </si>
  <si>
    <t>李家湾乡</t>
  </si>
  <si>
    <t>Lìjiāzhuāng Xiāng</t>
  </si>
  <si>
    <t>栗家庄乡</t>
  </si>
  <si>
    <t>Lĭngdĭ Xiāng</t>
  </si>
  <si>
    <t>岭底乡</t>
  </si>
  <si>
    <t>Língquán Zhèn</t>
  </si>
  <si>
    <t>灵泉镇</t>
  </si>
  <si>
    <t>Línjiāpíng Zhèn</t>
  </si>
  <si>
    <t>林家坪镇</t>
  </si>
  <si>
    <t>Línquán Zhèn</t>
  </si>
  <si>
    <t>临泉镇</t>
  </si>
  <si>
    <t>Liúhúlán Zhèn</t>
  </si>
  <si>
    <t>刘胡兰镇</t>
  </si>
  <si>
    <t>Liújiāhuì Zhèn</t>
  </si>
  <si>
    <t>刘家会镇</t>
  </si>
  <si>
    <t>Liŭlín Zhèn</t>
  </si>
  <si>
    <t>柳林镇</t>
  </si>
  <si>
    <t>Liúyù Zhèn</t>
  </si>
  <si>
    <t>留誉镇</t>
  </si>
  <si>
    <t>Lóngjiāo Xiāng</t>
  </si>
  <si>
    <t>龙交乡</t>
  </si>
  <si>
    <t>Luócūn Zhèn</t>
  </si>
  <si>
    <t>罗村镇</t>
  </si>
  <si>
    <t>Luóyùkŏu Zhèn</t>
  </si>
  <si>
    <t>罗峪口镇</t>
  </si>
  <si>
    <t>Mádìhuì Xiāng</t>
  </si>
  <si>
    <t>麻地会乡</t>
  </si>
  <si>
    <t>Măfāng Zhèn</t>
  </si>
  <si>
    <t>马坊镇</t>
  </si>
  <si>
    <t>Măxī Xiāng</t>
  </si>
  <si>
    <t>马西乡</t>
  </si>
  <si>
    <t>Mèngjiāpíng Xiāng</t>
  </si>
  <si>
    <t>孟家坪乡</t>
  </si>
  <si>
    <t>Mèngmén Zhèn</t>
  </si>
  <si>
    <t>孟门镇</t>
  </si>
  <si>
    <t>Mùcūn Zhèn</t>
  </si>
  <si>
    <t>穆村镇</t>
  </si>
  <si>
    <t>Mùguāpíng Xiāng</t>
  </si>
  <si>
    <t>木瓜坪乡</t>
  </si>
  <si>
    <t>Nán'ān Zhèn</t>
  </si>
  <si>
    <t>南安镇</t>
  </si>
  <si>
    <t>Nánwŭ Xiāng</t>
  </si>
  <si>
    <t>南武乡</t>
  </si>
  <si>
    <t>Nányáng Xiāng</t>
  </si>
  <si>
    <t>南阳乡</t>
  </si>
  <si>
    <t>Nánzhuāng Zhèn</t>
  </si>
  <si>
    <t>南庄镇</t>
  </si>
  <si>
    <t>Níngxiāng Zhèn</t>
  </si>
  <si>
    <t>宁乡镇</t>
  </si>
  <si>
    <t>Nuănquán Zhèn</t>
  </si>
  <si>
    <t>暖泉镇</t>
  </si>
  <si>
    <t>Pángquángōu Zhèn</t>
  </si>
  <si>
    <t>庞泉沟镇</t>
  </si>
  <si>
    <t>Péigōu Xiāng</t>
  </si>
  <si>
    <t>裴沟乡</t>
  </si>
  <si>
    <t>Píngtóu Xiāng</t>
  </si>
  <si>
    <t>坪头乡</t>
  </si>
  <si>
    <t>Pŭmíng Zhèn</t>
  </si>
  <si>
    <t>普明镇</t>
  </si>
  <si>
    <t>Qìkŏu Zhèn</t>
  </si>
  <si>
    <t>碛口镇</t>
  </si>
  <si>
    <t>Qīngliángsì Xiāng</t>
  </si>
  <si>
    <t>青凉寺乡</t>
  </si>
  <si>
    <t>Qŭyù Zhèn</t>
  </si>
  <si>
    <t>曲峪镇</t>
  </si>
  <si>
    <t>Sānjiāo Zhèn</t>
  </si>
  <si>
    <t>三交镇</t>
  </si>
  <si>
    <t>Sānquán Zhèn</t>
  </si>
  <si>
    <t>三泉镇</t>
  </si>
  <si>
    <t>Shàngmíng Xiāng</t>
  </si>
  <si>
    <t>上明乡</t>
  </si>
  <si>
    <t>Shèkē Xiāng</t>
  </si>
  <si>
    <t>社科乡</t>
  </si>
  <si>
    <t>Shèngxīhú Jiēdào [Dōngxŭ Jiēdào]</t>
  </si>
  <si>
    <t>胜溪湖街道</t>
  </si>
  <si>
    <t>Shíbáitóu Xiāng</t>
  </si>
  <si>
    <t>石白头乡</t>
  </si>
  <si>
    <t>Shíkŏu Xiāng</t>
  </si>
  <si>
    <t>石口乡</t>
  </si>
  <si>
    <t>Shíxī Xiāng</t>
  </si>
  <si>
    <t>石西乡</t>
  </si>
  <si>
    <t>Shízhuāng Zhèn</t>
  </si>
  <si>
    <t>石庄镇</t>
  </si>
  <si>
    <t>Shuāngchí Zhèn</t>
  </si>
  <si>
    <t>双池镇</t>
  </si>
  <si>
    <t>Shuĭtóu Zhèn</t>
  </si>
  <si>
    <t>水头镇</t>
  </si>
  <si>
    <t>Shuĭyùguàn Zhèn</t>
  </si>
  <si>
    <t>水峪贯镇</t>
  </si>
  <si>
    <t>Shùnhuì Xiāng</t>
  </si>
  <si>
    <t>顺会乡</t>
  </si>
  <si>
    <t>Tàihéqiáo Jiēdào</t>
  </si>
  <si>
    <t>太和桥街道</t>
  </si>
  <si>
    <t>Táohóngpō Zhèn</t>
  </si>
  <si>
    <t>桃红坡镇</t>
  </si>
  <si>
    <t>Tiánjiāhuì Jiēdào</t>
  </si>
  <si>
    <t>田家会街道</t>
  </si>
  <si>
    <t>Tiānníng Zhèn</t>
  </si>
  <si>
    <t>天宁镇</t>
  </si>
  <si>
    <t>Tuānshuĭtóu Zhèn</t>
  </si>
  <si>
    <t>湍水头镇</t>
  </si>
  <si>
    <t>Tùbăn Zhèn</t>
  </si>
  <si>
    <t>兔坂镇</t>
  </si>
  <si>
    <t>Tŭyù Xiāng</t>
  </si>
  <si>
    <t>土峪乡</t>
  </si>
  <si>
    <t>Wángjiāgōu Xiāng</t>
  </si>
  <si>
    <t>王家沟乡</t>
  </si>
  <si>
    <t>Wángshī Xiāng</t>
  </si>
  <si>
    <t>王狮乡</t>
  </si>
  <si>
    <t>Wătáng Zhèn</t>
  </si>
  <si>
    <t>瓦塘镇</t>
  </si>
  <si>
    <t>Wèijiātān Zhèn</t>
  </si>
  <si>
    <t>魏家滩镇</t>
  </si>
  <si>
    <t>Wénfēng Jiēdào</t>
  </si>
  <si>
    <t>文峰街道</t>
  </si>
  <si>
    <t>Wēnquán Xiāng</t>
  </si>
  <si>
    <t>温泉乡</t>
  </si>
  <si>
    <t>Wúchéng Zhèn</t>
  </si>
  <si>
    <t>吴城镇</t>
  </si>
  <si>
    <t>Wŭjiāzhuāng Zhèn</t>
  </si>
  <si>
    <t>武家庄镇</t>
  </si>
  <si>
    <t>Wútóng Zhèn</t>
  </si>
  <si>
    <t>梧桐镇</t>
  </si>
  <si>
    <t>Xiàbăo Zhèn</t>
  </si>
  <si>
    <t>下堡镇</t>
  </si>
  <si>
    <t>Xiàjiāyíng Zhèn [incl. Xiàjiāyíng Shēngtài Gōngyè Yuánqū]</t>
  </si>
  <si>
    <t>夏家营镇</t>
  </si>
  <si>
    <t>Xiàojiāzhuāng Zhèn</t>
  </si>
  <si>
    <t>肖家庄镇</t>
  </si>
  <si>
    <t>Xiăosuàn Zhèn</t>
  </si>
  <si>
    <t>小蒜镇</t>
  </si>
  <si>
    <t>Xiàoyì Zhèn</t>
  </si>
  <si>
    <t>孝义镇</t>
  </si>
  <si>
    <t>Xiàqŭ Zhèn</t>
  </si>
  <si>
    <t>下曲镇</t>
  </si>
  <si>
    <t>Xiàzăolín Xiāng</t>
  </si>
  <si>
    <t>下枣林乡</t>
  </si>
  <si>
    <t>Xiàzhà Xiāng</t>
  </si>
  <si>
    <t>下栅乡</t>
  </si>
  <si>
    <t>Xīcáotóu Xiāng</t>
  </si>
  <si>
    <t>西槽头乡</t>
  </si>
  <si>
    <t>Xīchéng Xiāng</t>
  </si>
  <si>
    <t>西城乡</t>
  </si>
  <si>
    <t>Xìnghuācūn Zhèn</t>
  </si>
  <si>
    <t>杏花村镇</t>
  </si>
  <si>
    <t>Xīnguān Zhèn [Qiánshān Xiāng]</t>
  </si>
  <si>
    <t>辛关镇</t>
  </si>
  <si>
    <t>Xīnyì Jiēdào</t>
  </si>
  <si>
    <t>新义街道</t>
  </si>
  <si>
    <t>Xìnyì Zhèn</t>
  </si>
  <si>
    <t>信义镇</t>
  </si>
  <si>
    <t>Xīshè Zhèn</t>
  </si>
  <si>
    <t>西社镇</t>
  </si>
  <si>
    <t>Xīshŭbā Jiēdào</t>
  </si>
  <si>
    <t>西属巴街道</t>
  </si>
  <si>
    <t>Xīxīnzhuāng Zhèn</t>
  </si>
  <si>
    <t>西辛庄镇</t>
  </si>
  <si>
    <t>Xuēcūn Zhèn</t>
  </si>
  <si>
    <t>薛村镇</t>
  </si>
  <si>
    <t>Yángchéng Xiāng</t>
  </si>
  <si>
    <t>阳城乡</t>
  </si>
  <si>
    <t>Yángjiāzhuāng Zhèn</t>
  </si>
  <si>
    <t>杨家庄镇</t>
  </si>
  <si>
    <t>Yángquánqŭ Zhèn</t>
  </si>
  <si>
    <t>阳泉曲镇</t>
  </si>
  <si>
    <t>Yănwŭ Zhèn</t>
  </si>
  <si>
    <t>演武镇</t>
  </si>
  <si>
    <t>Yìdié Zhèn</t>
  </si>
  <si>
    <t>义牒镇</t>
  </si>
  <si>
    <t>Yìmă Xiāng</t>
  </si>
  <si>
    <t>驿马乡</t>
  </si>
  <si>
    <t>Yùdàohé Zhèn</t>
  </si>
  <si>
    <t>峪道河镇</t>
  </si>
  <si>
    <t>Yùfén Zhèn</t>
  </si>
  <si>
    <t>蔚汾镇</t>
  </si>
  <si>
    <t>Yùkŏu Zhèn</t>
  </si>
  <si>
    <t>峪口镇</t>
  </si>
  <si>
    <t>Yùpíng Xiāng</t>
  </si>
  <si>
    <t>玉坪乡</t>
  </si>
  <si>
    <t>Zăolín Xiāng</t>
  </si>
  <si>
    <t>枣林乡</t>
  </si>
  <si>
    <t>Zhàojiāpíng Xiāng</t>
  </si>
  <si>
    <t>赵家坪乡</t>
  </si>
  <si>
    <t>Zhāoxián Zhèn</t>
  </si>
  <si>
    <t>招贤镇</t>
  </si>
  <si>
    <t>Zhènxīng Jiēdào</t>
  </si>
  <si>
    <t>振兴街道</t>
  </si>
  <si>
    <t>Zhīkē Zhèn</t>
  </si>
  <si>
    <t>枝柯镇</t>
  </si>
  <si>
    <t>Zhōngyánglóu Jiēdào</t>
  </si>
  <si>
    <t>中阳楼街道</t>
  </si>
  <si>
    <t>Zhuāngshàng Zhèn</t>
  </si>
  <si>
    <t>庄上镇</t>
  </si>
  <si>
    <t>Zhùpú Zhèn</t>
  </si>
  <si>
    <t>柱濮镇</t>
  </si>
  <si>
    <t>Ānróng Xiāng</t>
  </si>
  <si>
    <t>安荣乡</t>
  </si>
  <si>
    <t>Shānyīn Xiàn</t>
  </si>
  <si>
    <t>Báimăshí Xiāng</t>
  </si>
  <si>
    <t>白马石乡</t>
  </si>
  <si>
    <t>Yīng Xiàn</t>
  </si>
  <si>
    <t>Báitáng Xiāng</t>
  </si>
  <si>
    <t>白堂乡</t>
  </si>
  <si>
    <t>Pínglŭ Qū</t>
  </si>
  <si>
    <t>Báitóulĭ Xiāng</t>
  </si>
  <si>
    <t>白头里乡</t>
  </si>
  <si>
    <t>Yòuyù Xiàn</t>
  </si>
  <si>
    <t>Shuòchéng Qū</t>
  </si>
  <si>
    <t>Bĕiwàngzhuāng Jiēdào</t>
  </si>
  <si>
    <t>北旺庄街道</t>
  </si>
  <si>
    <t>Bĕizhōuzhuāng Zhèn</t>
  </si>
  <si>
    <t>北周庄镇</t>
  </si>
  <si>
    <t>Dàhuángwēi Xiāng</t>
  </si>
  <si>
    <t>大黄巍乡</t>
  </si>
  <si>
    <t>Dàiyuè Zhèn</t>
  </si>
  <si>
    <t>岱岳镇</t>
  </si>
  <si>
    <t>Dàlínhé Xiāng</t>
  </si>
  <si>
    <t>大临河乡</t>
  </si>
  <si>
    <t>Dīngjiāyáo Xiāng</t>
  </si>
  <si>
    <t>丁家窑乡</t>
  </si>
  <si>
    <t>Dōngchéng</t>
  </si>
  <si>
    <t>东城</t>
  </si>
  <si>
    <t>Fènghuángchéng Zhèn</t>
  </si>
  <si>
    <t>凤凰城镇</t>
  </si>
  <si>
    <t>Fúshànzhuāng Xiāng</t>
  </si>
  <si>
    <t>福善庄乡</t>
  </si>
  <si>
    <t>Gāojiābăo Xiāng</t>
  </si>
  <si>
    <t>高家堡乡</t>
  </si>
  <si>
    <t>Gāoshízhuāng Xiāng</t>
  </si>
  <si>
    <t>高石庄乡</t>
  </si>
  <si>
    <t>Hăibĕitóu Xiāng</t>
  </si>
  <si>
    <t>海北头乡</t>
  </si>
  <si>
    <t>Huáirén Shì</t>
  </si>
  <si>
    <t>Héjiābăo Xiāng</t>
  </si>
  <si>
    <t>何家堡乡</t>
  </si>
  <si>
    <t>Héshèngbăo Xiāng</t>
  </si>
  <si>
    <t>合盛堡乡</t>
  </si>
  <si>
    <t>Hétóu Xiāng</t>
  </si>
  <si>
    <t>河头乡</t>
  </si>
  <si>
    <t>Hòusuŏ Xiāng</t>
  </si>
  <si>
    <t>后所乡</t>
  </si>
  <si>
    <t>Jiăzhuāng Xiāng</t>
  </si>
  <si>
    <t>贾庄乡</t>
  </si>
  <si>
    <t>Jīnchéng Zhèn</t>
  </si>
  <si>
    <t>金城镇</t>
  </si>
  <si>
    <t>Jĭngpíng Zhèn</t>
  </si>
  <si>
    <t>井坪镇</t>
  </si>
  <si>
    <t>Jīnshātān Zhèn [incl. Jīnshātān Línchǎng, Jīnshātān Nóngmùchǎng]</t>
  </si>
  <si>
    <t>金沙滩镇</t>
  </si>
  <si>
    <t>Lĭdáyáo Xiāng</t>
  </si>
  <si>
    <t>李达窑乡</t>
  </si>
  <si>
    <t>Lìmín Zhèn</t>
  </si>
  <si>
    <t>利民镇</t>
  </si>
  <si>
    <t>Máojiāzào Zhèn</t>
  </si>
  <si>
    <t>毛家皂镇</t>
  </si>
  <si>
    <t>Măxīnzhuāng Xiāng</t>
  </si>
  <si>
    <t>马辛庄乡</t>
  </si>
  <si>
    <t>Măyíng Xiāng</t>
  </si>
  <si>
    <t>马营乡</t>
  </si>
  <si>
    <t>Măyíngzhuāng Xiāng</t>
  </si>
  <si>
    <t>马营庄乡</t>
  </si>
  <si>
    <t>Nánhézhŏng Zhèn</t>
  </si>
  <si>
    <t>南河种镇</t>
  </si>
  <si>
    <t>Niúxīnbăo Xiāng</t>
  </si>
  <si>
    <t>牛心堡乡</t>
  </si>
  <si>
    <t>Qīnhé Xiāng</t>
  </si>
  <si>
    <t>亲和乡</t>
  </si>
  <si>
    <t>Shālénghé Xiāng</t>
  </si>
  <si>
    <t>沙塄河乡</t>
  </si>
  <si>
    <t>Shānyīnnóng Mùchăng</t>
  </si>
  <si>
    <t>山阴农牧场</t>
  </si>
  <si>
    <t>Shéntóu Jiēdào</t>
  </si>
  <si>
    <t>神头街道</t>
  </si>
  <si>
    <t>Shéntóu Zhèn</t>
  </si>
  <si>
    <t>神头镇</t>
  </si>
  <si>
    <t>Shuāngniăn Xiāng</t>
  </si>
  <si>
    <t>双碾乡</t>
  </si>
  <si>
    <t>Shuòzhōu Shì Kāifāqū Guănwĕihuì [Shuozhou Development Zone]</t>
  </si>
  <si>
    <t>朔州市开发区管委会</t>
  </si>
  <si>
    <t>Táocūn Xiāng</t>
  </si>
  <si>
    <t>陶村乡</t>
  </si>
  <si>
    <t>Wēiyuăn Zhèn</t>
  </si>
  <si>
    <t>威远镇</t>
  </si>
  <si>
    <t>Wújiāyáo Zhèn</t>
  </si>
  <si>
    <t>吴家窑镇</t>
  </si>
  <si>
    <t>Wúmăyíng Xiāng</t>
  </si>
  <si>
    <t>吴马营乡</t>
  </si>
  <si>
    <t>Xiàlăbā Xiāng</t>
  </si>
  <si>
    <t>下喇叭乡</t>
  </si>
  <si>
    <t>Xiàmăyù Xiāng</t>
  </si>
  <si>
    <t>下马峪乡</t>
  </si>
  <si>
    <t>Xiàmiàngāo Xiāng</t>
  </si>
  <si>
    <t>下面高乡</t>
  </si>
  <si>
    <t>Xiàmùjiăo Xiāng</t>
  </si>
  <si>
    <t>下木角乡</t>
  </si>
  <si>
    <t>Xiàngyángbăo Xiāng</t>
  </si>
  <si>
    <t>向阳堡乡</t>
  </si>
  <si>
    <t>Xiăopíngyì Xiāng</t>
  </si>
  <si>
    <t>小平易乡</t>
  </si>
  <si>
    <t>Xiàshè Zhèn</t>
  </si>
  <si>
    <t>下社镇</t>
  </si>
  <si>
    <t>Xiàshuĭtóu Xiāng</t>
  </si>
  <si>
    <t>下水头乡</t>
  </si>
  <si>
    <t>Xiàtuánbăo Xiāng</t>
  </si>
  <si>
    <t>下团堡乡</t>
  </si>
  <si>
    <t>Xīchéng</t>
  </si>
  <si>
    <t>西城</t>
  </si>
  <si>
    <t>Xìngzhài Xiāng</t>
  </si>
  <si>
    <t>杏寨乡</t>
  </si>
  <si>
    <t>Xīnjiāyuán Xiāng</t>
  </si>
  <si>
    <t>新家园乡</t>
  </si>
  <si>
    <t>Xīshuĭjiè Xiāng</t>
  </si>
  <si>
    <t>西水界乡</t>
  </si>
  <si>
    <t>Xuēkūlüè Xiāng</t>
  </si>
  <si>
    <t>薛圐圙乡</t>
  </si>
  <si>
    <t>Yángqiānhé Xiāng</t>
  </si>
  <si>
    <t>杨千河乡</t>
  </si>
  <si>
    <t>Yáozitóu Xiāng</t>
  </si>
  <si>
    <t>窑子头乡</t>
  </si>
  <si>
    <t>Yìjĭng Xiāng</t>
  </si>
  <si>
    <t>义井乡</t>
  </si>
  <si>
    <t>Yòuwèi Zhèn</t>
  </si>
  <si>
    <t>右卫镇</t>
  </si>
  <si>
    <t>Yuánbăozi Zhèn</t>
  </si>
  <si>
    <t>元堡子镇</t>
  </si>
  <si>
    <t>Yùjĭng Zhèn</t>
  </si>
  <si>
    <t>玉井镇</t>
  </si>
  <si>
    <t>Yúlĭng Xiāng</t>
  </si>
  <si>
    <t>榆岭乡</t>
  </si>
  <si>
    <t>Yúnzhōng Zhèn</t>
  </si>
  <si>
    <t>云中镇</t>
  </si>
  <si>
    <t>Zàngzhài Xiāng</t>
  </si>
  <si>
    <t>臧寨乡</t>
  </si>
  <si>
    <t>Zhāngcàizhuāng Xiāng</t>
  </si>
  <si>
    <t>张蔡庄乡</t>
  </si>
  <si>
    <t>Zhāngjiāzhuāng Xiāng</t>
  </si>
  <si>
    <t>张家庄乡</t>
  </si>
  <si>
    <t>Zhènziliáng Xiāng</t>
  </si>
  <si>
    <t>镇子梁乡</t>
  </si>
  <si>
    <t>Zīrùn Xiāng</t>
  </si>
  <si>
    <t>滋润乡</t>
  </si>
  <si>
    <t>Zŭhŭ Xiāng</t>
  </si>
  <si>
    <t>阻虎乡</t>
  </si>
  <si>
    <t>Bǎibăn Xiāng</t>
  </si>
  <si>
    <t>柏板乡</t>
  </si>
  <si>
    <t>Jiāncăopíng Qū</t>
  </si>
  <si>
    <t>Báijiāzhuāng Jiēdào</t>
  </si>
  <si>
    <t>白家庄街道</t>
  </si>
  <si>
    <t>Wànbǎilín Qū</t>
  </si>
  <si>
    <t>Bàlíngqiáo Jiēdào</t>
  </si>
  <si>
    <t>坝陵桥街道</t>
  </si>
  <si>
    <t>Xìnghuālĭng Qū</t>
  </si>
  <si>
    <t>Bĕigé Zhèn</t>
  </si>
  <si>
    <t>北格镇</t>
  </si>
  <si>
    <t>Xiăodiàn Qū</t>
  </si>
  <si>
    <t>Bĕixiăodiàn Xiāng</t>
  </si>
  <si>
    <t>北小店乡</t>
  </si>
  <si>
    <t>Yángqŭ Xiàn</t>
  </si>
  <si>
    <t>Bĕiyíng Jiēdào</t>
  </si>
  <si>
    <t>北营街道</t>
  </si>
  <si>
    <t>Cháicūn Jiēdào</t>
  </si>
  <si>
    <t>柴村街道</t>
  </si>
  <si>
    <t>Chàkŏu Xiāng</t>
  </si>
  <si>
    <t>岔口乡</t>
  </si>
  <si>
    <t>Gŭjiāo Shì</t>
  </si>
  <si>
    <t>Cháng'ān Xiāng</t>
  </si>
  <si>
    <t>常安乡</t>
  </si>
  <si>
    <t>Chángfēng Xījiē Jiēdào</t>
  </si>
  <si>
    <t>长风西街街道</t>
  </si>
  <si>
    <t>Dàdōngguān Jiēdào</t>
  </si>
  <si>
    <t>大东关街道</t>
  </si>
  <si>
    <t>Dàyú Zhèn</t>
  </si>
  <si>
    <t>大盂镇</t>
  </si>
  <si>
    <t>Dōnghuángshuĭ Zhèn</t>
  </si>
  <si>
    <t>东黄水镇</t>
  </si>
  <si>
    <t>Dōngqŭ Jiēdào</t>
  </si>
  <si>
    <t>东曲街道</t>
  </si>
  <si>
    <t>Dōngshè Jiēdào</t>
  </si>
  <si>
    <t>东社街道</t>
  </si>
  <si>
    <t>Dōngyú Zhèn</t>
  </si>
  <si>
    <t>东于镇</t>
  </si>
  <si>
    <t>Qīngxú Xiàn</t>
  </si>
  <si>
    <t>Dù'érpíng Jiēdào</t>
  </si>
  <si>
    <t>杜儿坪街道</t>
  </si>
  <si>
    <t>Dùjiāoqŭ Zhèn</t>
  </si>
  <si>
    <t>杜交曲镇</t>
  </si>
  <si>
    <t>Lóufán Xiàn</t>
  </si>
  <si>
    <t>Dūnhuàfāng Jiēdào</t>
  </si>
  <si>
    <t>敦化坊街道</t>
  </si>
  <si>
    <t>Gàijiāzhuāng Xiāng</t>
  </si>
  <si>
    <t>盖家庄乡</t>
  </si>
  <si>
    <t>Géshàng Xiāng</t>
  </si>
  <si>
    <t>阁上乡</t>
  </si>
  <si>
    <t>Guāngshè Jiēdào</t>
  </si>
  <si>
    <t>光社街道</t>
  </si>
  <si>
    <t>Gŭchéng Jiēdào</t>
  </si>
  <si>
    <t>古城街道</t>
  </si>
  <si>
    <t>Hăozhuāng Zhèn</t>
  </si>
  <si>
    <t>郝庄镇</t>
  </si>
  <si>
    <t>Yíngzé Qū</t>
  </si>
  <si>
    <t>Hékŏu Zhèn</t>
  </si>
  <si>
    <t>河口镇</t>
  </si>
  <si>
    <t>Hépíng Jiēdào</t>
  </si>
  <si>
    <t>和平街道</t>
  </si>
  <si>
    <t>Hòucūn Xiāng</t>
  </si>
  <si>
    <t>侯村乡</t>
  </si>
  <si>
    <t>Huàkètóu Jiēdào</t>
  </si>
  <si>
    <t>化客头街道</t>
  </si>
  <si>
    <t>Huánglíng Jiēdào</t>
  </si>
  <si>
    <t>黄陵街道</t>
  </si>
  <si>
    <t>Huángzhài Zhèn</t>
  </si>
  <si>
    <t>黄寨镇</t>
  </si>
  <si>
    <t>Huìfēng Jiēdào</t>
  </si>
  <si>
    <t>汇丰街道</t>
  </si>
  <si>
    <t>Jiālèquán Xiāng</t>
  </si>
  <si>
    <t>加乐泉乡</t>
  </si>
  <si>
    <t>Jiāncăopíng Jiēdào</t>
  </si>
  <si>
    <t>尖草坪街道</t>
  </si>
  <si>
    <t>Jiànhé Jiēdào</t>
  </si>
  <si>
    <t>涧河街道</t>
  </si>
  <si>
    <t>Jìncí Zhèn</t>
  </si>
  <si>
    <t>晋祠镇</t>
  </si>
  <si>
    <t>Jìnyuán Qū</t>
  </si>
  <si>
    <t>Jìngyóu Zhèn</t>
  </si>
  <si>
    <t>静游镇</t>
  </si>
  <si>
    <t>Jīnshèng Zhèn</t>
  </si>
  <si>
    <t>金胜镇</t>
  </si>
  <si>
    <t>Jìnyuán Jiēdào</t>
  </si>
  <si>
    <t>晋源街道</t>
  </si>
  <si>
    <t>Jíyì Xiāng</t>
  </si>
  <si>
    <t>集义乡</t>
  </si>
  <si>
    <t>Jùlún Jiēdào</t>
  </si>
  <si>
    <t>巨轮街道</t>
  </si>
  <si>
    <t>Lăojūnyíng Jiēdào</t>
  </si>
  <si>
    <t>老军营街道</t>
  </si>
  <si>
    <t>Língjĭngdiàn Xiāng</t>
  </si>
  <si>
    <t>凌井店乡</t>
  </si>
  <si>
    <t>Liŭdù Xiāng</t>
  </si>
  <si>
    <t>柳杜乡</t>
  </si>
  <si>
    <t>Liújiābăo Xiāng</t>
  </si>
  <si>
    <t>刘家堡乡</t>
  </si>
  <si>
    <t>Liŭxiàng Jiēdào</t>
  </si>
  <si>
    <t>柳巷街道</t>
  </si>
  <si>
    <t>Lóufán Zhèn</t>
  </si>
  <si>
    <t>娄烦镇</t>
  </si>
  <si>
    <t>Luóchéng Jiēdào</t>
  </si>
  <si>
    <t>罗城街道</t>
  </si>
  <si>
    <t>Măjiāzhuāng Xiāng</t>
  </si>
  <si>
    <t>马家庄乡</t>
  </si>
  <si>
    <t>Mălán Zhèn</t>
  </si>
  <si>
    <t>马兰镇</t>
  </si>
  <si>
    <t>Mătóushuĭ Xiāng</t>
  </si>
  <si>
    <t>马头水乡</t>
  </si>
  <si>
    <t>Măyù Xiāng</t>
  </si>
  <si>
    <t>马峪乡</t>
  </si>
  <si>
    <t>Mèngfēng Zhèn</t>
  </si>
  <si>
    <t>孟封镇</t>
  </si>
  <si>
    <t>Miàoqián Jiēdào</t>
  </si>
  <si>
    <t>庙前街道</t>
  </si>
  <si>
    <t>Miàowān Xiāng</t>
  </si>
  <si>
    <t>庙湾乡</t>
  </si>
  <si>
    <t>Mínyíng Qū</t>
  </si>
  <si>
    <t>民营区</t>
  </si>
  <si>
    <t>Mĭyùzhèn Xiāng</t>
  </si>
  <si>
    <t>米峪镇乡</t>
  </si>
  <si>
    <t>Nánhán Jiēdào</t>
  </si>
  <si>
    <t>南寒街道</t>
  </si>
  <si>
    <t>Nánzhài Jiēdào</t>
  </si>
  <si>
    <t>南寨街道</t>
  </si>
  <si>
    <t>Nítún Zhèn</t>
  </si>
  <si>
    <t>泥屯镇</t>
  </si>
  <si>
    <t>Píngyánglù Jiēdào</t>
  </si>
  <si>
    <t>平阳路街道</t>
  </si>
  <si>
    <t>Qiānfēng Jiēdào</t>
  </si>
  <si>
    <t>千峰街道</t>
  </si>
  <si>
    <t>Qiáodōng Jiēdào</t>
  </si>
  <si>
    <t>桥东街道</t>
  </si>
  <si>
    <t>Qīngyuán Zhèn</t>
  </si>
  <si>
    <t>清源镇</t>
  </si>
  <si>
    <t>Sānqiáo Jiēdào</t>
  </si>
  <si>
    <t>三桥街道</t>
  </si>
  <si>
    <t>Shànglán Jiēdào</t>
  </si>
  <si>
    <t>上兰街道</t>
  </si>
  <si>
    <t>Shéntánggōu Jiēdào</t>
  </si>
  <si>
    <t>神堂沟街道</t>
  </si>
  <si>
    <t>Suōyù Xiāng</t>
  </si>
  <si>
    <t>梭峪乡</t>
  </si>
  <si>
    <t>Tàiyuán Gāoxīn Jìshù Chănyè Kāifāqū [Taiyuan High-tech Industrial Development Zone]</t>
  </si>
  <si>
    <t>太原高新技术产业开发区</t>
  </si>
  <si>
    <t>Tàiyuán Jīngjì Jìshù Kāifāqū [Taiyuan Economic and Technological Development Zone]</t>
  </si>
  <si>
    <t>太原经济技术开发区</t>
  </si>
  <si>
    <t>Táoyuán Jiēdào</t>
  </si>
  <si>
    <t>桃园街道</t>
  </si>
  <si>
    <t>Tiānchídiàn Xiāng</t>
  </si>
  <si>
    <t>天池店乡</t>
  </si>
  <si>
    <t>Túnlán Jiēdào</t>
  </si>
  <si>
    <t>屯兰街道</t>
  </si>
  <si>
    <t>Wànbólín Jiēdào</t>
  </si>
  <si>
    <t>万柏林街道</t>
  </si>
  <si>
    <t>Wángdá Xiāng</t>
  </si>
  <si>
    <t>王答乡</t>
  </si>
  <si>
    <t>Wángfēng Xiāng</t>
  </si>
  <si>
    <t>王封乡</t>
  </si>
  <si>
    <t>Wénmiào Jiēdào</t>
  </si>
  <si>
    <t>文庙街道</t>
  </si>
  <si>
    <t>Wùchéng Jiēdào</t>
  </si>
  <si>
    <t>坞城街道</t>
  </si>
  <si>
    <t>Xiàngyáng Zhèn</t>
  </si>
  <si>
    <t>向阳镇</t>
  </si>
  <si>
    <t>Xiăodiàn Jiēdào</t>
  </si>
  <si>
    <t>小店街道</t>
  </si>
  <si>
    <t>Xiăofăn Xiāng</t>
  </si>
  <si>
    <t>小返乡</t>
  </si>
  <si>
    <t>Xiăojĭngyù Jiēdào</t>
  </si>
  <si>
    <t>小井峪街道</t>
  </si>
  <si>
    <t>Xiàyuán Jiēdào</t>
  </si>
  <si>
    <t>下元街道</t>
  </si>
  <si>
    <t>Xīgŭ Xiāng</t>
  </si>
  <si>
    <t>西谷乡</t>
  </si>
  <si>
    <t>Xīlíngjĭng Xiāng</t>
  </si>
  <si>
    <t>西凌井乡</t>
  </si>
  <si>
    <t>Xīmíng Jiēdào</t>
  </si>
  <si>
    <t>西铭街道</t>
  </si>
  <si>
    <t>Xīnchéng Jiēdào</t>
  </si>
  <si>
    <t>新城街道</t>
  </si>
  <si>
    <t>Xīnghuá Jiēdào</t>
  </si>
  <si>
    <t>兴华街道</t>
  </si>
  <si>
    <t>Xìnghuālĭng Jiēdào</t>
  </si>
  <si>
    <t>杏花岭街道</t>
  </si>
  <si>
    <t>Xíngjiāshè Xiāng</t>
  </si>
  <si>
    <t>邢家社乡</t>
  </si>
  <si>
    <t>Xīqŭ Jiēdào</t>
  </si>
  <si>
    <t>西曲街道</t>
  </si>
  <si>
    <t>Xīwēnzhuāng Xiāng</t>
  </si>
  <si>
    <t>西温庄乡</t>
  </si>
  <si>
    <t>Xīyān Xiāng</t>
  </si>
  <si>
    <t>西焉乡</t>
  </si>
  <si>
    <t>Xúgōu Zhèn</t>
  </si>
  <si>
    <t>徐沟镇</t>
  </si>
  <si>
    <t>Yángjiāyù Jiēdào</t>
  </si>
  <si>
    <t>杨家峪街道</t>
  </si>
  <si>
    <t>Yángqŭ Zhèn</t>
  </si>
  <si>
    <t>阳曲镇</t>
  </si>
  <si>
    <t>Yángxīng Xiāng</t>
  </si>
  <si>
    <t>杨兴乡</t>
  </si>
  <si>
    <t>Yáocūn Zhèn</t>
  </si>
  <si>
    <t>姚村镇</t>
  </si>
  <si>
    <t>Yìjĭng Jiēdào</t>
  </si>
  <si>
    <t>义井街道</t>
  </si>
  <si>
    <t>Yíngpán Jiēdào</t>
  </si>
  <si>
    <t>营盘街道</t>
  </si>
  <si>
    <t>Yíngxīn Jiēdào</t>
  </si>
  <si>
    <t>迎新街道</t>
  </si>
  <si>
    <t>Yíngzé Jiēdào</t>
  </si>
  <si>
    <t>迎泽街道</t>
  </si>
  <si>
    <t>Yuánxiāng Xiāng</t>
  </si>
  <si>
    <t>原相乡</t>
  </si>
  <si>
    <t>Zhènchéngdĭ Zhèn</t>
  </si>
  <si>
    <t>镇城底镇</t>
  </si>
  <si>
    <t>Zhígōng Xīnjiē Jiēdào</t>
  </si>
  <si>
    <t>职工新街街道</t>
  </si>
  <si>
    <t>Zhōngjiànhé Xiāng</t>
  </si>
  <si>
    <t>中涧河乡</t>
  </si>
  <si>
    <t>Zhōngxīn Zhèn</t>
  </si>
  <si>
    <t>中心镇</t>
  </si>
  <si>
    <t>Bǎijiāzhuāng Xiāng</t>
  </si>
  <si>
    <t>柏家庄乡</t>
  </si>
  <si>
    <t>Fánshì Xiàn</t>
  </si>
  <si>
    <t>Báijiāzhuāng Zhèn</t>
  </si>
  <si>
    <t>白家庄镇</t>
  </si>
  <si>
    <t>Wŭtái Xiàn</t>
  </si>
  <si>
    <t>Bājiăo Zhèn</t>
  </si>
  <si>
    <t>八角镇</t>
  </si>
  <si>
    <t>Shénchí Xiàn</t>
  </si>
  <si>
    <t>Yuánpíng Shì</t>
  </si>
  <si>
    <t>Bĕiyìjĭng Xiāng</t>
  </si>
  <si>
    <t>北义井乡</t>
  </si>
  <si>
    <t>Xīnfŭ Qū</t>
  </si>
  <si>
    <t>Cáozhāng Xiāng</t>
  </si>
  <si>
    <t>曹张乡</t>
  </si>
  <si>
    <t>Cénshān Xiāng</t>
  </si>
  <si>
    <t>涔山乡</t>
  </si>
  <si>
    <t>Níngwŭ Xiàn</t>
  </si>
  <si>
    <t>Chángliánggōu Zhèn</t>
  </si>
  <si>
    <t>长梁沟镇</t>
  </si>
  <si>
    <t>Chángzhēngjiē Jiēdào</t>
  </si>
  <si>
    <t>长征街街道</t>
  </si>
  <si>
    <t>Chángzhĕn Xiāng</t>
  </si>
  <si>
    <t>长畛乡</t>
  </si>
  <si>
    <t>Chéngqū Jiēdào</t>
  </si>
  <si>
    <t>城区街道</t>
  </si>
  <si>
    <t>Chénjiāyíng Xiāng</t>
  </si>
  <si>
    <t>陈家营乡</t>
  </si>
  <si>
    <t>Piānguān Xiàn</t>
  </si>
  <si>
    <t>Chénjiāzhuāng Xiāng</t>
  </si>
  <si>
    <t>陈家庄乡</t>
  </si>
  <si>
    <t>Chìníwā Xiāng</t>
  </si>
  <si>
    <t>赤泥洼乡</t>
  </si>
  <si>
    <t>Jìnglè Xiàn</t>
  </si>
  <si>
    <t>Dàjiàn Xiāng</t>
  </si>
  <si>
    <t>大涧乡</t>
  </si>
  <si>
    <t>Kĕlán Xiàn</t>
  </si>
  <si>
    <t>Dàlín Xiāng</t>
  </si>
  <si>
    <t>大林乡</t>
  </si>
  <si>
    <t>Dàniúdiàn Zhèn</t>
  </si>
  <si>
    <t>大牛店镇</t>
  </si>
  <si>
    <t>Dānzhài Xiāng</t>
  </si>
  <si>
    <t>单寨乡</t>
  </si>
  <si>
    <t>Héqŭ Xiàn</t>
  </si>
  <si>
    <t>Dàyánbèi Xiāng</t>
  </si>
  <si>
    <t>大严备乡</t>
  </si>
  <si>
    <t>Dàyíng Zhèn</t>
  </si>
  <si>
    <t>大营镇</t>
  </si>
  <si>
    <t>Diétáisì Xiāng</t>
  </si>
  <si>
    <t>迭台寺乡</t>
  </si>
  <si>
    <t>Dŏngcūn Zhèn</t>
  </si>
  <si>
    <t>董村镇</t>
  </si>
  <si>
    <t>Dōngguān Zhèn</t>
  </si>
  <si>
    <t>东关镇</t>
  </si>
  <si>
    <t>Băodé Xiàn</t>
  </si>
  <si>
    <t>Dōnghú Xiāng</t>
  </si>
  <si>
    <t>东湖乡</t>
  </si>
  <si>
    <t>Dōngléi Xiāng</t>
  </si>
  <si>
    <t>东雷乡</t>
  </si>
  <si>
    <t>Dōnglóu Xiāng</t>
  </si>
  <si>
    <t>东楼乡</t>
  </si>
  <si>
    <t>Dōngmăfāng Xiāng</t>
  </si>
  <si>
    <t>东马坊乡</t>
  </si>
  <si>
    <t>Dōngshān Xiāng</t>
  </si>
  <si>
    <t>东山乡</t>
  </si>
  <si>
    <t>Dōngshè Zhèn</t>
  </si>
  <si>
    <t>东社镇</t>
  </si>
  <si>
    <t>Dōngxiùzhuāng Xiāng</t>
  </si>
  <si>
    <t>东秀庄乡</t>
  </si>
  <si>
    <t>Wŭzhài Xiàn</t>
  </si>
  <si>
    <t>Dōngzhài Zhèn</t>
  </si>
  <si>
    <t>东寨镇</t>
  </si>
  <si>
    <t>Dòucūn Zhèn</t>
  </si>
  <si>
    <t>豆村镇</t>
  </si>
  <si>
    <t>Dòuluó Zhèn</t>
  </si>
  <si>
    <t>豆罗镇</t>
  </si>
  <si>
    <t>Duànjiābăo Xiāng</t>
  </si>
  <si>
    <t>段家堡乡</t>
  </si>
  <si>
    <t>Duànjiāzhài Xiāng</t>
  </si>
  <si>
    <t>段家寨乡</t>
  </si>
  <si>
    <t>Dùjiācūn Zhèn</t>
  </si>
  <si>
    <t>杜家村镇</t>
  </si>
  <si>
    <t>Échéng Zhèn</t>
  </si>
  <si>
    <t>鹅城镇</t>
  </si>
  <si>
    <t>Ékŏu Zhèn</t>
  </si>
  <si>
    <t>峨口镇</t>
  </si>
  <si>
    <t>Dài Xiàn</t>
  </si>
  <si>
    <t>Fánchéng Zhèn [incl. Fánzhì Xiàn Chéng Jūmín]</t>
  </si>
  <si>
    <t>繁城镇</t>
  </si>
  <si>
    <t>Fènghuáng Zhèn</t>
  </si>
  <si>
    <t>凤凰镇</t>
  </si>
  <si>
    <t>Féngjiāchuān Xiāng</t>
  </si>
  <si>
    <t>冯家川乡</t>
  </si>
  <si>
    <t>Fēngrùn Zhèn</t>
  </si>
  <si>
    <t>丰润镇</t>
  </si>
  <si>
    <t>Gāochéng Xiāng</t>
  </si>
  <si>
    <t>高城乡</t>
  </si>
  <si>
    <t>Gāohóngkŏu Xiāng</t>
  </si>
  <si>
    <t>高洪口乡</t>
  </si>
  <si>
    <t>Gāojiāhuì Xiāng</t>
  </si>
  <si>
    <t>高家会乡</t>
  </si>
  <si>
    <t>Gēliào Xiāng</t>
  </si>
  <si>
    <t>圪廖乡</t>
  </si>
  <si>
    <t>Gĕngzhèn Zhèn</t>
  </si>
  <si>
    <t>耿镇镇</t>
  </si>
  <si>
    <t>Gōunán Xiāng</t>
  </si>
  <si>
    <t>沟南乡</t>
  </si>
  <si>
    <t>Guāngyùbăo Xiāng</t>
  </si>
  <si>
    <t>光裕堡乡</t>
  </si>
  <si>
    <t>Guōyáng Zhèn</t>
  </si>
  <si>
    <t>崞阳镇</t>
  </si>
  <si>
    <t>Hánjiāchuān Xiāng</t>
  </si>
  <si>
    <t>韩家川乡</t>
  </si>
  <si>
    <t>Hánjiālóu Xiāng</t>
  </si>
  <si>
    <t>韩家楼乡</t>
  </si>
  <si>
    <t>Hébiān Zhèn</t>
  </si>
  <si>
    <t>河边镇</t>
  </si>
  <si>
    <t>Dìngxiāng Xiàn</t>
  </si>
  <si>
    <t>Hésuŏ Xiāng</t>
  </si>
  <si>
    <t>合索乡</t>
  </si>
  <si>
    <t>Hèzhí Xiāng</t>
  </si>
  <si>
    <t>贺职乡</t>
  </si>
  <si>
    <t>Hóngdào Zhèn</t>
  </si>
  <si>
    <t>宏道镇</t>
  </si>
  <si>
    <t>Huàbĕitún Xiāng</t>
  </si>
  <si>
    <t>化北屯乡</t>
  </si>
  <si>
    <t>Huáidào Xiāng</t>
  </si>
  <si>
    <t>怀道乡</t>
  </si>
  <si>
    <t>Hŭbĕi Xiāng</t>
  </si>
  <si>
    <t>虎北乡</t>
  </si>
  <si>
    <t>Húhuì Xiāng</t>
  </si>
  <si>
    <t>胡会乡</t>
  </si>
  <si>
    <t>Húyù Xiāng</t>
  </si>
  <si>
    <t>胡峪乡</t>
  </si>
  <si>
    <t>Jiàn'ān Xiāng</t>
  </si>
  <si>
    <t>建安乡</t>
  </si>
  <si>
    <t>Jiăngcūn Xiāng</t>
  </si>
  <si>
    <t>蒋村乡</t>
  </si>
  <si>
    <t>Jiăngfāng Xiāng</t>
  </si>
  <si>
    <t>蒋坊乡</t>
  </si>
  <si>
    <t>Jiĕcūn Xiāng</t>
  </si>
  <si>
    <t>解村乡</t>
  </si>
  <si>
    <t>Jìnchāng Zhèn</t>
  </si>
  <si>
    <t>晋昌镇</t>
  </si>
  <si>
    <t>Jīngăngkù Xiāng</t>
  </si>
  <si>
    <t>金岗库乡</t>
  </si>
  <si>
    <t>Jīnshānpū Xiāng</t>
  </si>
  <si>
    <t>金山铺乡</t>
  </si>
  <si>
    <t>Jiǔyuánjiē Jiēdào [Jiĕyuán Xiāng]</t>
  </si>
  <si>
    <t>九原街街道</t>
  </si>
  <si>
    <t>Jíyìzhuāng Xiāng</t>
  </si>
  <si>
    <t>集义庄乡</t>
  </si>
  <si>
    <t>Jìzhuāng Xiāng</t>
  </si>
  <si>
    <t>季庄乡</t>
  </si>
  <si>
    <t>Kāngjiāhuì Zhèn</t>
  </si>
  <si>
    <t>康家会镇</t>
  </si>
  <si>
    <t>Láncūn Xiāng</t>
  </si>
  <si>
    <t>兰村乡</t>
  </si>
  <si>
    <t>Lányī Zhèn</t>
  </si>
  <si>
    <t>岚漪镇</t>
  </si>
  <si>
    <t>Lăoyíng Zhèn</t>
  </si>
  <si>
    <t>老营镇</t>
  </si>
  <si>
    <t>Liángjiāpíng Xiāng</t>
  </si>
  <si>
    <t>梁家坪乡</t>
  </si>
  <si>
    <t>Lièbăo Xiāng</t>
  </si>
  <si>
    <t>烈堡乡</t>
  </si>
  <si>
    <t>Lĭjiāgōu Xiāng</t>
  </si>
  <si>
    <t>李家沟乡</t>
  </si>
  <si>
    <t>Lĭjiāpíng Xiāng</t>
  </si>
  <si>
    <t>李家坪乡</t>
  </si>
  <si>
    <t>Língjìng Xiāng</t>
  </si>
  <si>
    <t>灵境乡</t>
  </si>
  <si>
    <t>Línzhēyù Xiāng</t>
  </si>
  <si>
    <t>林遮峪乡</t>
  </si>
  <si>
    <t>Liújiātă Zhèn</t>
  </si>
  <si>
    <t>刘家塔镇</t>
  </si>
  <si>
    <t>Lóubănzhài Xiāng</t>
  </si>
  <si>
    <t>楼板寨乡</t>
  </si>
  <si>
    <t>Lóugōu Xiāng</t>
  </si>
  <si>
    <t>楼沟乡</t>
  </si>
  <si>
    <t>Lóuziyíng Zhèn</t>
  </si>
  <si>
    <t>楼子营镇</t>
  </si>
  <si>
    <t>Lùgù Xiāng</t>
  </si>
  <si>
    <t>鹿固乡</t>
  </si>
  <si>
    <t>Ménxiànshí Xiāng</t>
  </si>
  <si>
    <t>门限石乡</t>
  </si>
  <si>
    <t>Nánbái Xiāng</t>
  </si>
  <si>
    <t>南白乡</t>
  </si>
  <si>
    <t>Nánbăozi Xiāng</t>
  </si>
  <si>
    <t>南堡子乡</t>
  </si>
  <si>
    <t>Nánhégōu Xiāng</t>
  </si>
  <si>
    <t>南河沟乡</t>
  </si>
  <si>
    <t>Nánwáng Xiāng</t>
  </si>
  <si>
    <t>南王乡</t>
  </si>
  <si>
    <t>Niángzishén Xiāng</t>
  </si>
  <si>
    <t>娘子神乡</t>
  </si>
  <si>
    <t>Nièyíng Zhèn</t>
  </si>
  <si>
    <t>聂营镇</t>
  </si>
  <si>
    <t>Píngxíngguān Zhèn [Héngjiàn Xiāng]</t>
  </si>
  <si>
    <t>平型关镇</t>
  </si>
  <si>
    <t>Qiánchuān Xiāng</t>
  </si>
  <si>
    <t>前川乡</t>
  </si>
  <si>
    <t>Qiánsuŏ Xiāng</t>
  </si>
  <si>
    <t>前所乡</t>
  </si>
  <si>
    <t>Qiáotóu Zhèn</t>
  </si>
  <si>
    <t>桥头镇</t>
  </si>
  <si>
    <t>Qícūn Zhèn</t>
  </si>
  <si>
    <t>奇村镇</t>
  </si>
  <si>
    <t>Rúcūn Xiāng</t>
  </si>
  <si>
    <t>茹村乡</t>
  </si>
  <si>
    <t>Sānchà Zhèn</t>
  </si>
  <si>
    <t>三岔镇</t>
  </si>
  <si>
    <t>Sānjĭng Zhèn</t>
  </si>
  <si>
    <t>三井镇</t>
  </si>
  <si>
    <t>Shāhé Zhèn</t>
  </si>
  <si>
    <t>砂河镇</t>
  </si>
  <si>
    <t>Shàngguăn Zhèn</t>
  </si>
  <si>
    <t>上馆镇</t>
  </si>
  <si>
    <t>Shàngmófāng Xiāng [Mófāng Xiāng]</t>
  </si>
  <si>
    <t>上磨坊乡</t>
  </si>
  <si>
    <t>Shàngyù Xiāng</t>
  </si>
  <si>
    <t>尚峪乡</t>
  </si>
  <si>
    <t>Shānxī Lŭnéng Jìnbĕi Lǚyè Gōngkuàngqū [Shanxi Luneng Jinbei Aluminum Industry and Mining Area]</t>
  </si>
  <si>
    <t>山西鲁能晋北铝业工矿区</t>
  </si>
  <si>
    <t>Shāpíng Xiāng</t>
  </si>
  <si>
    <t>沙坪乡</t>
  </si>
  <si>
    <t>Shāquán Zhèn</t>
  </si>
  <si>
    <t>沙泉镇</t>
  </si>
  <si>
    <t>Shèliáng Xiāng</t>
  </si>
  <si>
    <t>社梁乡</t>
  </si>
  <si>
    <t>Shénshān Xiāng</t>
  </si>
  <si>
    <t>神山乡</t>
  </si>
  <si>
    <t>Shéntángbăo Xiāng</t>
  </si>
  <si>
    <t>神堂堡乡</t>
  </si>
  <si>
    <t>Shéntángpíng Xiāng</t>
  </si>
  <si>
    <t>神堂坪乡</t>
  </si>
  <si>
    <t>Shénxī Xiāng</t>
  </si>
  <si>
    <t>神西乡</t>
  </si>
  <si>
    <t>Shényùgōu Xiāng</t>
  </si>
  <si>
    <t>神峪沟乡</t>
  </si>
  <si>
    <t>Shíjiāzhuāng Zhèn</t>
  </si>
  <si>
    <t>石家庄镇</t>
  </si>
  <si>
    <t>Shíjŭ Xiāng</t>
  </si>
  <si>
    <t>石咀乡</t>
  </si>
  <si>
    <t>Shòulù Xiāng</t>
  </si>
  <si>
    <t>受禄乡</t>
  </si>
  <si>
    <t>Shuānglù Xiāng</t>
  </si>
  <si>
    <t>双路乡</t>
  </si>
  <si>
    <t>Shuĭquán Zhèn</t>
  </si>
  <si>
    <t>水泉镇</t>
  </si>
  <si>
    <t>Shuĭyùguàn Xiāng</t>
  </si>
  <si>
    <t>水峪贯乡</t>
  </si>
  <si>
    <t>Sòngjiāgōu Xiāng</t>
  </si>
  <si>
    <t>宋家沟乡</t>
  </si>
  <si>
    <t>Sūlóngkŏu Zhèn</t>
  </si>
  <si>
    <t>苏龙口镇</t>
  </si>
  <si>
    <t>Sūnjiāgōu Xiāng</t>
  </si>
  <si>
    <t>孙家沟乡</t>
  </si>
  <si>
    <t>Sūnjiāpíng Xiāng</t>
  </si>
  <si>
    <t>孙家坪乡</t>
  </si>
  <si>
    <t>Suōpó Xiāng</t>
  </si>
  <si>
    <t>娑婆乡</t>
  </si>
  <si>
    <t>Táichéng Zhèn</t>
  </si>
  <si>
    <t>台城镇</t>
  </si>
  <si>
    <t>Táihuái Zhèn</t>
  </si>
  <si>
    <t>台怀镇</t>
  </si>
  <si>
    <t>Tàipíngzhuāng Xiāng</t>
  </si>
  <si>
    <t>太平庄乡</t>
  </si>
  <si>
    <t>Táng'ĕrshàng Xiāng</t>
  </si>
  <si>
    <t>堂尔上乡</t>
  </si>
  <si>
    <t>Tānshàng Zhèn</t>
  </si>
  <si>
    <t>滩上镇</t>
  </si>
  <si>
    <t>Tiānfēngpíng Zhèn</t>
  </si>
  <si>
    <t>天峰坪镇</t>
  </si>
  <si>
    <t>Tŭgōu Xiāng</t>
  </si>
  <si>
    <t>土沟乡</t>
  </si>
  <si>
    <t>Tŭyátă Xiāng</t>
  </si>
  <si>
    <t>土崖塔乡</t>
  </si>
  <si>
    <t>Wángcūn Xiāng</t>
  </si>
  <si>
    <t>王村乡</t>
  </si>
  <si>
    <t>Wángjiāchà Xiāng</t>
  </si>
  <si>
    <t>王家岔乡</t>
  </si>
  <si>
    <t>Wángjiāzhuāng Xiāng</t>
  </si>
  <si>
    <t>王家庄乡</t>
  </si>
  <si>
    <t>Wànjiāzhài Zhèn</t>
  </si>
  <si>
    <t>万家寨镇</t>
  </si>
  <si>
    <t>Wénbĭ Zhèn</t>
  </si>
  <si>
    <t>文笔镇</t>
  </si>
  <si>
    <t>Xiăohétóu Zhèn</t>
  </si>
  <si>
    <t>小河头镇</t>
  </si>
  <si>
    <t>Xiàrúyuè Xiāng</t>
  </si>
  <si>
    <t>下茹越乡</t>
  </si>
  <si>
    <t>Xībàoyù Xiāng</t>
  </si>
  <si>
    <t>西豹峪乡</t>
  </si>
  <si>
    <t>Xīmăfāng Xiāng</t>
  </si>
  <si>
    <t>西马坊乡</t>
  </si>
  <si>
    <t>Xīnbăo Xiāng</t>
  </si>
  <si>
    <t>新堡乡</t>
  </si>
  <si>
    <t>Xīngāo Xiāng</t>
  </si>
  <si>
    <t>新高乡</t>
  </si>
  <si>
    <t>Xìnglĭngzi Xiāng</t>
  </si>
  <si>
    <t>杏岭子乡</t>
  </si>
  <si>
    <t>Xīnguān Zhèn</t>
  </si>
  <si>
    <t>新关镇</t>
  </si>
  <si>
    <t>Xìngyuán Xiāng</t>
  </si>
  <si>
    <t>杏园乡</t>
  </si>
  <si>
    <t>Xīnjiànlù Jiēdào</t>
  </si>
  <si>
    <t>新建路街道</t>
  </si>
  <si>
    <t>Xīnyuán Xiāng</t>
  </si>
  <si>
    <t>新原乡</t>
  </si>
  <si>
    <t>Xīnzhài Xiāng</t>
  </si>
  <si>
    <t>新寨乡</t>
  </si>
  <si>
    <t>Xiùróng Jiēdào</t>
  </si>
  <si>
    <t>秀容街道</t>
  </si>
  <si>
    <t>Xīzhāng Zhèn</t>
  </si>
  <si>
    <t>西张镇</t>
  </si>
  <si>
    <t>Xīzhèn Xiāng</t>
  </si>
  <si>
    <t>西镇乡</t>
  </si>
  <si>
    <t>Xuāngăng Zhèn</t>
  </si>
  <si>
    <t>轩岗镇</t>
  </si>
  <si>
    <t>Xuānméi Kuàngqū Jiēdào</t>
  </si>
  <si>
    <t>轩煤矿区街道</t>
  </si>
  <si>
    <t>Xuējiāwā Xiāng</t>
  </si>
  <si>
    <t>薛家洼乡</t>
  </si>
  <si>
    <t>Xùláijiē Jiēdào [Qínchéng Xiāng]</t>
  </si>
  <si>
    <t>旭来街街道</t>
  </si>
  <si>
    <t>Xúnzhèn Zhèn</t>
  </si>
  <si>
    <t>巡镇镇</t>
  </si>
  <si>
    <t>Yànchéng Zhèn</t>
  </si>
  <si>
    <t>砚城镇</t>
  </si>
  <si>
    <t>Yángbái Xiāng</t>
  </si>
  <si>
    <t>阳白乡</t>
  </si>
  <si>
    <t>Yángfāngkŏu Méikuàng</t>
  </si>
  <si>
    <t>阳方口煤矿</t>
  </si>
  <si>
    <t>Yángfāngkŏu Zhèn</t>
  </si>
  <si>
    <t>阳方口镇</t>
  </si>
  <si>
    <t>Yángfāng Xiāng</t>
  </si>
  <si>
    <t>杨芳乡</t>
  </si>
  <si>
    <t>Yángjiāwān Zhèn</t>
  </si>
  <si>
    <t>杨家湾镇</t>
  </si>
  <si>
    <t>Yángmíngbăo Zhèn</t>
  </si>
  <si>
    <t>阳明堡镇</t>
  </si>
  <si>
    <t>Yángōu Xiāng</t>
  </si>
  <si>
    <t>沿沟乡</t>
  </si>
  <si>
    <t>Yángpíng Xiāng</t>
  </si>
  <si>
    <t>阳坪乡</t>
  </si>
  <si>
    <t>Yángpō Xiāng</t>
  </si>
  <si>
    <t>阳坡乡</t>
  </si>
  <si>
    <t>Yànménguān Zhèn</t>
  </si>
  <si>
    <t>雁门关镇</t>
  </si>
  <si>
    <t>Yántóu Xiāng</t>
  </si>
  <si>
    <t>岩头乡</t>
  </si>
  <si>
    <t>Yánzhuāng Zhèn</t>
  </si>
  <si>
    <t>闫庄镇</t>
  </si>
  <si>
    <t>Yáogētái Xiāng</t>
  </si>
  <si>
    <t>窑圪台乡</t>
  </si>
  <si>
    <t>Yáotóu Xiāng</t>
  </si>
  <si>
    <t>窑头乡</t>
  </si>
  <si>
    <t>Yáowā Xiāng</t>
  </si>
  <si>
    <t>窑洼乡</t>
  </si>
  <si>
    <t>Yāozhuāng Xiāng</t>
  </si>
  <si>
    <t>腰庄乡</t>
  </si>
  <si>
    <t>Yìjĭng Zhèn</t>
  </si>
  <si>
    <t>义井镇</t>
  </si>
  <si>
    <t>Yìmén Zhèn</t>
  </si>
  <si>
    <t>义门镇</t>
  </si>
  <si>
    <t>Yuánpíng Nóngchăng</t>
  </si>
  <si>
    <t>原平农场</t>
  </si>
  <si>
    <t>Yuánpíng Shì Shíbàogōu Méikuàng Gōngkuàngqū [Yuanping City Shipinggou Coal Mine Industrial and Mining Area]</t>
  </si>
  <si>
    <t>原平市石豹沟煤矿工矿区</t>
  </si>
  <si>
    <t>Yúnzhōnglù Jiēdào [Bōmíng Zhèn]</t>
  </si>
  <si>
    <t>云中路街道</t>
  </si>
  <si>
    <t>Yúzhuāng Xiāng</t>
  </si>
  <si>
    <t>余庄乡</t>
  </si>
  <si>
    <t>Zăolín Zhèn</t>
  </si>
  <si>
    <t>枣林镇</t>
  </si>
  <si>
    <t>Zhōngyáng Xiāng</t>
  </si>
  <si>
    <t>中阳乡</t>
  </si>
  <si>
    <t>Zhōngzhuāng Xiāng</t>
  </si>
  <si>
    <t>中庄乡</t>
  </si>
  <si>
    <t>Zhuāngmó Zhèn</t>
  </si>
  <si>
    <t>庄磨镇</t>
  </si>
  <si>
    <t>Zigān Xiāng</t>
  </si>
  <si>
    <t>子干乡</t>
  </si>
  <si>
    <t>Zĭyán Xiāng</t>
  </si>
  <si>
    <t>紫岩乡</t>
  </si>
  <si>
    <t>Bǎijĭng Zhèn</t>
  </si>
  <si>
    <t>柏井镇</t>
  </si>
  <si>
    <t>Píngdìng Xiàn</t>
  </si>
  <si>
    <t>Bĕidàjiē Jiēdào</t>
  </si>
  <si>
    <t>北大街街道</t>
  </si>
  <si>
    <t>Bĕixiàzhuāng Xiāng</t>
  </si>
  <si>
    <t>北下庄乡</t>
  </si>
  <si>
    <t>Yú Xiàn</t>
  </si>
  <si>
    <t>Càiwā Jiēdào</t>
  </si>
  <si>
    <t>蔡洼街道</t>
  </si>
  <si>
    <t>Kuàng Qū</t>
  </si>
  <si>
    <t>Chángchí Zhèn</t>
  </si>
  <si>
    <t>苌池镇</t>
  </si>
  <si>
    <t>Dōnghuí Zhèn</t>
  </si>
  <si>
    <t>东回镇</t>
  </si>
  <si>
    <t>Dōngliáng Xiāng</t>
  </si>
  <si>
    <t>东梁乡</t>
  </si>
  <si>
    <t>Guānshān Zhèn</t>
  </si>
  <si>
    <t>冠山镇</t>
  </si>
  <si>
    <t>Guìshígōu Jiēdào</t>
  </si>
  <si>
    <t>贵石沟街道</t>
  </si>
  <si>
    <t>Hédĭ Zhèn</t>
  </si>
  <si>
    <t>河底镇</t>
  </si>
  <si>
    <t>Jiāo Qū</t>
  </si>
  <si>
    <t>Jiùjiē Xiāng</t>
  </si>
  <si>
    <t>旧街乡</t>
  </si>
  <si>
    <t>Jùchéng Zhèn</t>
  </si>
  <si>
    <t>巨城镇</t>
  </si>
  <si>
    <t>Kāifāqū</t>
  </si>
  <si>
    <t>开发区</t>
  </si>
  <si>
    <t>Liángjiāzhài Xiāng</t>
  </si>
  <si>
    <t>梁家寨乡</t>
  </si>
  <si>
    <t>Lùjiācūn Zhèn</t>
  </si>
  <si>
    <t>路家村镇</t>
  </si>
  <si>
    <t>Nánlóu Zhèn</t>
  </si>
  <si>
    <t>南娄镇</t>
  </si>
  <si>
    <t>Nánshānlù Jiēdào</t>
  </si>
  <si>
    <t>南山路街道</t>
  </si>
  <si>
    <t>Niángziguān Zhèn</t>
  </si>
  <si>
    <t>娘子关镇</t>
  </si>
  <si>
    <t>Niúcūn Zhèn</t>
  </si>
  <si>
    <t>牛村镇</t>
  </si>
  <si>
    <t>Píngtánjiē Jiēdào</t>
  </si>
  <si>
    <t>平潭街街道</t>
  </si>
  <si>
    <t>Píngtăn Zhèn</t>
  </si>
  <si>
    <t>平坦镇</t>
  </si>
  <si>
    <t>Pōdĭ Jiēdào</t>
  </si>
  <si>
    <t>坡底街道</t>
  </si>
  <si>
    <t>Qiáotóu Jiēdào</t>
  </si>
  <si>
    <t>桥头街道</t>
  </si>
  <si>
    <t>Sàiyú Jiēdào</t>
  </si>
  <si>
    <t>赛鱼街道</t>
  </si>
  <si>
    <t>Shàngshè Zhèn</t>
  </si>
  <si>
    <t>上社镇</t>
  </si>
  <si>
    <t>Shàngzhàn Jiēdào</t>
  </si>
  <si>
    <t>上站街道</t>
  </si>
  <si>
    <t>Shāpíng Jiēdào</t>
  </si>
  <si>
    <t>沙坪街道</t>
  </si>
  <si>
    <t>Shíménkŏu Xiāng</t>
  </si>
  <si>
    <t>石门口乡</t>
  </si>
  <si>
    <t>Sūnjiāzhuāng Zhèn</t>
  </si>
  <si>
    <t>孙家庄镇</t>
  </si>
  <si>
    <t>Suŏhuáng Zhèn</t>
  </si>
  <si>
    <t>锁簧镇</t>
  </si>
  <si>
    <t>Xiānrén Xiāng</t>
  </si>
  <si>
    <t>仙人乡</t>
  </si>
  <si>
    <t>Xiàshè Xiāng</t>
  </si>
  <si>
    <t>下社乡</t>
  </si>
  <si>
    <t>Xiàzhàn Jiēdào</t>
  </si>
  <si>
    <t>下站街道</t>
  </si>
  <si>
    <t>Xīnányú Xiāng</t>
  </si>
  <si>
    <t>西南舁乡</t>
  </si>
  <si>
    <t>Xīpān Xiāng</t>
  </si>
  <si>
    <t>西潘乡</t>
  </si>
  <si>
    <t>Xiùshuĭ Zhèn</t>
  </si>
  <si>
    <t>秀水镇</t>
  </si>
  <si>
    <t>Xīyān Zhèn</t>
  </si>
  <si>
    <t>西烟镇</t>
  </si>
  <si>
    <t>Yángjiāzhuāng Xiāng</t>
  </si>
  <si>
    <t>杨家庄乡</t>
  </si>
  <si>
    <t>Yĕxī Zhèn</t>
  </si>
  <si>
    <t>冶西镇</t>
  </si>
  <si>
    <t>Yìnyíng Zhèn</t>
  </si>
  <si>
    <t>荫营镇</t>
  </si>
  <si>
    <t>Zhāngzhuāng Zhèn</t>
  </si>
  <si>
    <t>张庄镇</t>
  </si>
  <si>
    <t>Ānyì Jiēdào</t>
  </si>
  <si>
    <t>安邑街道</t>
  </si>
  <si>
    <t>Yánhú Qū</t>
  </si>
  <si>
    <t>Ānyù Zhèn</t>
  </si>
  <si>
    <t>安峪镇</t>
  </si>
  <si>
    <t>Jiàng Xiàn</t>
  </si>
  <si>
    <t>Bĕijĭng Xiāng</t>
  </si>
  <si>
    <t>北景乡</t>
  </si>
  <si>
    <t>Línyī Xiàn</t>
  </si>
  <si>
    <t>Bĕixiāng Zhèn</t>
  </si>
  <si>
    <t>北相镇</t>
  </si>
  <si>
    <t>Bĕixīn Xiāng</t>
  </si>
  <si>
    <t>北辛乡</t>
  </si>
  <si>
    <t>Bĕizhāng Zhèn</t>
  </si>
  <si>
    <t>北张镇</t>
  </si>
  <si>
    <t>Xīnjiàng Xiàn</t>
  </si>
  <si>
    <t>Bùguān Xiāng</t>
  </si>
  <si>
    <t>部官乡</t>
  </si>
  <si>
    <t>Pínglù Xiàn</t>
  </si>
  <si>
    <t>Càicūn Xiāng</t>
  </si>
  <si>
    <t>蔡村乡</t>
  </si>
  <si>
    <t>Jìshān Xiàn</t>
  </si>
  <si>
    <t>Cáochuān Zhèn</t>
  </si>
  <si>
    <t>曹川镇</t>
  </si>
  <si>
    <t>Cháijiā Zhèn</t>
  </si>
  <si>
    <t>柴家镇</t>
  </si>
  <si>
    <t>Héjīn Shì</t>
  </si>
  <si>
    <t>Chánglè Zhèn</t>
  </si>
  <si>
    <t>常乐镇</t>
  </si>
  <si>
    <t>Chángzhí Xiāng</t>
  </si>
  <si>
    <t>长直乡</t>
  </si>
  <si>
    <t>Yuánqŭ Xiàn</t>
  </si>
  <si>
    <t>Chéncūn Zhèn</t>
  </si>
  <si>
    <t>陈村镇</t>
  </si>
  <si>
    <t>Yŏngjì Shì</t>
  </si>
  <si>
    <t>Chéngdōng Jiēdào</t>
  </si>
  <si>
    <t>城东街道</t>
  </si>
  <si>
    <t>Chéngxī Jiēdào</t>
  </si>
  <si>
    <t>城西街道</t>
  </si>
  <si>
    <t>Chŭhòu Xiāng</t>
  </si>
  <si>
    <t>楚侯乡</t>
  </si>
  <si>
    <t>Dàjiāo Zhèn</t>
  </si>
  <si>
    <t>大交镇</t>
  </si>
  <si>
    <t>Dānzi Zhèn</t>
  </si>
  <si>
    <t>耽子镇</t>
  </si>
  <si>
    <t>Dàqú Jiēdào</t>
  </si>
  <si>
    <t>大渠街道</t>
  </si>
  <si>
    <t>Dàwáng Zhèn</t>
  </si>
  <si>
    <t>大王镇</t>
  </si>
  <si>
    <t>Ruìchéng Xiàn</t>
  </si>
  <si>
    <t>Dŏngcūn Nóngchăng</t>
  </si>
  <si>
    <t>董村农场</t>
  </si>
  <si>
    <t>Dōngguō Zhèn</t>
  </si>
  <si>
    <t>东郭镇</t>
  </si>
  <si>
    <t>Dōnglú Xiāng</t>
  </si>
  <si>
    <t>东垆乡</t>
  </si>
  <si>
    <t>Dōngzhāng Zhèn</t>
  </si>
  <si>
    <t>东张镇</t>
  </si>
  <si>
    <t>Dōngzhèn Zhèn</t>
  </si>
  <si>
    <t>东镇镇</t>
  </si>
  <si>
    <t>Wénxĭ Xiàn</t>
  </si>
  <si>
    <t>Dùmă Xiāng</t>
  </si>
  <si>
    <t>杜马乡</t>
  </si>
  <si>
    <t>Fáncūn Zhèn</t>
  </si>
  <si>
    <t>樊村镇</t>
  </si>
  <si>
    <t>Féngcūn Xiāng</t>
  </si>
  <si>
    <t>冯村乡</t>
  </si>
  <si>
    <t>Fēnglíngdù Jīngjì Kāifāqū [Fenglingdu Economic Development Zone]</t>
  </si>
  <si>
    <t>风陵渡经济开发区</t>
  </si>
  <si>
    <t>Fēnglíngdù Zhèn</t>
  </si>
  <si>
    <t>风陵渡镇</t>
  </si>
  <si>
    <t>Wànróng Xiàn</t>
  </si>
  <si>
    <t>Gāoluò Xiāng</t>
  </si>
  <si>
    <t>皋落乡</t>
  </si>
  <si>
    <t>Guānghuá Xiāng</t>
  </si>
  <si>
    <t>光华乡</t>
  </si>
  <si>
    <t>Gŭjiàng Zhèn</t>
  </si>
  <si>
    <t>古绛镇</t>
  </si>
  <si>
    <t>Gŭjiāo Zhèn</t>
  </si>
  <si>
    <t>古交镇</t>
  </si>
  <si>
    <t>Guōjiāzhuāng Zhèn</t>
  </si>
  <si>
    <t>郭家庄镇</t>
  </si>
  <si>
    <t>Gǔwèi Zhèn</t>
  </si>
  <si>
    <t>古魏镇</t>
  </si>
  <si>
    <t>Hànxuē Zhèn</t>
  </si>
  <si>
    <t>汉薛镇</t>
  </si>
  <si>
    <t>Hányáng Zhèn</t>
  </si>
  <si>
    <t>韩阳镇</t>
  </si>
  <si>
    <t>Hăozhuāng Xiāng</t>
  </si>
  <si>
    <t>郝庄乡</t>
  </si>
  <si>
    <t>Héngqiáo Zhèn</t>
  </si>
  <si>
    <t>横桥镇</t>
  </si>
  <si>
    <t>Héngshuĭ Zhèn</t>
  </si>
  <si>
    <t>横水镇</t>
  </si>
  <si>
    <t>Hóngchí Xiāng</t>
  </si>
  <si>
    <t>洪池乡</t>
  </si>
  <si>
    <t>Hóngzhīyì Zhèn</t>
  </si>
  <si>
    <t>泓芝驿镇</t>
  </si>
  <si>
    <t>Hòugōng Xiāng</t>
  </si>
  <si>
    <t>后宫乡</t>
  </si>
  <si>
    <t>Huáfēng Xiāng</t>
  </si>
  <si>
    <t>华峰乡</t>
  </si>
  <si>
    <t>Huángfŭ Xiāng</t>
  </si>
  <si>
    <t>皇甫乡</t>
  </si>
  <si>
    <t>Huàyù Zhèn</t>
  </si>
  <si>
    <t>化峪镇</t>
  </si>
  <si>
    <t>Húzhāng Xiāng</t>
  </si>
  <si>
    <t>胡张乡</t>
  </si>
  <si>
    <t>Xià Xiàn</t>
  </si>
  <si>
    <t>Jiăcūn Xiāng</t>
  </si>
  <si>
    <t>贾村乡</t>
  </si>
  <si>
    <t>Jiăobēi Xiāng</t>
  </si>
  <si>
    <t>角杯乡</t>
  </si>
  <si>
    <t>Jiĕdiàn Zhèn</t>
  </si>
  <si>
    <t>解店镇</t>
  </si>
  <si>
    <t>Jiĕyù Xiāng</t>
  </si>
  <si>
    <t>解峪乡</t>
  </si>
  <si>
    <t>Jiĕzhōu Zhèn</t>
  </si>
  <si>
    <t>解州镇</t>
  </si>
  <si>
    <t>Jìfēng Zhèn</t>
  </si>
  <si>
    <t>稷峰镇</t>
  </si>
  <si>
    <t>Jīnjĭng Xiāng</t>
  </si>
  <si>
    <t>金井乡</t>
  </si>
  <si>
    <t>Kāizhāng Zhèn</t>
  </si>
  <si>
    <t>开张镇</t>
  </si>
  <si>
    <t>Kăolăo Zhèn</t>
  </si>
  <si>
    <t>栲栳镇</t>
  </si>
  <si>
    <t>Lĕngkŏu Xiāng</t>
  </si>
  <si>
    <t>冷口乡</t>
  </si>
  <si>
    <t>Línjìn Zhèn</t>
  </si>
  <si>
    <t>临晋镇</t>
  </si>
  <si>
    <t>Lìshān Zhèn</t>
  </si>
  <si>
    <t>历山镇</t>
  </si>
  <si>
    <t>Lĭwàng Xiāng</t>
  </si>
  <si>
    <t>里望乡</t>
  </si>
  <si>
    <t>礼元镇</t>
  </si>
  <si>
    <t>Lóngjū Zhèn</t>
  </si>
  <si>
    <t>龙居镇</t>
  </si>
  <si>
    <t>Lóngxīng Zhèn</t>
  </si>
  <si>
    <t>龙兴镇</t>
  </si>
  <si>
    <t>Máojiāwān Zhèn</t>
  </si>
  <si>
    <t>毛家湾镇</t>
  </si>
  <si>
    <t>Méiyáng Zhèn</t>
  </si>
  <si>
    <t>嵋阳镇</t>
  </si>
  <si>
    <t>Miàoqián Zhèn</t>
  </si>
  <si>
    <t>庙前镇</t>
  </si>
  <si>
    <t>Miàoshàng Xiāng</t>
  </si>
  <si>
    <t>庙上乡</t>
  </si>
  <si>
    <t>Mólĭ Zhèn</t>
  </si>
  <si>
    <t>磨里镇</t>
  </si>
  <si>
    <t>Mònán Zhèn</t>
  </si>
  <si>
    <t>陌南镇</t>
  </si>
  <si>
    <t>Nándàlĭ Xiāng</t>
  </si>
  <si>
    <t>南大里乡</t>
  </si>
  <si>
    <t>Nánfán Zhèn</t>
  </si>
  <si>
    <t>南樊镇</t>
  </si>
  <si>
    <t>Nánwèi Zhèn</t>
  </si>
  <si>
    <t>南磑镇</t>
  </si>
  <si>
    <t>Nánzhāng Xiāng</t>
  </si>
  <si>
    <t>南张乡</t>
  </si>
  <si>
    <t>Niànzhăng Zhèn</t>
  </si>
  <si>
    <t>埝掌镇</t>
  </si>
  <si>
    <t>Niúdù Zhèn</t>
  </si>
  <si>
    <t>牛杜镇</t>
  </si>
  <si>
    <t>Péijiè Zhèn</t>
  </si>
  <si>
    <t>裴介镇</t>
  </si>
  <si>
    <t>Péishè Xiāng</t>
  </si>
  <si>
    <t>裴社乡</t>
  </si>
  <si>
    <t>Péizhuāng Zhèn</t>
  </si>
  <si>
    <t>裴庄镇</t>
  </si>
  <si>
    <t>Pōdĭ Xiāng</t>
  </si>
  <si>
    <t>坡底乡</t>
  </si>
  <si>
    <t>Púzhăng Xiāng</t>
  </si>
  <si>
    <t>蒲掌乡</t>
  </si>
  <si>
    <t>Púzhōu Zhèn</t>
  </si>
  <si>
    <t>蒲州镇</t>
  </si>
  <si>
    <t>Qíjiāhé Xiāng</t>
  </si>
  <si>
    <t>祁家河乡</t>
  </si>
  <si>
    <t>Qījí Zhèn</t>
  </si>
  <si>
    <t>七级镇</t>
  </si>
  <si>
    <t>Qīnghé Zhèn</t>
  </si>
  <si>
    <t>清河镇</t>
  </si>
  <si>
    <t>Qīngjiàn Jiēdào</t>
  </si>
  <si>
    <t>清涧街道</t>
  </si>
  <si>
    <t>Qīngtóu Zhèn</t>
  </si>
  <si>
    <t>卿头镇</t>
  </si>
  <si>
    <t>Quánzhăng Zhèn</t>
  </si>
  <si>
    <t>泉掌镇</t>
  </si>
  <si>
    <t>Rónghé Zhèn</t>
  </si>
  <si>
    <t>荣河镇</t>
  </si>
  <si>
    <t>Sānguăn Zhèn</t>
  </si>
  <si>
    <t>三管镇</t>
  </si>
  <si>
    <t>Sānlùlĭ Zhèn</t>
  </si>
  <si>
    <t>三路里镇</t>
  </si>
  <si>
    <t>Sānmén Zhèn</t>
  </si>
  <si>
    <t>三门镇</t>
  </si>
  <si>
    <t>Sēnglóu Zhèn</t>
  </si>
  <si>
    <t>僧楼镇</t>
  </si>
  <si>
    <t>Shàngguō Xiāng</t>
  </si>
  <si>
    <t>上郭乡</t>
  </si>
  <si>
    <t>Shàngwáng Xiāng</t>
  </si>
  <si>
    <t>上王乡</t>
  </si>
  <si>
    <t>Shānxī Jiàngxiàn Jīngjì Kāifāqū [Shanxi Yixian Economic Development Zone]</t>
  </si>
  <si>
    <t>山西绛县经济开发区</t>
  </si>
  <si>
    <t>Shānxī Lǚchăng</t>
  </si>
  <si>
    <t>山西铝厂</t>
  </si>
  <si>
    <t>Shénbǎi Xiāng</t>
  </si>
  <si>
    <t>神柏乡</t>
  </si>
  <si>
    <t>Shèngrénjiàn Zhèn</t>
  </si>
  <si>
    <t>圣人涧镇</t>
  </si>
  <si>
    <t>Shèqūbàn</t>
  </si>
  <si>
    <t>社区办</t>
  </si>
  <si>
    <t>Shímén Xiāng</t>
  </si>
  <si>
    <t>石门乡</t>
  </si>
  <si>
    <t>Sìjiāo Zhèn</t>
  </si>
  <si>
    <t>泗交镇</t>
  </si>
  <si>
    <t>Sūnjí Zhèn</t>
  </si>
  <si>
    <t>孙吉镇</t>
  </si>
  <si>
    <t>Tàiyáng Xiāng</t>
  </si>
  <si>
    <t>太阳乡</t>
  </si>
  <si>
    <t>Táocūn Zhèn</t>
  </si>
  <si>
    <t>陶村镇</t>
  </si>
  <si>
    <t>Tóngchéng Zhèn</t>
  </si>
  <si>
    <t>桐城镇</t>
  </si>
  <si>
    <t>Tōnghuà Zhèn</t>
  </si>
  <si>
    <t>通化镇</t>
  </si>
  <si>
    <t>Wādǐ Zhèn [Fàndǐ Zhèn]</t>
  </si>
  <si>
    <t>畖底镇</t>
  </si>
  <si>
    <t>Wángfàn Xiāng</t>
  </si>
  <si>
    <t>王范乡</t>
  </si>
  <si>
    <t>Wángmáo Zhèn</t>
  </si>
  <si>
    <t>王茅镇</t>
  </si>
  <si>
    <t>Wángxiăn Xiāng</t>
  </si>
  <si>
    <t>王显乡</t>
  </si>
  <si>
    <t>Wànquán Xiāng</t>
  </si>
  <si>
    <t>万泉乡</t>
  </si>
  <si>
    <t>Wèiguō Xiāng</t>
  </si>
  <si>
    <t>尉郭乡</t>
  </si>
  <si>
    <t>Wèizhuāng Zhèn</t>
  </si>
  <si>
    <t>卫庄镇</t>
  </si>
  <si>
    <t>Wŭxìnghú Nóngchăng</t>
  </si>
  <si>
    <t>伍姓湖农场</t>
  </si>
  <si>
    <t>Xiàhuà Xiāng</t>
  </si>
  <si>
    <t>下化乡</t>
  </si>
  <si>
    <t>Xiăoliáng Xiāng</t>
  </si>
  <si>
    <t>小梁乡</t>
  </si>
  <si>
    <t>Xīchéng Jiēdào</t>
  </si>
  <si>
    <t>西城街道</t>
  </si>
  <si>
    <t>Xīmò Zhèn</t>
  </si>
  <si>
    <t>西陌镇</t>
  </si>
  <si>
    <t>Xīnjiàng Xiàn Méihuà Yuánqū Guănwĕihuì [Xinhua County Coal Chemical Industry Park]</t>
  </si>
  <si>
    <t>新绛县煤化园区管委会</t>
  </si>
  <si>
    <t>Xízhāng Xiāng</t>
  </si>
  <si>
    <t>席张乡</t>
  </si>
  <si>
    <t>Xuēdiàn Zhèn</t>
  </si>
  <si>
    <t>薛店镇</t>
  </si>
  <si>
    <t>Xuézhāng Xiāng</t>
  </si>
  <si>
    <t>学张乡</t>
  </si>
  <si>
    <t>Yángchéng Zhèn</t>
  </si>
  <si>
    <t>阳城镇</t>
  </si>
  <si>
    <t>Yángcūn Xiāng</t>
  </si>
  <si>
    <t>阳村乡</t>
  </si>
  <si>
    <t>Yángwáng Zhèn</t>
  </si>
  <si>
    <t>阳王镇</t>
  </si>
  <si>
    <t>Yángyú Xiāng</t>
  </si>
  <si>
    <t>阳隅乡</t>
  </si>
  <si>
    <t>Yánjiāzhuāng Gōngmàoqū [Yanjiazhuang Industry and Trade Zone]</t>
  </si>
  <si>
    <t>闫家庄工贸区</t>
  </si>
  <si>
    <t>Yáofēng Zhèn</t>
  </si>
  <si>
    <t>瑶峰镇</t>
  </si>
  <si>
    <t>Yáomèng Jiēdào</t>
  </si>
  <si>
    <t>姚孟街道</t>
  </si>
  <si>
    <t>Yīngyán Zhèn</t>
  </si>
  <si>
    <t>英言镇</t>
  </si>
  <si>
    <t>Yīshì Zhèn</t>
  </si>
  <si>
    <t>猗氏镇</t>
  </si>
  <si>
    <t>Yŏnglè Zhèn</t>
  </si>
  <si>
    <t>永乐镇</t>
  </si>
  <si>
    <t>Yŭdū Jīngjì Jìshù Kāifāqū [Yudu Economic and Technological Development Zone]</t>
  </si>
  <si>
    <t>禹都经济技术开发区</t>
  </si>
  <si>
    <t>Yùnchéng Kōnggǎng Jīngjì Kāifāqū [Yuncheng Airport Economic Development Zone]</t>
  </si>
  <si>
    <t>山西运城经济开发区</t>
  </si>
  <si>
    <t>Yŭwáng Xiāng</t>
  </si>
  <si>
    <t>禹王乡</t>
  </si>
  <si>
    <t>Yúxiāng Nóngchăng</t>
  </si>
  <si>
    <t>虞乡农场</t>
  </si>
  <si>
    <t>Yúxiāng Zhèn</t>
  </si>
  <si>
    <t>虞乡镇</t>
  </si>
  <si>
    <t>Zézhăng Zhèn</t>
  </si>
  <si>
    <t>泽掌镇</t>
  </si>
  <si>
    <t>Zhāngcūn Zhèn</t>
  </si>
  <si>
    <t>张村镇</t>
  </si>
  <si>
    <t>Zhāngyíng Zhèn</t>
  </si>
  <si>
    <t>张营镇</t>
  </si>
  <si>
    <t>Zhàojiāzhuāng Xiāng</t>
  </si>
  <si>
    <t>赵家庄乡</t>
  </si>
  <si>
    <t>Zhōngchéng Jiēdào</t>
  </si>
  <si>
    <t>中城街道</t>
  </si>
  <si>
    <t>Zhuólĭ Gōngmàoqū [Zhuoli Industry and Trade Zone]</t>
  </si>
  <si>
    <t>卓里工贸区</t>
  </si>
  <si>
    <t>Chángzhì Shì</t>
  </si>
  <si>
    <t>Prefecture-level City</t>
  </si>
  <si>
    <t>长治市</t>
  </si>
  <si>
    <t>County</t>
  </si>
  <si>
    <t>长子县</t>
  </si>
  <si>
    <t>壶关县</t>
  </si>
  <si>
    <t>黎城县</t>
  </si>
  <si>
    <t>District</t>
  </si>
  <si>
    <t>潞城区</t>
  </si>
  <si>
    <t>潞州区</t>
  </si>
  <si>
    <t>平顺县</t>
  </si>
  <si>
    <t>沁县</t>
  </si>
  <si>
    <t>沁源县</t>
  </si>
  <si>
    <t>上党区</t>
  </si>
  <si>
    <t>屯留区</t>
  </si>
  <si>
    <t>武乡县</t>
  </si>
  <si>
    <t>襄垣县</t>
  </si>
  <si>
    <t>Dàtóng Shì</t>
  </si>
  <si>
    <t>大同市</t>
  </si>
  <si>
    <t>广灵县</t>
  </si>
  <si>
    <t>浑源县</t>
  </si>
  <si>
    <t>灵丘县</t>
  </si>
  <si>
    <t>平城区</t>
  </si>
  <si>
    <t>天镇县</t>
  </si>
  <si>
    <t>新荣区</t>
  </si>
  <si>
    <t>阳高县</t>
  </si>
  <si>
    <t>云冈区</t>
  </si>
  <si>
    <t>云州区</t>
  </si>
  <si>
    <t>左云县</t>
  </si>
  <si>
    <t>Jìnchéng Shì</t>
  </si>
  <si>
    <t>晋城市</t>
  </si>
  <si>
    <t>County-level City</t>
  </si>
  <si>
    <t>高平市</t>
  </si>
  <si>
    <t>陵川县</t>
  </si>
  <si>
    <t>沁水县</t>
  </si>
  <si>
    <t>阳城县</t>
  </si>
  <si>
    <t>泽州县</t>
  </si>
  <si>
    <t>Jìnzhōng Shì</t>
  </si>
  <si>
    <t>晋中市</t>
  </si>
  <si>
    <t>和顺县</t>
  </si>
  <si>
    <t>介休市</t>
  </si>
  <si>
    <t>灵石县</t>
  </si>
  <si>
    <t>平遥县</t>
  </si>
  <si>
    <t>祁县</t>
  </si>
  <si>
    <t>寿阳县</t>
  </si>
  <si>
    <t>太谷区</t>
  </si>
  <si>
    <t>昔阳县</t>
  </si>
  <si>
    <t>榆次区</t>
  </si>
  <si>
    <t>榆社县</t>
  </si>
  <si>
    <t>左权县</t>
  </si>
  <si>
    <t>Línfén Shì</t>
  </si>
  <si>
    <t>临汾市</t>
  </si>
  <si>
    <t>安泽县</t>
  </si>
  <si>
    <t>大宁县</t>
  </si>
  <si>
    <t>汾西县</t>
  </si>
  <si>
    <t>浮山县</t>
  </si>
  <si>
    <t>古县</t>
  </si>
  <si>
    <t>洪洞县</t>
  </si>
  <si>
    <t>侯马市</t>
  </si>
  <si>
    <t>霍州市</t>
  </si>
  <si>
    <t>吉县</t>
  </si>
  <si>
    <t>蒲县</t>
  </si>
  <si>
    <t>曲沃县</t>
  </si>
  <si>
    <t>襄汾县</t>
  </si>
  <si>
    <t>乡宁县</t>
  </si>
  <si>
    <t>隰县</t>
  </si>
  <si>
    <t>尧都区</t>
  </si>
  <si>
    <t>翼城县</t>
  </si>
  <si>
    <t>永和县</t>
  </si>
  <si>
    <t>Lǚliáng Shì</t>
  </si>
  <si>
    <t>吕梁市</t>
  </si>
  <si>
    <t>方山县</t>
  </si>
  <si>
    <t>汾阳市</t>
  </si>
  <si>
    <t>交城县</t>
  </si>
  <si>
    <t>交口县</t>
  </si>
  <si>
    <t>岚县</t>
  </si>
  <si>
    <t>临县</t>
  </si>
  <si>
    <t>离石区</t>
  </si>
  <si>
    <t>柳林县</t>
  </si>
  <si>
    <t>石楼县</t>
  </si>
  <si>
    <t>文水县</t>
  </si>
  <si>
    <t>孝义市</t>
  </si>
  <si>
    <t>兴县</t>
  </si>
  <si>
    <t>中阳县</t>
  </si>
  <si>
    <t>Shuòzhōu Shì</t>
  </si>
  <si>
    <t>朔州市</t>
  </si>
  <si>
    <t>怀仁市</t>
  </si>
  <si>
    <t>平鲁区</t>
  </si>
  <si>
    <t>山阴县</t>
  </si>
  <si>
    <t>朔城区</t>
  </si>
  <si>
    <t>应县</t>
  </si>
  <si>
    <t>右玉县</t>
  </si>
  <si>
    <t>Tàiyuán Shì</t>
  </si>
  <si>
    <t>太原市</t>
  </si>
  <si>
    <t>古交市</t>
  </si>
  <si>
    <t>尖草坪区</t>
  </si>
  <si>
    <t>晋源区</t>
  </si>
  <si>
    <t>娄烦县</t>
  </si>
  <si>
    <t>清徐县</t>
  </si>
  <si>
    <t>万柏林区</t>
  </si>
  <si>
    <t>小店区</t>
  </si>
  <si>
    <t>杏花岭区</t>
  </si>
  <si>
    <t>阳曲县</t>
  </si>
  <si>
    <t>迎泽区</t>
  </si>
  <si>
    <t>Xīnzhōu Shì</t>
  </si>
  <si>
    <t>忻州市</t>
  </si>
  <si>
    <t>保德县</t>
  </si>
  <si>
    <t>代县</t>
  </si>
  <si>
    <t>定襄县</t>
  </si>
  <si>
    <t>繁峙县</t>
  </si>
  <si>
    <t>河曲县</t>
  </si>
  <si>
    <t>静乐县</t>
  </si>
  <si>
    <t>岢岚县</t>
  </si>
  <si>
    <t>宁武县</t>
  </si>
  <si>
    <t>偏关县</t>
  </si>
  <si>
    <t>神池县</t>
  </si>
  <si>
    <t>五台县</t>
  </si>
  <si>
    <t>五寨县</t>
  </si>
  <si>
    <t>忻府区</t>
  </si>
  <si>
    <t>原平市</t>
  </si>
  <si>
    <t>Yángquán Shì</t>
  </si>
  <si>
    <t>阳泉市</t>
  </si>
  <si>
    <t>郊区</t>
  </si>
  <si>
    <t>矿区</t>
  </si>
  <si>
    <t>平定县</t>
  </si>
  <si>
    <t>盂县</t>
  </si>
  <si>
    <t>Yùnchéng Shì</t>
  </si>
  <si>
    <t>运城市</t>
  </si>
  <si>
    <t>河津市</t>
  </si>
  <si>
    <t>绛县</t>
  </si>
  <si>
    <t>稷山县</t>
  </si>
  <si>
    <t>临猗县</t>
  </si>
  <si>
    <t>平陆县</t>
  </si>
  <si>
    <t>芮城县</t>
  </si>
  <si>
    <t>万荣县</t>
  </si>
  <si>
    <t>闻喜县</t>
  </si>
  <si>
    <t>夏县</t>
  </si>
  <si>
    <t>新绛县</t>
  </si>
  <si>
    <t>盐湖区</t>
  </si>
  <si>
    <t>永济市</t>
  </si>
  <si>
    <t>垣曲县</t>
  </si>
  <si>
    <t>Shānxī</t>
  </si>
  <si>
    <t>Province</t>
  </si>
  <si>
    <t>山西省</t>
  </si>
  <si>
    <t>Population2</t>
  </si>
  <si>
    <t>Population3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</si>
  <si>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</si>
  <si>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</si>
  <si>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</si>
  <si>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</si>
  <si>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</si>
  <si>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</si>
  <si>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</si>
  <si>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</si>
  <si>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</si>
  <si>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</si>
  <si>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</si>
  <si>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</si>
  <si>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</si>
  <si>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</si>
  <si>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</si>
  <si>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","state":"Shānxī","territory":"","country":"China","latitude":</t>
  </si>
  <si>
    <t>Băichĭ</t>
  </si>
  <si>
    <t>Bàodiàn</t>
  </si>
  <si>
    <t>Bāyì</t>
  </si>
  <si>
    <t>Cècūn</t>
  </si>
  <si>
    <t>Cílín</t>
  </si>
  <si>
    <t>Dàbăotóu</t>
  </si>
  <si>
    <t>Dānzhū</t>
  </si>
  <si>
    <t>Dàxīnzhuāng</t>
  </si>
  <si>
    <t>Dìngchāng</t>
  </si>
  <si>
    <t>Dōngyángguān</t>
  </si>
  <si>
    <t>Fēngyí</t>
  </si>
  <si>
    <t>Fēngzhōu</t>
  </si>
  <si>
    <t>Gùchéng</t>
  </si>
  <si>
    <t>Gŭhán</t>
  </si>
  <si>
    <t>Guōcūn</t>
  </si>
  <si>
    <t>Guōdào</t>
  </si>
  <si>
    <t>Gùxiàn</t>
  </si>
  <si>
    <t>Hăojiāzhuāng</t>
  </si>
  <si>
    <t>Hóngshuĭ</t>
  </si>
  <si>
    <t>Hòubăo</t>
  </si>
  <si>
    <t>Hòubĕizhuāng</t>
  </si>
  <si>
    <t>Huángniăn</t>
  </si>
  <si>
    <t>Huángyádòng</t>
  </si>
  <si>
    <t>Jiānzhāng</t>
  </si>
  <si>
    <t>Jiăzhăng</t>
  </si>
  <si>
    <t>Jìnzhuāng</t>
  </si>
  <si>
    <t>Lăodĭngshān</t>
  </si>
  <si>
    <t>Líhòu</t>
  </si>
  <si>
    <t>Língkōngshān</t>
  </si>
  <si>
    <t>Lóngxī</t>
  </si>
  <si>
    <t>Măchăng</t>
  </si>
  <si>
    <t>Miáozhuāng</t>
  </si>
  <si>
    <t>Nánzhāng</t>
  </si>
  <si>
    <t>Pánlóng</t>
  </si>
  <si>
    <t>Qiáoshàng</t>
  </si>
  <si>
    <t>Qīngyáng</t>
  </si>
  <si>
    <t>Qìnhé</t>
  </si>
  <si>
    <t>Sètóu</t>
  </si>
  <si>
    <t>Shàngcūn</t>
  </si>
  <si>
    <t>Shàngyáo</t>
  </si>
  <si>
    <t>Shíchéng</t>
  </si>
  <si>
    <t>Shĭhuí</t>
  </si>
  <si>
    <t>Shízhé</t>
  </si>
  <si>
    <t>Shùzhăng</t>
  </si>
  <si>
    <t>Sūdiàn</t>
  </si>
  <si>
    <t>Wángcūn</t>
  </si>
  <si>
    <t>Wánghé</t>
  </si>
  <si>
    <t>Wángqiáo</t>
  </si>
  <si>
    <t>Wángtáo</t>
  </si>
  <si>
    <t>Wēizi</t>
  </si>
  <si>
    <t>Wúyuán</t>
  </si>
  <si>
    <t>Xiàdiàn</t>
  </si>
  <si>
    <t>Xiàliáng</t>
  </si>
  <si>
    <t>Xīhuŏ</t>
  </si>
  <si>
    <t>Xījĭng</t>
  </si>
  <si>
    <t>Xīn'ānquán</t>
  </si>
  <si>
    <t>Xīndiàn</t>
  </si>
  <si>
    <t>Xìngchéng</t>
  </si>
  <si>
    <t>Yìnchéng</t>
  </si>
  <si>
    <t>Yúwú</t>
  </si>
  <si>
    <t>Yúzé</t>
  </si>
  <si>
    <t>Zhāngyuán</t>
  </si>
  <si>
    <t>Zhìtíng</t>
  </si>
  <si>
    <t>Bèijiāzào</t>
  </si>
  <si>
    <t>Càicūn</t>
  </si>
  <si>
    <t>Dàbáidēng</t>
  </si>
  <si>
    <t>Dàcíyáo</t>
  </si>
  <si>
    <t>Diànwān</t>
  </si>
  <si>
    <t>Dōnghénán</t>
  </si>
  <si>
    <t>Dōngxiăocūn</t>
  </si>
  <si>
    <t>Gāoshān</t>
  </si>
  <si>
    <t>Gŭdiàn</t>
  </si>
  <si>
    <t>Gŭqiánbăo</t>
  </si>
  <si>
    <t>Húquán</t>
  </si>
  <si>
    <t>Lùjiāwān</t>
  </si>
  <si>
    <t>Luówénzào</t>
  </si>
  <si>
    <t>Mĭxīnguān</t>
  </si>
  <si>
    <t>Què'érshān</t>
  </si>
  <si>
    <t>Shāgētuó</t>
  </si>
  <si>
    <t>Shàngzhài</t>
  </si>
  <si>
    <t>Wángguāntún</t>
  </si>
  <si>
    <t>Wángzhuāngbăo</t>
  </si>
  <si>
    <t>Wŭlíng</t>
  </si>
  <si>
    <t>Xīfāngchéng</t>
  </si>
  <si>
    <t>Xīnpíngbǎo</t>
  </si>
  <si>
    <t>Xīnróng</t>
  </si>
  <si>
    <t>Xīpíng</t>
  </si>
  <si>
    <t>Yŏuzăi</t>
  </si>
  <si>
    <t>Yúngāng</t>
  </si>
  <si>
    <t>Yúnxīng</t>
  </si>
  <si>
    <t>Yùquán</t>
  </si>
  <si>
    <t>Zhōushìzhuāng</t>
  </si>
  <si>
    <t>Bāgōng</t>
  </si>
  <si>
    <t>Bĕiliú</t>
  </si>
  <si>
    <t>Bĕishídiàn</t>
  </si>
  <si>
    <t>Bĕishī</t>
  </si>
  <si>
    <t>Bĕiyìchéng</t>
  </si>
  <si>
    <t>Chénqū</t>
  </si>
  <si>
    <t>Chóngwén</t>
  </si>
  <si>
    <t>Cìyíng</t>
  </si>
  <si>
    <t>Dàdōnggōu</t>
  </si>
  <si>
    <t>Dàjī</t>
  </si>
  <si>
    <t>Dīngdiàn</t>
  </si>
  <si>
    <t>Duānshì</t>
  </si>
  <si>
    <t>Fùchéng</t>
  </si>
  <si>
    <t>Gāodū</t>
  </si>
  <si>
    <t>Hébĕi</t>
  </si>
  <si>
    <t>Hénghé</t>
  </si>
  <si>
    <t>Héxī</t>
  </si>
  <si>
    <t>Jiāfēng</t>
  </si>
  <si>
    <t>Jīncūn</t>
  </si>
  <si>
    <t>Jìnmiàopū</t>
  </si>
  <si>
    <t>Líchuān</t>
  </si>
  <si>
    <t>Liŭshùkŏu</t>
  </si>
  <si>
    <t>Lĭyì</t>
  </si>
  <si>
    <t>Lónggăng</t>
  </si>
  <si>
    <t>Lùchéng</t>
  </si>
  <si>
    <t>Măcūn</t>
  </si>
  <si>
    <t>Mănghé</t>
  </si>
  <si>
    <t>Mĭshān</t>
  </si>
  <si>
    <t>Píngchéng</t>
  </si>
  <si>
    <t>Qínchí</t>
  </si>
  <si>
    <t>Rùnchéng</t>
  </si>
  <si>
    <t>Sānjiă</t>
  </si>
  <si>
    <t>Shānhé</t>
  </si>
  <si>
    <t>Shénnóng</t>
  </si>
  <si>
    <t>Shìzhuāng</t>
  </si>
  <si>
    <t>Sìzhuāng</t>
  </si>
  <si>
    <t>Xiàcūn</t>
  </si>
  <si>
    <t>Xīhédĭ</t>
  </si>
  <si>
    <t>Yángcūn</t>
  </si>
  <si>
    <t>Yĕchuān</t>
  </si>
  <si>
    <t>Zhèngcūn</t>
  </si>
  <si>
    <t>Zhèngzhuāng</t>
  </si>
  <si>
    <t>Zhōngcūn</t>
  </si>
  <si>
    <t>Zhōucūn</t>
  </si>
  <si>
    <t>Bĕitián</t>
  </si>
  <si>
    <t>Chángníng</t>
  </si>
  <si>
    <t>Cháoyáng</t>
  </si>
  <si>
    <t>Chéngzhào</t>
  </si>
  <si>
    <t>Cuìfēng</t>
  </si>
  <si>
    <t>Dàzhài</t>
  </si>
  <si>
    <t>Dōngguān</t>
  </si>
  <si>
    <t>Dōngquán</t>
  </si>
  <si>
    <t>Dōngyáng</t>
  </si>
  <si>
    <t>Duànchún</t>
  </si>
  <si>
    <t>Duàncūn</t>
  </si>
  <si>
    <t>Fàncūn</t>
  </si>
  <si>
    <t>Gāoluò</t>
  </si>
  <si>
    <t>Guăi'ér</t>
  </si>
  <si>
    <t>Gŭtáo</t>
  </si>
  <si>
    <t>Gŭxiàn</t>
  </si>
  <si>
    <t>Hăobĕi</t>
  </si>
  <si>
    <t>Hénglĭng</t>
  </si>
  <si>
    <t>Hóngshàn</t>
  </si>
  <si>
    <t>Hóngshān</t>
  </si>
  <si>
    <t>Húcūn</t>
  </si>
  <si>
    <t>Jiălìng</t>
  </si>
  <si>
    <t>Jīchéng</t>
  </si>
  <si>
    <t>Jìngshēng</t>
  </si>
  <si>
    <t>Láiyuăn</t>
  </si>
  <si>
    <t>Lèpíng</t>
  </si>
  <si>
    <t>Liánfú</t>
  </si>
  <si>
    <t>Liăngdù</t>
  </si>
  <si>
    <t>Liáoyáng</t>
  </si>
  <si>
    <t>Lĭyáng</t>
  </si>
  <si>
    <t>Lóngfèng</t>
  </si>
  <si>
    <t>Mátián</t>
  </si>
  <si>
    <t>Miánshān</t>
  </si>
  <si>
    <t>Míngxīng</t>
  </si>
  <si>
    <t>Nánguān</t>
  </si>
  <si>
    <t>Nányànzhú</t>
  </si>
  <si>
    <t>Nínggù</t>
  </si>
  <si>
    <t>Píngtóu</t>
  </si>
  <si>
    <t>Qīngchéng</t>
  </si>
  <si>
    <t>Qínquán</t>
  </si>
  <si>
    <t>Shèchéng</t>
  </si>
  <si>
    <t>Shítiē</t>
  </si>
  <si>
    <t>Sōngtă</t>
  </si>
  <si>
    <t>Sōngyān</t>
  </si>
  <si>
    <t>Tóngyù</t>
  </si>
  <si>
    <t>Wūjīnshān</t>
  </si>
  <si>
    <t>Xiàmén</t>
  </si>
  <si>
    <t>Xīluò</t>
  </si>
  <si>
    <t>Xiūwén</t>
  </si>
  <si>
    <t>Yĕtóu</t>
  </si>
  <si>
    <t>Yì'ān</t>
  </si>
  <si>
    <t>Yĭnlíngzhī</t>
  </si>
  <si>
    <t>Yìtáng</t>
  </si>
  <si>
    <t>Yìxīng</t>
  </si>
  <si>
    <t>Yúncù</t>
  </si>
  <si>
    <t>Zhānglán</t>
  </si>
  <si>
    <t>Zhānshàng</t>
  </si>
  <si>
    <t>Zhāoyú</t>
  </si>
  <si>
    <t>Zōng'ài</t>
  </si>
  <si>
    <t>Báilóng</t>
  </si>
  <si>
    <t>Bĕipíng</t>
  </si>
  <si>
    <t>Chāngníng</t>
  </si>
  <si>
    <t>Dàhuáishù</t>
  </si>
  <si>
    <t>Dàzhāng</t>
  </si>
  <si>
    <t>Dèngzhuāng</t>
  </si>
  <si>
    <t>Duìzhú</t>
  </si>
  <si>
    <t>Fénchéng</t>
  </si>
  <si>
    <t>Fŭchéng</t>
  </si>
  <si>
    <t>Gāntíng</t>
  </si>
  <si>
    <t>Gāoxiăn</t>
  </si>
  <si>
    <t>Guānghuá</t>
  </si>
  <si>
    <t>Guăngshèngsì</t>
  </si>
  <si>
    <t>Guăntóu</t>
  </si>
  <si>
    <t>Gŭyáng</t>
  </si>
  <si>
    <t>Héchuān</t>
  </si>
  <si>
    <t>Hēilóngguān</t>
  </si>
  <si>
    <t>Hépíng</t>
  </si>
  <si>
    <t>Huángtŭ</t>
  </si>
  <si>
    <t>Húkŏu</t>
  </si>
  <si>
    <t>Jíchāng</t>
  </si>
  <si>
    <t>Jīndiàn</t>
  </si>
  <si>
    <t>Jìshì</t>
  </si>
  <si>
    <t>Kèchéng</t>
  </si>
  <si>
    <t>Lèchāng</t>
  </si>
  <si>
    <t>Lĭcáo</t>
  </si>
  <si>
    <t>Lĭcūn</t>
  </si>
  <si>
    <t>Liúcūn</t>
  </si>
  <si>
    <t>Liújiāyuán</t>
  </si>
  <si>
    <t>Lĭzhài</t>
  </si>
  <si>
    <t>Lónghuà</t>
  </si>
  <si>
    <t>Míngjiāng</t>
  </si>
  <si>
    <t>Nánjiă</t>
  </si>
  <si>
    <t>Nánliáng</t>
  </si>
  <si>
    <t>Púchéng</t>
  </si>
  <si>
    <t>Qiáolĭ</t>
  </si>
  <si>
    <t>Qíngxiāng</t>
  </si>
  <si>
    <t>Qŭcūn</t>
  </si>
  <si>
    <t>Qŭ'é</t>
  </si>
  <si>
    <t>Qŭtíng</t>
  </si>
  <si>
    <t>Sāngbì</t>
  </si>
  <si>
    <t>Sēngniàn</t>
  </si>
  <si>
    <t>Shĭcūn</t>
  </si>
  <si>
    <t>Sūbăo</t>
  </si>
  <si>
    <t>Táitóu</t>
  </si>
  <si>
    <t>Tángchéng</t>
  </si>
  <si>
    <t>Tángxīng</t>
  </si>
  <si>
    <t>Tiāntán</t>
  </si>
  <si>
    <t>Tŭmén</t>
  </si>
  <si>
    <t>Wèicūn</t>
  </si>
  <si>
    <t>Wŭchéng</t>
  </si>
  <si>
    <t>Wúcūn</t>
  </si>
  <si>
    <t>Xiàndĭ</t>
  </si>
  <si>
    <t>Xiānglíng</t>
  </si>
  <si>
    <t>Xiăngshuĭhé</t>
  </si>
  <si>
    <t>Xīnshuĭ</t>
  </si>
  <si>
    <t>Xīnzhì</t>
  </si>
  <si>
    <t>Xīpō</t>
  </si>
  <si>
    <t>Xīyán</t>
  </si>
  <si>
    <t>Xuēguān</t>
  </si>
  <si>
    <t>Yáomiào</t>
  </si>
  <si>
    <t>Yuèyáng</t>
  </si>
  <si>
    <t>Zhàochéng</t>
  </si>
  <si>
    <t>Zhàokāng</t>
  </si>
  <si>
    <t>Zhīhé</t>
  </si>
  <si>
    <t>Báiwén</t>
  </si>
  <si>
    <t>Bĕiwŭdāng</t>
  </si>
  <si>
    <t>Càijiāhuì</t>
  </si>
  <si>
    <t>Chéngjiāzhuāng</t>
  </si>
  <si>
    <t>Chéngzhuāng</t>
  </si>
  <si>
    <t>Cóngluóyù</t>
  </si>
  <si>
    <t>Dàwŭ</t>
  </si>
  <si>
    <t>Dōngcūn</t>
  </si>
  <si>
    <t>Duìzhèn</t>
  </si>
  <si>
    <t>Gāojiācūn</t>
  </si>
  <si>
    <t>Gāoyáng</t>
  </si>
  <si>
    <t>Gēdòng</t>
  </si>
  <si>
    <t>Jiăjiāzhuāng</t>
  </si>
  <si>
    <t>Jìcūn</t>
  </si>
  <si>
    <t>Jièhékŏu</t>
  </si>
  <si>
    <t>Jīnluó</t>
  </si>
  <si>
    <t>Kāizhà</t>
  </si>
  <si>
    <t>Kāngchéng</t>
  </si>
  <si>
    <t>Kāngníng</t>
  </si>
  <si>
    <t>Kèhŭ</t>
  </si>
  <si>
    <t>Lánchéng</t>
  </si>
  <si>
    <t>Língquán</t>
  </si>
  <si>
    <t>Línjiāpíng</t>
  </si>
  <si>
    <t>Línquán</t>
  </si>
  <si>
    <t>Liúhúlán</t>
  </si>
  <si>
    <t>Liújiāhuì</t>
  </si>
  <si>
    <t>Liŭlín</t>
  </si>
  <si>
    <t>Liúyù</t>
  </si>
  <si>
    <t>Luócūn</t>
  </si>
  <si>
    <t>Luóyùkŏu</t>
  </si>
  <si>
    <t>Măfāng</t>
  </si>
  <si>
    <t>Mèngmén</t>
  </si>
  <si>
    <t>Mùcūn</t>
  </si>
  <si>
    <t>Nán'ān</t>
  </si>
  <si>
    <t>Nánzhuāng</t>
  </si>
  <si>
    <t>Níngxiāng</t>
  </si>
  <si>
    <t>Nuănquán</t>
  </si>
  <si>
    <t>Pángquángōu</t>
  </si>
  <si>
    <t>Pŭmíng</t>
  </si>
  <si>
    <t>Qìkŏu</t>
  </si>
  <si>
    <t>Qŭyù</t>
  </si>
  <si>
    <t>Shízhuāng</t>
  </si>
  <si>
    <t>Shuāngchí</t>
  </si>
  <si>
    <t>Shuĭyùguàn</t>
  </si>
  <si>
    <t>Táohóngpō</t>
  </si>
  <si>
    <t>Tiānníng</t>
  </si>
  <si>
    <t>Tuānshuĭtóu</t>
  </si>
  <si>
    <t>Tùbăn</t>
  </si>
  <si>
    <t>Wătáng</t>
  </si>
  <si>
    <t>Wèijiātān</t>
  </si>
  <si>
    <t>Wúchéng</t>
  </si>
  <si>
    <t>Wŭjiāzhuāng</t>
  </si>
  <si>
    <t>Wútóng</t>
  </si>
  <si>
    <t>Xiàbăo</t>
  </si>
  <si>
    <t>Xiàjiāyíng</t>
  </si>
  <si>
    <t>Xiàojiāzhuāng</t>
  </si>
  <si>
    <t>Xiăosuàn</t>
  </si>
  <si>
    <t>Xiàoyì</t>
  </si>
  <si>
    <t>Xiàqŭ</t>
  </si>
  <si>
    <t>Xìnghuācūn</t>
  </si>
  <si>
    <t>Xīnguān</t>
  </si>
  <si>
    <t>Xìnyì</t>
  </si>
  <si>
    <t>Xīxīnzhuāng</t>
  </si>
  <si>
    <t>Xuēcūn</t>
  </si>
  <si>
    <t>Yángjiāzhuāng</t>
  </si>
  <si>
    <t>Yángquánqŭ</t>
  </si>
  <si>
    <t>Yănwŭ</t>
  </si>
  <si>
    <t>Yìdié</t>
  </si>
  <si>
    <t>Yùdàohé</t>
  </si>
  <si>
    <t>Yùfén</t>
  </si>
  <si>
    <t>Yùkŏu</t>
  </si>
  <si>
    <t>Zhāoxián</t>
  </si>
  <si>
    <t>Zhīkē</t>
  </si>
  <si>
    <t>Zhuāngshàng</t>
  </si>
  <si>
    <t>Zhùpú</t>
  </si>
  <si>
    <t>Bĕizhōuzhuāng</t>
  </si>
  <si>
    <t>Dàiyuè</t>
  </si>
  <si>
    <t>Fènghuángchéng</t>
  </si>
  <si>
    <t>Jīnchéng</t>
  </si>
  <si>
    <t>Jĭngpíng</t>
  </si>
  <si>
    <t>Jīnshātān</t>
  </si>
  <si>
    <t>Lìmín</t>
  </si>
  <si>
    <t>Máojiāzào</t>
  </si>
  <si>
    <t>Nánhézhŏng</t>
  </si>
  <si>
    <t>Shéntóu</t>
  </si>
  <si>
    <t>Wēiyuăn</t>
  </si>
  <si>
    <t>Wújiāyáo</t>
  </si>
  <si>
    <t>Xiàshè</t>
  </si>
  <si>
    <t>Yòuwèi</t>
  </si>
  <si>
    <t>Yuánbăozi</t>
  </si>
  <si>
    <t>Yùjĭng</t>
  </si>
  <si>
    <t>Yúnzhōng</t>
  </si>
  <si>
    <t>Bĕigé</t>
  </si>
  <si>
    <t>Dàyú</t>
  </si>
  <si>
    <t>Dōnghuángshuĭ</t>
  </si>
  <si>
    <t>Dōngyú</t>
  </si>
  <si>
    <t>Dùjiāoqŭ</t>
  </si>
  <si>
    <t>Hăozhuāng</t>
  </si>
  <si>
    <t>Hékŏu</t>
  </si>
  <si>
    <t>Huángzhài</t>
  </si>
  <si>
    <t>Jìncí</t>
  </si>
  <si>
    <t>Jìngyóu</t>
  </si>
  <si>
    <t>Jīnshèng</t>
  </si>
  <si>
    <t>Lóufán</t>
  </si>
  <si>
    <t>Mălán</t>
  </si>
  <si>
    <t>Mèngfēng</t>
  </si>
  <si>
    <t>Nítún</t>
  </si>
  <si>
    <t>Qīngyuán</t>
  </si>
  <si>
    <t>Xiàngyáng</t>
  </si>
  <si>
    <t>Xúgōu</t>
  </si>
  <si>
    <t>Yángqŭ</t>
  </si>
  <si>
    <t>Yáocūn</t>
  </si>
  <si>
    <t>Zhènchéngdĭ</t>
  </si>
  <si>
    <t>Báijiāzhuāng</t>
  </si>
  <si>
    <t>Bājiăo</t>
  </si>
  <si>
    <t>Chángliánggōu</t>
  </si>
  <si>
    <t>Dàniúdiàn</t>
  </si>
  <si>
    <t>Dàyíng</t>
  </si>
  <si>
    <t>Dŏngcūn</t>
  </si>
  <si>
    <t>Dōngshè</t>
  </si>
  <si>
    <t>Dōngzhài</t>
  </si>
  <si>
    <t>Dòucūn</t>
  </si>
  <si>
    <t>Dòuluó</t>
  </si>
  <si>
    <t>Dùjiācūn</t>
  </si>
  <si>
    <t>Échéng</t>
  </si>
  <si>
    <t>Ékŏu</t>
  </si>
  <si>
    <t>Fánchéng</t>
  </si>
  <si>
    <t>Fènghuáng</t>
  </si>
  <si>
    <t>Fēngrùn</t>
  </si>
  <si>
    <t>Gĕngzhèn</t>
  </si>
  <si>
    <t>Guōyáng</t>
  </si>
  <si>
    <t>Hébiān</t>
  </si>
  <si>
    <t>Hóngdào</t>
  </si>
  <si>
    <t>Jìnchāng</t>
  </si>
  <si>
    <t>Kāngjiāhuì</t>
  </si>
  <si>
    <t>Lányī</t>
  </si>
  <si>
    <t>Lăoyíng</t>
  </si>
  <si>
    <t>Liújiātă</t>
  </si>
  <si>
    <t>Lóuziyíng</t>
  </si>
  <si>
    <t>Nièyíng</t>
  </si>
  <si>
    <t>Píngxíngguān</t>
  </si>
  <si>
    <t>Qiáotóu</t>
  </si>
  <si>
    <t>Qícūn</t>
  </si>
  <si>
    <t>Sānchà</t>
  </si>
  <si>
    <t>Sānjĭng</t>
  </si>
  <si>
    <t>Shāhé</t>
  </si>
  <si>
    <t>Shàngguăn</t>
  </si>
  <si>
    <t>Shāquán</t>
  </si>
  <si>
    <t>Shíjiāzhuāng</t>
  </si>
  <si>
    <t>Shuĭquán</t>
  </si>
  <si>
    <t>Sūlóngkŏu</t>
  </si>
  <si>
    <t>Táichéng</t>
  </si>
  <si>
    <t>Táihuái</t>
  </si>
  <si>
    <t>Tānshàng</t>
  </si>
  <si>
    <t>Tiānfēngpíng</t>
  </si>
  <si>
    <t>Wànjiāzhài</t>
  </si>
  <si>
    <t>Wénbĭ</t>
  </si>
  <si>
    <t>Xiăohétóu</t>
  </si>
  <si>
    <t>Xīzhāng</t>
  </si>
  <si>
    <t>Xuāngăng</t>
  </si>
  <si>
    <t>Xúnzhèn</t>
  </si>
  <si>
    <t>Yànchéng</t>
  </si>
  <si>
    <t>Yángfāngkŏu</t>
  </si>
  <si>
    <t>Yángjiāwān</t>
  </si>
  <si>
    <t>Yángmíngbăo</t>
  </si>
  <si>
    <t>Yànménguān</t>
  </si>
  <si>
    <t>Yánzhuāng</t>
  </si>
  <si>
    <t>Yìmén</t>
  </si>
  <si>
    <t>Zăolín</t>
  </si>
  <si>
    <t>Zhuāngmó</t>
  </si>
  <si>
    <t>Bǎijĭng</t>
  </si>
  <si>
    <t>Chángchí</t>
  </si>
  <si>
    <t>Dōnghuí</t>
  </si>
  <si>
    <t>Guānshān</t>
  </si>
  <si>
    <t>Jùchéng</t>
  </si>
  <si>
    <t>Lùjiācūn</t>
  </si>
  <si>
    <t>Nánlóu</t>
  </si>
  <si>
    <t>Niángziguān</t>
  </si>
  <si>
    <t>Niúcūn</t>
  </si>
  <si>
    <t>Píngtăn</t>
  </si>
  <si>
    <t>Shàngshè</t>
  </si>
  <si>
    <t>Sūnjiāzhuāng</t>
  </si>
  <si>
    <t>Suŏhuáng</t>
  </si>
  <si>
    <t>Xiùshuĭ</t>
  </si>
  <si>
    <t>Xīyān</t>
  </si>
  <si>
    <t>Yĕxī</t>
  </si>
  <si>
    <t>Yìnyíng</t>
  </si>
  <si>
    <t>Zhāngzhuāng</t>
  </si>
  <si>
    <t>Ānyù</t>
  </si>
  <si>
    <t>Bĕixiāng</t>
  </si>
  <si>
    <t>Bĕizhāng</t>
  </si>
  <si>
    <t>Cáochuān</t>
  </si>
  <si>
    <t>Cháijiā</t>
  </si>
  <si>
    <t>Chánglè</t>
  </si>
  <si>
    <t>Chéncūn</t>
  </si>
  <si>
    <t>Dàjiāo</t>
  </si>
  <si>
    <t>Dānzi</t>
  </si>
  <si>
    <t>Dàwáng</t>
  </si>
  <si>
    <t>Dōngguō</t>
  </si>
  <si>
    <t>Dōngzhāng</t>
  </si>
  <si>
    <t>Dōngzhèn</t>
  </si>
  <si>
    <t>Fáncūn</t>
  </si>
  <si>
    <t>Fēnglíngdù</t>
  </si>
  <si>
    <t>Gŭjiàng</t>
  </si>
  <si>
    <t>Gŭjiāo</t>
  </si>
  <si>
    <t>Guōjiāzhuāng</t>
  </si>
  <si>
    <t>Gǔwèi</t>
  </si>
  <si>
    <t>Hànxuē</t>
  </si>
  <si>
    <t>Hányáng</t>
  </si>
  <si>
    <t>Héngqiáo</t>
  </si>
  <si>
    <t>Héngshuĭ</t>
  </si>
  <si>
    <t>Hóngzhīyì</t>
  </si>
  <si>
    <t>Huàyù</t>
  </si>
  <si>
    <t>Jiĕdiàn</t>
  </si>
  <si>
    <t>Jiĕzhōu</t>
  </si>
  <si>
    <t>Jìfēng</t>
  </si>
  <si>
    <t>Kāizhāng</t>
  </si>
  <si>
    <t>Kăolăo</t>
  </si>
  <si>
    <t>Línjìn</t>
  </si>
  <si>
    <t>Lìshān</t>
  </si>
  <si>
    <t>Lóngjū</t>
  </si>
  <si>
    <t>Lóngxīng</t>
  </si>
  <si>
    <t>Máojiāwān</t>
  </si>
  <si>
    <t>Méiyáng</t>
  </si>
  <si>
    <t>Miàoqián</t>
  </si>
  <si>
    <t>Mólĭ</t>
  </si>
  <si>
    <t>Mònán</t>
  </si>
  <si>
    <t>Nánfán</t>
  </si>
  <si>
    <t>Nánwèi</t>
  </si>
  <si>
    <t>Niànzhăng</t>
  </si>
  <si>
    <t>Niúdù</t>
  </si>
  <si>
    <t>Péijiè</t>
  </si>
  <si>
    <t>Péizhuāng</t>
  </si>
  <si>
    <t>Púzhōu</t>
  </si>
  <si>
    <t>Qījí</t>
  </si>
  <si>
    <t>Qīnghé</t>
  </si>
  <si>
    <t>Qīngtóu</t>
  </si>
  <si>
    <t>Quánzhăng</t>
  </si>
  <si>
    <t>Rónghé</t>
  </si>
  <si>
    <t>Sānguăn</t>
  </si>
  <si>
    <t>Sānlùlĭ</t>
  </si>
  <si>
    <t>Sānmén</t>
  </si>
  <si>
    <t>Sēnglóu</t>
  </si>
  <si>
    <t>Shèngrénjiàn</t>
  </si>
  <si>
    <t>Sìjiāo</t>
  </si>
  <si>
    <t>Sūnjí</t>
  </si>
  <si>
    <t>Táocūn</t>
  </si>
  <si>
    <t>Tóngchéng</t>
  </si>
  <si>
    <t>Tōnghuà</t>
  </si>
  <si>
    <t>Wādǐ</t>
  </si>
  <si>
    <t>Wángmáo</t>
  </si>
  <si>
    <t>Wèizhuāng</t>
  </si>
  <si>
    <t>Xīmò</t>
  </si>
  <si>
    <t>Xuēdiàn</t>
  </si>
  <si>
    <t>Yángchéng</t>
  </si>
  <si>
    <t>Yángwáng</t>
  </si>
  <si>
    <t>Yáofēng</t>
  </si>
  <si>
    <t>Yīngyán</t>
  </si>
  <si>
    <t>Yīshì</t>
  </si>
  <si>
    <t>Yŏnglè</t>
  </si>
  <si>
    <t>Yúxiāng</t>
  </si>
  <si>
    <t>Zézhăng</t>
  </si>
  <si>
    <t>Zhāngcūn</t>
  </si>
  <si>
    <t>Zhāngyíng</t>
  </si>
  <si>
    <t>Hòumă</t>
  </si>
  <si>
    <t>Huòzhōu</t>
  </si>
  <si>
    <t>Línfén</t>
  </si>
  <si>
    <t>Fényáng</t>
  </si>
  <si>
    <t>Lǚliáng</t>
  </si>
  <si>
    <t>Dàtóng</t>
  </si>
  <si>
    <t>Tàiyuán</t>
  </si>
  <si>
    <t>Yuánpíng</t>
  </si>
  <si>
    <t>Xīnzhōu</t>
  </si>
  <si>
    <t>Jièxiū</t>
  </si>
  <si>
    <t>Jìnzhōng</t>
  </si>
  <si>
    <t>Gāopíng</t>
  </si>
  <si>
    <t>Jìnchéng</t>
  </si>
  <si>
    <t>Shuòzhōu</t>
  </si>
  <si>
    <t>Yŏngjì</t>
  </si>
  <si>
    <t>Héjīn</t>
  </si>
  <si>
    <t>Yùnchéng</t>
  </si>
  <si>
    <t>Chángzhì</t>
  </si>
  <si>
    <t>Yángquán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</si>
  <si>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</si>
  <si>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</si>
  <si>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</si>
  <si>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</si>
  <si>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</si>
  <si>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Anjiazhuang Xiang</t>
  </si>
  <si>
    <t>Anning Jiedao</t>
  </si>
  <si>
    <t>Anrong Xiang</t>
  </si>
  <si>
    <t>Anye Xiang</t>
  </si>
  <si>
    <t>Anyi Jiedao</t>
  </si>
  <si>
    <t>Anyu Zhen</t>
  </si>
  <si>
    <t>Aojiawan Xiang</t>
  </si>
  <si>
    <t>Aoshi Xiang</t>
  </si>
  <si>
    <t>Babao Xiang [Dibabao Xiang]</t>
  </si>
  <si>
    <t>Bagong Zhen</t>
  </si>
  <si>
    <t>Baiban Xiang</t>
  </si>
  <si>
    <t>Baichi Zhen</t>
  </si>
  <si>
    <t>Baidong Jiedao</t>
  </si>
  <si>
    <t>Baijiazhuang Jiedao</t>
  </si>
  <si>
    <t>Baijiazhuang Xiang</t>
  </si>
  <si>
    <t>Baijiazhuang Zhen</t>
  </si>
  <si>
    <t>Baijing Zhen</t>
  </si>
  <si>
    <t>Bailong Zhen</t>
  </si>
  <si>
    <t>Baimashi Xiang</t>
  </si>
  <si>
    <t>Baisang Xiang</t>
  </si>
  <si>
    <t>Baishansi Xiang</t>
  </si>
  <si>
    <t>Baitang Xiang</t>
  </si>
  <si>
    <t>Baitouli Xiang</t>
  </si>
  <si>
    <t>Baiwen Zhen</t>
  </si>
  <si>
    <t>Baiyatai Xiang</t>
  </si>
  <si>
    <t>Bajiao Zhen</t>
  </si>
  <si>
    <t>Balingqiao Jiedao</t>
  </si>
  <si>
    <t>Baodian Zhen</t>
  </si>
  <si>
    <t>Baoziwan Xiang</t>
  </si>
  <si>
    <t>Bayi Zhen</t>
  </si>
  <si>
    <t>Beicheng Guanli Weiyuanhui</t>
  </si>
  <si>
    <t>Beicheng Jiedao (Jincheng Shi)</t>
  </si>
  <si>
    <t>Beicheng Jiedao (Shuozhou Shi)</t>
  </si>
  <si>
    <t>Beicheng Jiedao (Xinzhou Shi)</t>
  </si>
  <si>
    <t>Beicheng Jiedao (Yuncheng Shi)</t>
  </si>
  <si>
    <t>Beicheng Xiang</t>
  </si>
  <si>
    <t>Beidajie Jiedao</t>
  </si>
  <si>
    <t>Beidanche Xiang</t>
  </si>
  <si>
    <t>Beidi Xiang</t>
  </si>
  <si>
    <t>Beidong Xiang</t>
  </si>
  <si>
    <t>Beige Zhen</t>
  </si>
  <si>
    <t>Beiguan Jiedao (Datong Shi)</t>
  </si>
  <si>
    <t>Beiguan Jiedao (Yuci Qu)</t>
  </si>
  <si>
    <t>Beiguan Jiedao (Jiexiu Shi)</t>
  </si>
  <si>
    <t>Beihan Xiang</t>
  </si>
  <si>
    <t>Beihuanlu Jiedao</t>
  </si>
  <si>
    <t>Beijiazao Zhen</t>
  </si>
  <si>
    <t>Beijie Jiedao (Datong Shi)</t>
  </si>
  <si>
    <t>Beijie Jiedao (Jincheng Shi)</t>
  </si>
  <si>
    <t>Beijing Xiang</t>
  </si>
  <si>
    <t>Beiliu Zhen</t>
  </si>
  <si>
    <t>Beiping Zhen</t>
  </si>
  <si>
    <t>Beishe Xiang</t>
  </si>
  <si>
    <t>Beishi Zhen</t>
  </si>
  <si>
    <t>Beishidian Zhen</t>
  </si>
  <si>
    <t>Beitan Jiedao</t>
  </si>
  <si>
    <t>Beitian Zhen</t>
  </si>
  <si>
    <t>Beiwang Xiang</t>
  </si>
  <si>
    <t>Beiwangzhuang Jiedao</t>
  </si>
  <si>
    <t>Beiwudang Zhen</t>
  </si>
  <si>
    <t>Beixiang Zhen</t>
  </si>
  <si>
    <t>Beixiaodian Xiang</t>
  </si>
  <si>
    <t>Beixiazhuang Xiang</t>
  </si>
  <si>
    <t>Beixin Xiang</t>
  </si>
  <si>
    <t>Beixutun Xiang</t>
  </si>
  <si>
    <t>Beiyicheng Zhen</t>
  </si>
  <si>
    <t>Beiyijing Xiang</t>
  </si>
  <si>
    <t>Beiying Jiedao</t>
  </si>
  <si>
    <t>Beizhai Xiang</t>
  </si>
  <si>
    <t>Beizhang Xiang</t>
  </si>
  <si>
    <t>Beizhang Zhen</t>
  </si>
  <si>
    <t>Beizhouzhuang Zhen</t>
  </si>
  <si>
    <t>Binhe Jiedao (Linfen Shi)</t>
  </si>
  <si>
    <t>Binhe Jiedao (Luliang Shi)</t>
  </si>
  <si>
    <t>Buguan Xiang</t>
  </si>
  <si>
    <t>Buyi Xiang</t>
  </si>
  <si>
    <t>Caicun Xiang</t>
  </si>
  <si>
    <t>Caicun Zhen</t>
  </si>
  <si>
    <t>Caijiahui Zhen</t>
  </si>
  <si>
    <t>Caijiaya Xiang</t>
  </si>
  <si>
    <t>Caiwa Jiedao</t>
  </si>
  <si>
    <t>Caochuan Zhen</t>
  </si>
  <si>
    <t>Caojiayuan Xiang</t>
  </si>
  <si>
    <t>Caozhang Xiang</t>
  </si>
  <si>
    <t>Cecun Zhen</t>
  </si>
  <si>
    <t>Censhan Xiang</t>
  </si>
  <si>
    <t>Chaicun Jiedao</t>
  </si>
  <si>
    <t>Chaijia Zhen</t>
  </si>
  <si>
    <t>Chakou Xiang (Taiyuan Shi)</t>
  </si>
  <si>
    <t>Chakou Xiang (Yangquan Shi)</t>
  </si>
  <si>
    <t>Chang'an Xiang</t>
  </si>
  <si>
    <t>Changbei Jiedao</t>
  </si>
  <si>
    <t>Changcheng Xiang</t>
  </si>
  <si>
    <t>Changchi Zhen</t>
  </si>
  <si>
    <t>Changfeng Xijie Jiedao</t>
  </si>
  <si>
    <t>Changle Zhen</t>
  </si>
  <si>
    <t>Changlianggou Zhen</t>
  </si>
  <si>
    <t>Changning Zhen</t>
  </si>
  <si>
    <t>Changping Kaifaqu [Changping Economic Development Zone]</t>
  </si>
  <si>
    <t>Changqing Jiedao</t>
  </si>
  <si>
    <t>Changyuan Chengqu</t>
  </si>
  <si>
    <t>Changzhang Xiang</t>
  </si>
  <si>
    <t>Changzhen Xiang</t>
  </si>
  <si>
    <t>Changzhengjie Jiedao</t>
  </si>
  <si>
    <t>Changzhi Gaoxin Jishu Kaifaqu [Changzhi High-tech Development Zone]</t>
  </si>
  <si>
    <t>Changzhi Xiang</t>
  </si>
  <si>
    <t>Chaoyang Zhen</t>
  </si>
  <si>
    <t>Checheng Xiang</t>
  </si>
  <si>
    <t>Chegan Xiang</t>
  </si>
  <si>
    <t>Chemingyu Xiang [Zhangzishan Xiang]</t>
  </si>
  <si>
    <t>Chencun Zhen</t>
  </si>
  <si>
    <t>Chengbei Jiedao (Luliang Shi)</t>
  </si>
  <si>
    <t>Chengbei Jiedao (Yuncheng Shi)</t>
  </si>
  <si>
    <t>Chengdong Jiedao</t>
  </si>
  <si>
    <t>Chengguan Xiang</t>
  </si>
  <si>
    <t>Chengjiachuan Jiedao</t>
  </si>
  <si>
    <t>Chengjiashan Xiang</t>
  </si>
  <si>
    <t>Chengjiazhuang Zhen</t>
  </si>
  <si>
    <t>Chengnan Xiang</t>
  </si>
  <si>
    <t>Chengqu (Yushe Xian)</t>
  </si>
  <si>
    <t>Chengqu (Zuoquan Xian)</t>
  </si>
  <si>
    <t>Chengqu Jiedao (Xinzhou Shi)</t>
  </si>
  <si>
    <t>Chengqu Jiedao (Yuncheng Shi)</t>
  </si>
  <si>
    <t>Chengxi Jiedao</t>
  </si>
  <si>
    <t>Chengzhao Zhen</t>
  </si>
  <si>
    <t>Chengzhuang Zhen</t>
  </si>
  <si>
    <t>Chenjiawan Xiang</t>
  </si>
  <si>
    <t>Chenjiaying Xiang</t>
  </si>
  <si>
    <t>Chenjiazhuang Xiang</t>
  </si>
  <si>
    <t>Chenqu Zhen</t>
  </si>
  <si>
    <t>Chezhanjie Jiedao</t>
  </si>
  <si>
    <t>Chiniwa Xiang</t>
  </si>
  <si>
    <t>Chishiqiao Xiang</t>
  </si>
  <si>
    <t>Chongwen Jiedao</t>
  </si>
  <si>
    <t>Chongwen Zhen</t>
  </si>
  <si>
    <t>Chuandi Xiang</t>
  </si>
  <si>
    <t>Chuhou Xiang</t>
  </si>
  <si>
    <t>Cicun Xiang</t>
  </si>
  <si>
    <t>Cilin Zhen</t>
  </si>
  <si>
    <t>Ciying Zhen</t>
  </si>
  <si>
    <t>Congluoyu Zhen</t>
  </si>
  <si>
    <t>Congziyu Xiang</t>
  </si>
  <si>
    <t>Cuifeng Zhen</t>
  </si>
  <si>
    <t>Dabaideng Zhen</t>
  </si>
  <si>
    <t>Dabaotou Zhen</t>
  </si>
  <si>
    <t>Daciyao Zhen</t>
  </si>
  <si>
    <t>Dadeng Xiang</t>
  </si>
  <si>
    <t>Dadonggou Zhen</t>
  </si>
  <si>
    <t>Dadongguan Jiedao</t>
  </si>
  <si>
    <t>Dadougou Jiedao</t>
  </si>
  <si>
    <t>Dahuaishu Zhen</t>
  </si>
  <si>
    <t>Dahuangwei Xiang</t>
  </si>
  <si>
    <t>Daiyue Zhen</t>
  </si>
  <si>
    <t>Daji Zhen</t>
  </si>
  <si>
    <t>Dajian Xiang</t>
  </si>
  <si>
    <t>Dajiao Zhen</t>
  </si>
  <si>
    <t>Dalin Xiang</t>
  </si>
  <si>
    <t>Dalinhe Xiang</t>
  </si>
  <si>
    <t>Danfeng Chengqu</t>
  </si>
  <si>
    <t>Dangliuzhuang Xiang</t>
  </si>
  <si>
    <t>Daniudian Zhen</t>
  </si>
  <si>
    <t>Danzhai Xiang</t>
  </si>
  <si>
    <t>Danzhu Zhen</t>
  </si>
  <si>
    <t>Danzi Zhen</t>
  </si>
  <si>
    <t>Daqinglu Jiedao</t>
  </si>
  <si>
    <t>Daqu Jiedao</t>
  </si>
  <si>
    <t>Darenzhuang Xiang</t>
  </si>
  <si>
    <t>Dashetou Xiang</t>
  </si>
  <si>
    <t>Dashiyao Xiang</t>
  </si>
  <si>
    <t>Dawang Zhen</t>
  </si>
  <si>
    <t>Dawu Zhen</t>
  </si>
  <si>
    <t>Daxiaobao Xiang</t>
  </si>
  <si>
    <t>Daxinzhuang Zhen</t>
  </si>
  <si>
    <t>Dayanbei Xiang</t>
  </si>
  <si>
    <t>Dayang Zhen (Jincheng Shi)</t>
  </si>
  <si>
    <t>Dayang Zhen (Linfen Shi)</t>
  </si>
  <si>
    <t>Daying Zhen</t>
  </si>
  <si>
    <t>Dayou Xiang</t>
  </si>
  <si>
    <t>Dayu Xiang</t>
  </si>
  <si>
    <t>Dayu Zhen</t>
  </si>
  <si>
    <t>Dazhai Zhen</t>
  </si>
  <si>
    <t>Dazhang Zhen</t>
  </si>
  <si>
    <t>Dengzhuang Zhen</t>
  </si>
  <si>
    <t>Dianping Xiang</t>
  </si>
  <si>
    <t>Dianshang Zhen (Huguan Xian)</t>
  </si>
  <si>
    <t>Dianshang Zhen (Lucheng Qu)</t>
  </si>
  <si>
    <t>Dianwan Zhen</t>
  </si>
  <si>
    <t>Dicun Xiang</t>
  </si>
  <si>
    <t>Dietaisi Xiang</t>
  </si>
  <si>
    <t>Dingchang Zhen</t>
  </si>
  <si>
    <t>Dingdian Zhen</t>
  </si>
  <si>
    <t>Dingjiayao Xiang</t>
  </si>
  <si>
    <t>Dongcheng</t>
  </si>
  <si>
    <t>Dongcheng Guanli Weiyuanhui</t>
  </si>
  <si>
    <t>Dongcheng Jiedao (Yangcheng Xian)</t>
  </si>
  <si>
    <t>Dongcheng Jiedao (Gaoping Shi)</t>
  </si>
  <si>
    <t>Dongcheng Jiedao (Yuncheng Shi)</t>
  </si>
  <si>
    <t>Dongcheng Xiang</t>
  </si>
  <si>
    <t>Dongcun Nongchang</t>
  </si>
  <si>
    <t>Dongcun Zhen</t>
  </si>
  <si>
    <t>Dongfangcheng Xiang</t>
  </si>
  <si>
    <t>Dongfeng Xiang</t>
  </si>
  <si>
    <t>Dongguan Zhen</t>
  </si>
  <si>
    <t>Dongguan Zhen [incl. Qixian Jingji Kaifaqu]</t>
  </si>
  <si>
    <t>Dongguo Zhen</t>
  </si>
  <si>
    <t>Donghe Xiang</t>
  </si>
  <si>
    <t>Donghenan Zhen</t>
  </si>
  <si>
    <t>Donghu Xiang</t>
  </si>
  <si>
    <t>Donghuangshui Zhen</t>
  </si>
  <si>
    <t>Donghui Xiang</t>
  </si>
  <si>
    <t>Donghui Zhen</t>
  </si>
  <si>
    <t>Dongjie</t>
  </si>
  <si>
    <t>Dongjie Jiedao (Changzhi Shi)</t>
  </si>
  <si>
    <t>Dongjie Jiedao (Datong Shi)</t>
  </si>
  <si>
    <t>Dongjie Jiedao (Jincheng Shi)</t>
  </si>
  <si>
    <t>Dongjingling Xiang</t>
  </si>
  <si>
    <t>Donglei Xiang</t>
  </si>
  <si>
    <t>Dongliang Xiang</t>
  </si>
  <si>
    <t>Donglou Xiang</t>
  </si>
  <si>
    <t>Donglu Xiang</t>
  </si>
  <si>
    <t>Dongmafang Xiang</t>
  </si>
  <si>
    <t>Dongnan Jiedao</t>
  </si>
  <si>
    <t>Dongpodi Xiang</t>
  </si>
  <si>
    <t>Dongqu Jiedao</t>
  </si>
  <si>
    <t>Dongquan Zhen</t>
  </si>
  <si>
    <t>Dongshan Xiang</t>
  </si>
  <si>
    <t>Dongshe Jiedao</t>
  </si>
  <si>
    <t>Dongshe Zhen</t>
  </si>
  <si>
    <t>Dongsitou Xiang</t>
  </si>
  <si>
    <t>Dongxiaocun Zhen</t>
  </si>
  <si>
    <t>Dongxiuzhuang Xiang</t>
  </si>
  <si>
    <t>Dongyang Zhen</t>
  </si>
  <si>
    <t>Dongyangguan Zhen</t>
  </si>
  <si>
    <t>Dongye Zhen (Jincheng Shi)</t>
  </si>
  <si>
    <t>Dongye Zhen (Xinzhou Shi)</t>
  </si>
  <si>
    <t>Dongyu Zhen</t>
  </si>
  <si>
    <t>Dongzhai Zhen</t>
  </si>
  <si>
    <t>Dongzhang Xiang</t>
  </si>
  <si>
    <t>Dongzhang Zhen</t>
  </si>
  <si>
    <t>Dongzhao Xiang</t>
  </si>
  <si>
    <t>Dongzhen Zhen</t>
  </si>
  <si>
    <t>Doucun Zhen</t>
  </si>
  <si>
    <t>Douluo Zhen</t>
  </si>
  <si>
    <t>Doupo Xiang</t>
  </si>
  <si>
    <t>Duanchun Zhen</t>
  </si>
  <si>
    <t>Duancun Zhen</t>
  </si>
  <si>
    <t>Duandian Xiang</t>
  </si>
  <si>
    <t>Duanjiabao Xiang</t>
  </si>
  <si>
    <t>Duanjiazhai Xiang</t>
  </si>
  <si>
    <t>Duanliu Xiang</t>
  </si>
  <si>
    <t>Duanshi Zhen</t>
  </si>
  <si>
    <t>Ducun Xiang (Linfen Shi)</t>
  </si>
  <si>
    <t>Ducun Xiang (Luliang Shi)</t>
  </si>
  <si>
    <t>Du'erping Jiedao</t>
  </si>
  <si>
    <t>Duizhen Zhen</t>
  </si>
  <si>
    <t>Duizhu Zhen</t>
  </si>
  <si>
    <t>Dujiacun Zhen</t>
  </si>
  <si>
    <t>Dujiaoqu Zhen</t>
  </si>
  <si>
    <t>Dujiazhuang Xiang</t>
  </si>
  <si>
    <t>Duma Xiang</t>
  </si>
  <si>
    <t>Dunhuafang Jiedao</t>
  </si>
  <si>
    <t>Duohuo Xiang</t>
  </si>
  <si>
    <t>Duyu Xiang</t>
  </si>
  <si>
    <t>Duzhuang Xiang</t>
  </si>
  <si>
    <t>Echeng Zhen</t>
  </si>
  <si>
    <t>Ehutan Xiang</t>
  </si>
  <si>
    <t>Ekou Zhen</t>
  </si>
  <si>
    <t>Ewu Xiang</t>
  </si>
  <si>
    <t>Fancheng Zhen [incl. Fanzhi Xian Cheng Jumin]</t>
  </si>
  <si>
    <t>Fancun Zhen</t>
  </si>
  <si>
    <t>Fancunhe Xiang</t>
  </si>
  <si>
    <t>Fazhong Xiang</t>
  </si>
  <si>
    <t>Fencheng Zhen</t>
  </si>
  <si>
    <t>Fengcheng Xiang</t>
  </si>
  <si>
    <t>Fengcheng Zhen (Jincheng Shi)</t>
  </si>
  <si>
    <t>Fengcheng Zhen (Luliang Shi)</t>
  </si>
  <si>
    <t>Fengcun Xiang</t>
  </si>
  <si>
    <t>Fenghuang Zhen</t>
  </si>
  <si>
    <t>Fenghuangcheng Zhen</t>
  </si>
  <si>
    <t>Fengjiachuan Xiang</t>
  </si>
  <si>
    <t>Fenglingdu Jingji Kaifaqu [Fenglingdu Economic Development Zone]</t>
  </si>
  <si>
    <t>Fenglingdu Zhen</t>
  </si>
  <si>
    <t>Fengrun Zhen</t>
  </si>
  <si>
    <t>Fengshan Jiedao</t>
  </si>
  <si>
    <t>Fengyi Zhen</t>
  </si>
  <si>
    <t>Fengyu Xiang</t>
  </si>
  <si>
    <t>Fengzhou Zhen</t>
  </si>
  <si>
    <t>Fenhe Jiedao</t>
  </si>
  <si>
    <t>Fenshuiling Xiang</t>
  </si>
  <si>
    <t>Fucheng Zhen</t>
  </si>
  <si>
    <t>Fushanzhuang Xiang</t>
  </si>
  <si>
    <t>Gaijiazhuang Xiang</t>
  </si>
  <si>
    <t>Ganting Zhen</t>
  </si>
  <si>
    <t>Gaocheng Xiang</t>
  </si>
  <si>
    <t>Gaocun Xiang (Linfen Shi)</t>
  </si>
  <si>
    <t>Gaocun Xiang (Taiyuan Shi)</t>
  </si>
  <si>
    <t>Gaocun Xiang (Yuncheng Shi)</t>
  </si>
  <si>
    <t>Gaodu Zhen</t>
  </si>
  <si>
    <t>Gaohongkou Xiang</t>
  </si>
  <si>
    <t>Gaojiabao Xiang</t>
  </si>
  <si>
    <t>Gaojiacun Zhen</t>
  </si>
  <si>
    <t>Gaojiagou Xiang</t>
  </si>
  <si>
    <t>Gaojiahui Xiang</t>
  </si>
  <si>
    <t>Gaoluo Xiang</t>
  </si>
  <si>
    <t>Gaoluo Zhen</t>
  </si>
  <si>
    <t>Gaoshan Zhen</t>
  </si>
  <si>
    <t>Gaoshizhuang Xiang</t>
  </si>
  <si>
    <t>Gaoxian Zhen</t>
  </si>
  <si>
    <t>Gaoyang Zhen</t>
  </si>
  <si>
    <t>Gedashang Xiang</t>
  </si>
  <si>
    <t>Gedi Xiang</t>
  </si>
  <si>
    <t>Gedong Zhen</t>
  </si>
  <si>
    <t>Geliao Xiang</t>
  </si>
  <si>
    <t>Gengzhen Zhen</t>
  </si>
  <si>
    <t>Geshang Xiang</t>
  </si>
  <si>
    <t>Gounan Xiang</t>
  </si>
  <si>
    <t>Guai'er Zhen</t>
  </si>
  <si>
    <t>Guan'er Xiang</t>
  </si>
  <si>
    <t>Guanghua Xiang</t>
  </si>
  <si>
    <t>Guanghua Zhen</t>
  </si>
  <si>
    <t>Guangshe Jiedao</t>
  </si>
  <si>
    <t>Guangshengsi Zhen</t>
  </si>
  <si>
    <t>Guangyubao Xiang</t>
  </si>
  <si>
    <t>Guanjiabao Xiang</t>
  </si>
  <si>
    <t>Guanshan Zhen</t>
  </si>
  <si>
    <t>Guantan Xiang</t>
  </si>
  <si>
    <t>Guantou Zhen</t>
  </si>
  <si>
    <t>Guanwangmiao Xiang</t>
  </si>
  <si>
    <t>Guayuan Xiang</t>
  </si>
  <si>
    <t>Gucheng Jiedao</t>
  </si>
  <si>
    <t>Gucheng Zhen</t>
  </si>
  <si>
    <t>Gucheng Zhen (Datong Shi)</t>
  </si>
  <si>
    <t>Gucheng Zhen (Linfen Shi)</t>
  </si>
  <si>
    <t>Gucheng Zhen (Shuozhou Shi)</t>
  </si>
  <si>
    <t>Gucheng Zhen (Yuncheng Shi)</t>
  </si>
  <si>
    <t>Gudian Zhen</t>
  </si>
  <si>
    <t>Guhan Zhen</t>
  </si>
  <si>
    <t>Guishigou Jiedao</t>
  </si>
  <si>
    <t>Gujiang Zhen</t>
  </si>
  <si>
    <t>Gujiao Xiang</t>
  </si>
  <si>
    <t>Gujiao Zhen</t>
  </si>
  <si>
    <t>Gulong Xiang</t>
  </si>
  <si>
    <t>Gulou Jiedao (Linfen Shi)</t>
  </si>
  <si>
    <t>Gulou Jiedao (Taiyuan Shi)</t>
  </si>
  <si>
    <t>Gulou Xijie Jiedao</t>
  </si>
  <si>
    <t>Guocun Zhen</t>
  </si>
  <si>
    <t>Guodao Zhen</t>
  </si>
  <si>
    <t>Guojiabao Xiang</t>
  </si>
  <si>
    <t>Guojiayao Xiang</t>
  </si>
  <si>
    <t>Guojiazhuang Zhen</t>
  </si>
  <si>
    <t>Guoyang Zhen</t>
  </si>
  <si>
    <t>Guqianbao Zhen</t>
  </si>
  <si>
    <t>Gutao Zhen [incl. Gucheng Jiedao, Chengdong Jiedao, Chengxi Jiedao]</t>
  </si>
  <si>
    <t>Guwei Zhen</t>
  </si>
  <si>
    <t>Guxian Jiedao</t>
  </si>
  <si>
    <t>Guxian Xiang</t>
  </si>
  <si>
    <t>Guxian Xiang (Changzhi Shi)</t>
  </si>
  <si>
    <t>Guxian Xiang (Jincheng Shi)</t>
  </si>
  <si>
    <t>Guxian Zhen</t>
  </si>
  <si>
    <t>Guyang Zhen</t>
  </si>
  <si>
    <t>Haibeitou Xiang</t>
  </si>
  <si>
    <t>Hanbei Xiang</t>
  </si>
  <si>
    <t>Handian Jiedao</t>
  </si>
  <si>
    <t>Hanhong Xiang</t>
  </si>
  <si>
    <t>Hanjiachuan Xiang</t>
  </si>
  <si>
    <t>Hanjialou Xiang</t>
  </si>
  <si>
    <t>Hanwang Xiang</t>
  </si>
  <si>
    <t>Hanxue Zhen</t>
  </si>
  <si>
    <t>Hanyang Zhen</t>
  </si>
  <si>
    <t>Haobei Zhen</t>
  </si>
  <si>
    <t>Haojiazhuang Zhen</t>
  </si>
  <si>
    <t>Haozhuang Xiang</t>
  </si>
  <si>
    <t>Haozhuang Zhen</t>
  </si>
  <si>
    <t>Hebei Zhen</t>
  </si>
  <si>
    <t>Hebian Zhen</t>
  </si>
  <si>
    <t>Hechuan Zhen</t>
  </si>
  <si>
    <t>Hedi Xiang</t>
  </si>
  <si>
    <t>Hedi Zhen (Yangquan Shi)</t>
  </si>
  <si>
    <t>Hedi Zhen (Yuncheng Shi)</t>
  </si>
  <si>
    <t>Hehe Xiang</t>
  </si>
  <si>
    <t>Heilongguan Zhen</t>
  </si>
  <si>
    <t>Hejiabao Xiang</t>
  </si>
  <si>
    <t>Hejiahui Xiang</t>
  </si>
  <si>
    <t>Hejiazhuang Xiang</t>
  </si>
  <si>
    <t>Hekou Xiang</t>
  </si>
  <si>
    <t>Hekou Zhen</t>
  </si>
  <si>
    <t>Henghe Zhen</t>
  </si>
  <si>
    <t>Hengling Zhen</t>
  </si>
  <si>
    <t>Hengqiao Zhen</t>
  </si>
  <si>
    <t>Hengshui Zhen</t>
  </si>
  <si>
    <t>Heping Jiedao</t>
  </si>
  <si>
    <t>Heping Zhen</t>
  </si>
  <si>
    <t>Herui Jiedao</t>
  </si>
  <si>
    <t>Heshengbao Xiang</t>
  </si>
  <si>
    <t>Heshenmiao Xiang</t>
  </si>
  <si>
    <t>Heshi Xiang</t>
  </si>
  <si>
    <t>Heshun Jiedao</t>
  </si>
  <si>
    <t>Hesuo Xiang</t>
  </si>
  <si>
    <t>Hetou Xiang</t>
  </si>
  <si>
    <t>Hexi Zhen</t>
  </si>
  <si>
    <t>Heyu Xiang</t>
  </si>
  <si>
    <t>Hezhi Xiang</t>
  </si>
  <si>
    <t>Hongchi Xiang</t>
  </si>
  <si>
    <t>Hongdao Xiang</t>
  </si>
  <si>
    <t>Hongdao Zhen</t>
  </si>
  <si>
    <t>Hongjing Xiang</t>
  </si>
  <si>
    <t>Hongshan Zhen</t>
  </si>
  <si>
    <t>Hongshileng Xiang</t>
  </si>
  <si>
    <t>Hongshui Zhen</t>
  </si>
  <si>
    <t>Hongtiguan Xiang</t>
  </si>
  <si>
    <t>Hongxiang Xiang</t>
  </si>
  <si>
    <t>Hongyanchuan Xiang</t>
  </si>
  <si>
    <t>Hongzhiyi Zhen</t>
  </si>
  <si>
    <t>Houbao Zhen</t>
  </si>
  <si>
    <t>Houbeizhuang Zhen</t>
  </si>
  <si>
    <t>Houcheng Xiang</t>
  </si>
  <si>
    <t>Houcun Xiang (Taiyuan Shi)</t>
  </si>
  <si>
    <t>Houcun Xiang (Yuncheng Shi)</t>
  </si>
  <si>
    <t>Hougong Xiang</t>
  </si>
  <si>
    <t>Housuo Xiang</t>
  </si>
  <si>
    <t>Huabeitun Xiang</t>
  </si>
  <si>
    <t>Huafeng Xiang</t>
  </si>
  <si>
    <t>Huaidao Xiang</t>
  </si>
  <si>
    <t>Huainian Xiang</t>
  </si>
  <si>
    <t>Huaketou Jiedao</t>
  </si>
  <si>
    <t>Huangfu Xiang</t>
  </si>
  <si>
    <t>Huanghuatan Xiang</t>
  </si>
  <si>
    <t>Huangling Jiedao</t>
  </si>
  <si>
    <t>Huangnian Zhen</t>
  </si>
  <si>
    <t>Huangniuti Xiang</t>
  </si>
  <si>
    <t>Huangshan Xiang</t>
  </si>
  <si>
    <t>Huangtu Zhen</t>
  </si>
  <si>
    <t>Huangyadong Zhen</t>
  </si>
  <si>
    <t>Huangzhai Zhen</t>
  </si>
  <si>
    <t>Huayu Zhen</t>
  </si>
  <si>
    <t>Huayuantun Xiang</t>
  </si>
  <si>
    <t>Hubei Xiang</t>
  </si>
  <si>
    <t>Hucun Zhen</t>
  </si>
  <si>
    <t>Hudi Xiang</t>
  </si>
  <si>
    <t>Hudong</t>
  </si>
  <si>
    <t>Huhui Xiang</t>
  </si>
  <si>
    <t>Huibin Jiedao</t>
  </si>
  <si>
    <t>Huifeng Jiedao</t>
  </si>
  <si>
    <t>Huili Xiang</t>
  </si>
  <si>
    <t>Huilong Xiang</t>
  </si>
  <si>
    <t>Hukou Zhen</t>
  </si>
  <si>
    <t>Huquan Zhen</t>
  </si>
  <si>
    <t>Huyu Xiang</t>
  </si>
  <si>
    <t>Huzhang Xiang</t>
  </si>
  <si>
    <t>Jiacun Xiang</t>
  </si>
  <si>
    <t>Jiade Xiang</t>
  </si>
  <si>
    <t>Jiadou Xiang</t>
  </si>
  <si>
    <t>Jiafeng Zhen</t>
  </si>
  <si>
    <t>Jiahuo Xiang</t>
  </si>
  <si>
    <t>Jiajiatun Xiang</t>
  </si>
  <si>
    <t>Jiajiayuan Xiang</t>
  </si>
  <si>
    <t>Jiajiazhuang Zhen</t>
  </si>
  <si>
    <t>Jialequan Xiang</t>
  </si>
  <si>
    <t>Jialing Xiang</t>
  </si>
  <si>
    <t>Jialing Zhen</t>
  </si>
  <si>
    <t>Jian'an Xiang</t>
  </si>
  <si>
    <t>Jiancaoping Jiedao</t>
  </si>
  <si>
    <t>Jiangcun Xiang</t>
  </si>
  <si>
    <t>Jiangfang Xiang</t>
  </si>
  <si>
    <t>Jiangjiawan Jiedao</t>
  </si>
  <si>
    <t>Jiangtang Xiang</t>
  </si>
  <si>
    <t>Jianhe Jiedao</t>
  </si>
  <si>
    <t>Jianning Xiang</t>
  </si>
  <si>
    <t>Jianzhang Zhen</t>
  </si>
  <si>
    <t>Jiaobei Xiang</t>
  </si>
  <si>
    <t>Jiaodi Xiang</t>
  </si>
  <si>
    <t>Jiaokou Jiedao</t>
  </si>
  <si>
    <t>Jiaokou Xiang (Changzhi Shi)</t>
  </si>
  <si>
    <t>Jiaokou Xiang (Jinzhong Shi)</t>
  </si>
  <si>
    <t>Jiaokou Xiang (Linfen Shi)</t>
  </si>
  <si>
    <t>Jiaoloushen Xiang</t>
  </si>
  <si>
    <t>Jiaoshan Xiang</t>
  </si>
  <si>
    <t>Jiazhang Zhen</t>
  </si>
  <si>
    <t>Jiazhuang Xiang</t>
  </si>
  <si>
    <t>Jichang Zhen</t>
  </si>
  <si>
    <t>Jicheng Zhen</t>
  </si>
  <si>
    <t>Jicui Xiang</t>
  </si>
  <si>
    <t>Jicun Zhen</t>
  </si>
  <si>
    <t>Jidian Xiang</t>
  </si>
  <si>
    <t>Jiechou Xiang</t>
  </si>
  <si>
    <t>Jiecun Xiang</t>
  </si>
  <si>
    <t>Jiedian Zhen</t>
  </si>
  <si>
    <t>Jiedu Xiang</t>
  </si>
  <si>
    <t>Jiefanglu Jiedao</t>
  </si>
  <si>
    <t>Jiehekou Zhen</t>
  </si>
  <si>
    <t>Jieyu Xiang</t>
  </si>
  <si>
    <t>Jiezhou Zhen</t>
  </si>
  <si>
    <t>Jifeng Zhen</t>
  </si>
  <si>
    <t>Jijiazhuang Xiang</t>
  </si>
  <si>
    <t>Jinchang Zhen</t>
  </si>
  <si>
    <t>Jincheng Zhen</t>
  </si>
  <si>
    <t>Jinci Zhen</t>
  </si>
  <si>
    <t>Jincun Zhen</t>
  </si>
  <si>
    <t>Jindian Zhen</t>
  </si>
  <si>
    <t>Jingangku Xiang</t>
  </si>
  <si>
    <t>Jingfeng Xiang</t>
  </si>
  <si>
    <t>Jingji Jishu Kaifaqu</t>
  </si>
  <si>
    <t>Jingmao Xiang</t>
  </si>
  <si>
    <t>Jingping Zhen</t>
  </si>
  <si>
    <t>Jingshang Xiang</t>
  </si>
  <si>
    <t>Jingsheng Zhen</t>
  </si>
  <si>
    <t>Jingwei Jiedao</t>
  </si>
  <si>
    <t>Jingyou Zhen</t>
  </si>
  <si>
    <t>Jinhua Jiedao</t>
  </si>
  <si>
    <t>Jinhuagong Jiedao</t>
  </si>
  <si>
    <t>Jinjiazhuang Xiang</t>
  </si>
  <si>
    <t>Jinjing Xiang</t>
  </si>
  <si>
    <t>Jinlun Jiedao</t>
  </si>
  <si>
    <t>Jinluo Zhen</t>
  </si>
  <si>
    <t>Jinmiaopu Zhen</t>
  </si>
  <si>
    <t>Jinshanpu Xiang</t>
  </si>
  <si>
    <t>Jinshatan Zhen [incl. Jinshatan Linchang, Jinshatan Nongmuchang]</t>
  </si>
  <si>
    <t>Jinsheng Zhen</t>
  </si>
  <si>
    <t>Jinyuan Jiedao</t>
  </si>
  <si>
    <t>Jinzhong Jingji Kaifaqu</t>
  </si>
  <si>
    <t>Jinzhuang Zhen</t>
  </si>
  <si>
    <t>Jishi Zhen</t>
  </si>
  <si>
    <t>Jiujie Xiang</t>
  </si>
  <si>
    <t>Jiuxian Zhen (Linfen Shi)</t>
  </si>
  <si>
    <t>Jiuxian Zhen (Xinzhou Shi)</t>
  </si>
  <si>
    <t>Jiuyuanjie Jiedao [Jieyuan Xiang]</t>
  </si>
  <si>
    <t>Jiyi Xiang</t>
  </si>
  <si>
    <t>Jiyizhuang Xiang</t>
  </si>
  <si>
    <t>Jizhuang Xiang</t>
  </si>
  <si>
    <t>Jucheng Zhen</t>
  </si>
  <si>
    <t>Jule Xiang</t>
  </si>
  <si>
    <t>Julun Jiedao</t>
  </si>
  <si>
    <t>Kaifa Yuanqu Kaifaqu</t>
  </si>
  <si>
    <t>Kaifaqu (Yangquan Shi)</t>
  </si>
  <si>
    <t>Kaifaqu (Yuncheng Shi)</t>
  </si>
  <si>
    <t>Kaifaqu Jiedao</t>
  </si>
  <si>
    <t>Kaiyuan Jiedao</t>
  </si>
  <si>
    <t>Kaizha Zhen</t>
  </si>
  <si>
    <t>Kaizhang Zhen</t>
  </si>
  <si>
    <t>Kangcheng Zhen</t>
  </si>
  <si>
    <t>Kangjiahui Zhen</t>
  </si>
  <si>
    <t>Kangning Zhen</t>
  </si>
  <si>
    <t>Kangzhuang Gongye Yuanqu</t>
  </si>
  <si>
    <t>Kaolao Zhen</t>
  </si>
  <si>
    <t>Kecheng Zhen</t>
  </si>
  <si>
    <t>Kehu Zhen</t>
  </si>
  <si>
    <t>Kongshi Xiang</t>
  </si>
  <si>
    <t>Kouquan Jiedao</t>
  </si>
  <si>
    <t>Kouquan Xiang</t>
  </si>
  <si>
    <t>Kuangqu Jiedao</t>
  </si>
  <si>
    <t>Laiyuan Zhen</t>
  </si>
  <si>
    <t>Lancheng Zhen</t>
  </si>
  <si>
    <t>Lancun Xiang</t>
  </si>
  <si>
    <t>Lanshui Xiang</t>
  </si>
  <si>
    <t>Lanyi Zhen</t>
  </si>
  <si>
    <t>Lanyu Xiang</t>
  </si>
  <si>
    <t>Laodingshan Zhen</t>
  </si>
  <si>
    <t>Laojunying Jiedao</t>
  </si>
  <si>
    <t>Laopingwang Jiedao</t>
  </si>
  <si>
    <t>Laoying Zhen</t>
  </si>
  <si>
    <t>Lechang Zhen</t>
  </si>
  <si>
    <t>Leijiaqi Xiang</t>
  </si>
  <si>
    <t>Lengkou Xiang</t>
  </si>
  <si>
    <t>Leping Zhen</t>
  </si>
  <si>
    <t>Lianfu Zhen</t>
  </si>
  <si>
    <t>Liangdu Zhen</t>
  </si>
  <si>
    <t>Liangjiaping Xiang</t>
  </si>
  <si>
    <t>Liangjiayan Xiang</t>
  </si>
  <si>
    <t>Liangjiazhai Xiang</t>
  </si>
  <si>
    <t>Liangjiazhuang Xiang</t>
  </si>
  <si>
    <t>Liangma Xiang</t>
  </si>
  <si>
    <t>Liangzhuang Xiang</t>
  </si>
  <si>
    <t>Lianhuachi Jiedao</t>
  </si>
  <si>
    <t>Liaoyang Zhen</t>
  </si>
  <si>
    <t>Licao Zhen</t>
  </si>
  <si>
    <t>Lichuan Zhen</t>
  </si>
  <si>
    <t>Licun Zhen</t>
  </si>
  <si>
    <t>Lidayao Xiang</t>
  </si>
  <si>
    <t>Liebao Xiang</t>
  </si>
  <si>
    <t>Ligao Xiang</t>
  </si>
  <si>
    <t>Lihou Zhen</t>
  </si>
  <si>
    <t>Lijiagou Xiang</t>
  </si>
  <si>
    <t>Lijiaping Xiang</t>
  </si>
  <si>
    <t>Lijiawan Xiang</t>
  </si>
  <si>
    <t>Lijiazhuang Xiang</t>
  </si>
  <si>
    <t>Lijiazhuang Xiang (Jinzhong Shi)</t>
  </si>
  <si>
    <t>Lijiazhuang Xiang (Yangquan Shi)</t>
  </si>
  <si>
    <t>Limin Zhen</t>
  </si>
  <si>
    <t>Linchang Guanlichu</t>
  </si>
  <si>
    <t>Lingdi Xiang</t>
  </si>
  <si>
    <t>Lingjing Xiang</t>
  </si>
  <si>
    <t>Lingjingdian Xiang</t>
  </si>
  <si>
    <t>Lingkongshan Zhen</t>
  </si>
  <si>
    <t>Lingquan Zhen</t>
  </si>
  <si>
    <t>Linjiang Jiedao</t>
  </si>
  <si>
    <t>Linjiaping Zhen</t>
  </si>
  <si>
    <t>Linjin Zhen</t>
  </si>
  <si>
    <t>Linquan Zhen</t>
  </si>
  <si>
    <t>Linzheyu Xiang</t>
  </si>
  <si>
    <t>Lishan Zhen</t>
  </si>
  <si>
    <t>Liucun Zhen</t>
  </si>
  <si>
    <t>Liudu Xiang</t>
  </si>
  <si>
    <t>Liuhulan Zhen</t>
  </si>
  <si>
    <t>Liujiabao Xiang</t>
  </si>
  <si>
    <t>Liujiahui Zhen</t>
  </si>
  <si>
    <t>Liujiata Zhen</t>
  </si>
  <si>
    <t>Liujiayuan Zhen</t>
  </si>
  <si>
    <t>Liuke Xiang</t>
  </si>
  <si>
    <t>Liulin Zhen</t>
  </si>
  <si>
    <t>Liuquan Xiang</t>
  </si>
  <si>
    <t>Liushukou Zhen</t>
  </si>
  <si>
    <t>Liuxiang Jiedao</t>
  </si>
  <si>
    <t>Liuyu Zhen</t>
  </si>
  <si>
    <t>Liwang Xiang</t>
  </si>
  <si>
    <t>Liyang Zhen</t>
  </si>
  <si>
    <t>Liyi Zhen</t>
  </si>
  <si>
    <t>Liyuan Zhen (Changzhi Shi)</t>
  </si>
  <si>
    <t>Liyuan Zhen (Yuncheng Shi)</t>
  </si>
  <si>
    <t>Lizhai Xiang</t>
  </si>
  <si>
    <t>Lizhai Zhen</t>
  </si>
  <si>
    <t>Longfeng Zhen</t>
  </si>
  <si>
    <t>Longgang Zhen</t>
  </si>
  <si>
    <t>Longhua Zhen</t>
  </si>
  <si>
    <t>Longjiao Xiang</t>
  </si>
  <si>
    <t>Longju Zhen</t>
  </si>
  <si>
    <t>Longma Xiang</t>
  </si>
  <si>
    <t>Longquan Xiang</t>
  </si>
  <si>
    <t>Longquan Zhen (Changzhi Shi)</t>
  </si>
  <si>
    <t>Longquan Zhen (Datong Shi)</t>
  </si>
  <si>
    <t>Longquan Zhen (Linfen Shi)</t>
  </si>
  <si>
    <t>Longquan Zhen (Xinzhou Shi)</t>
  </si>
  <si>
    <t>Longxi Zhen</t>
  </si>
  <si>
    <t>Longxing Zhen</t>
  </si>
  <si>
    <t>Loubanzhai Xiang</t>
  </si>
  <si>
    <t>Loufan Zhen</t>
  </si>
  <si>
    <t>Lougou Xiang</t>
  </si>
  <si>
    <t>Louziying Zhen</t>
  </si>
  <si>
    <t>Lucheng Zhen</t>
  </si>
  <si>
    <t>Lucun Xiang</t>
  </si>
  <si>
    <t>Ludong Jiedao</t>
  </si>
  <si>
    <t>Lugu Xiang</t>
  </si>
  <si>
    <t>Luhua Jiedao</t>
  </si>
  <si>
    <t>Lujiacun Zhen</t>
  </si>
  <si>
    <t>Lujiawan Zhen</t>
  </si>
  <si>
    <t>Luocheng Jiedao</t>
  </si>
  <si>
    <t>Luocun Zhen</t>
  </si>
  <si>
    <t>Luoshuihe Xiang</t>
  </si>
  <si>
    <t>Luowenzao Zhen</t>
  </si>
  <si>
    <t>Luoyukou Zhen</t>
  </si>
  <si>
    <t>Lutai Chengqu</t>
  </si>
  <si>
    <t>Luxi Jiedao (Jinzhong Shi)</t>
  </si>
  <si>
    <t>Luxi Jiedao (Linfen Shi)</t>
  </si>
  <si>
    <t>Mabi Xiang</t>
  </si>
  <si>
    <t>Machang Zhen</t>
  </si>
  <si>
    <t>Macun Zhen</t>
  </si>
  <si>
    <t>Madaotou Xiang</t>
  </si>
  <si>
    <t>Madihui Xiang</t>
  </si>
  <si>
    <t>Mafang Xiang</t>
  </si>
  <si>
    <t>Mafang Zhen</t>
  </si>
  <si>
    <t>Magedang Xiang</t>
  </si>
  <si>
    <t>Mahe Xiang</t>
  </si>
  <si>
    <t>Majiazao Xiang</t>
  </si>
  <si>
    <t>Majiazhuang Xiang</t>
  </si>
  <si>
    <t>Majiliang Jiedao</t>
  </si>
  <si>
    <t>Majunying Xiang</t>
  </si>
  <si>
    <t>Makou Jiedao</t>
  </si>
  <si>
    <t>Malan Zhen</t>
  </si>
  <si>
    <t>Manghe Zhen</t>
  </si>
  <si>
    <t>Maojiawan Zhen</t>
  </si>
  <si>
    <t>Maojiazao Zhen</t>
  </si>
  <si>
    <t>Mashou Xiang</t>
  </si>
  <si>
    <t>Matian Zhen</t>
  </si>
  <si>
    <t>Matoushui Xiang</t>
  </si>
  <si>
    <t>Maxi Xiang</t>
  </si>
  <si>
    <t>Maxinzhuang Xiang</t>
  </si>
  <si>
    <t>Maying Xiang</t>
  </si>
  <si>
    <t>Mayingzhuang Xiang</t>
  </si>
  <si>
    <t>Mayu Xiang</t>
  </si>
  <si>
    <t>Meiyang Zhen</t>
  </si>
  <si>
    <t>Meiyukou Jiedao</t>
  </si>
  <si>
    <t>Mengfeng Zhen</t>
  </si>
  <si>
    <t>Mengjiaping Xiang</t>
  </si>
  <si>
    <t>Mengmen Zhen</t>
  </si>
  <si>
    <t>Mengshan Xiang</t>
  </si>
  <si>
    <t>Menxianshi Xiang</t>
  </si>
  <si>
    <t>Mianshan Zhen</t>
  </si>
  <si>
    <t>Miaoqian Jiedao</t>
  </si>
  <si>
    <t>Miaoqian Zhen</t>
  </si>
  <si>
    <t>Miaoshang Xiang</t>
  </si>
  <si>
    <t>Miaowan Xiang</t>
  </si>
  <si>
    <t>Miaozhuang Zhen</t>
  </si>
  <si>
    <t>Mijiayuan Xiang</t>
  </si>
  <si>
    <t>Mingjiang Zhen</t>
  </si>
  <si>
    <t>Mingxing Zhen</t>
  </si>
  <si>
    <t>Minsheng Jiedao</t>
  </si>
  <si>
    <t>Minying Qu (Yingze Qu)</t>
  </si>
  <si>
    <t>Minying Qu (Xinghualing Qu)</t>
  </si>
  <si>
    <t>Mishan Zhen</t>
  </si>
  <si>
    <t>Mixinguan Zhen</t>
  </si>
  <si>
    <t>Miyuzhen Xiang</t>
  </si>
  <si>
    <t>Modeng Xiang</t>
  </si>
  <si>
    <t>Moli Zhen</t>
  </si>
  <si>
    <t>Monan Zhen</t>
  </si>
  <si>
    <t>Mucun Zhen</t>
  </si>
  <si>
    <t>Muguaping Xiang</t>
  </si>
  <si>
    <t>Nan'an Zhen</t>
  </si>
  <si>
    <t>Nanbai Xiang</t>
  </si>
  <si>
    <t>Nanbaozi Xiang</t>
  </si>
  <si>
    <t>Nanchen Xiang</t>
  </si>
  <si>
    <t>Nancheng Jiedao (Jincheng Shi)</t>
  </si>
  <si>
    <t>Nancheng Jiedao (Shuozhou Shi)</t>
  </si>
  <si>
    <t>Nancheng Jiedao (Xinzhou Shi)</t>
  </si>
  <si>
    <t>Nancheng Jiedao (Yuncheng Shi)</t>
  </si>
  <si>
    <t>Nancun Zhen (Datong Shi)</t>
  </si>
  <si>
    <t>Nancun Zhen (Jincheng Shi)</t>
  </si>
  <si>
    <t>Nandali Xiang</t>
  </si>
  <si>
    <t>Nanfan Zhen</t>
  </si>
  <si>
    <t>Nangaoya Xiang</t>
  </si>
  <si>
    <t>Nanguan Jiedao</t>
  </si>
  <si>
    <t>Nanguan Zhen</t>
  </si>
  <si>
    <t>Nanhan Jiedao</t>
  </si>
  <si>
    <t>Nanhebao Xiang</t>
  </si>
  <si>
    <t>Nanhegou Xiang</t>
  </si>
  <si>
    <t>Nanhezhong Zhen</t>
  </si>
  <si>
    <t>Nanhuanlu Jiedao</t>
  </si>
  <si>
    <t>Nanjia Zhen</t>
  </si>
  <si>
    <t>Nanjie Jiedao (Datong Shi)</t>
  </si>
  <si>
    <t>Nanjie Jiedao (Jincheng Shi)</t>
  </si>
  <si>
    <t>Nanjie Jiedao (Linfen Shi)</t>
  </si>
  <si>
    <t>Nanli Xiang</t>
  </si>
  <si>
    <t>Nanliang Zhen</t>
  </si>
  <si>
    <t>Nanling Xiang</t>
  </si>
  <si>
    <t>Nanlou Zhen</t>
  </si>
  <si>
    <t>Nanquan Xiang (Changzhi Shi)</t>
  </si>
  <si>
    <t>Nanquan Xiang (Shuozhou Shi)</t>
  </si>
  <si>
    <t>Nanshanlu Jiedao</t>
  </si>
  <si>
    <t>Nansong Xiang</t>
  </si>
  <si>
    <t>Nantang Xiang</t>
  </si>
  <si>
    <t>Nanwang Xiang</t>
  </si>
  <si>
    <t>Nanwei Zhen</t>
  </si>
  <si>
    <t>Nanwu Xiang</t>
  </si>
  <si>
    <t>Nanxindian Xiang</t>
  </si>
  <si>
    <t>Nanyang Xiang</t>
  </si>
  <si>
    <t>Nanyanzhu Zhen</t>
  </si>
  <si>
    <t>Nanyuan Xiang</t>
  </si>
  <si>
    <t>Nanyulin Xiang (Datong Shi)</t>
  </si>
  <si>
    <t>Nanyulin Xiang (Shuozhou Shi)</t>
  </si>
  <si>
    <t>Nanzhai Jiedao</t>
  </si>
  <si>
    <t>Nanzhang Xiang</t>
  </si>
  <si>
    <t>Nanzhang Zhen</t>
  </si>
  <si>
    <t>Nanzheng Xiang</t>
  </si>
  <si>
    <t>Nanzhuang Xiang</t>
  </si>
  <si>
    <t>Nanzhuang Zhen</t>
  </si>
  <si>
    <t>Niangziguan Zhen</t>
  </si>
  <si>
    <t>Niangzishen Xiang</t>
  </si>
  <si>
    <t>Nianzhang Xiang</t>
  </si>
  <si>
    <t>Nianzhang Zhen</t>
  </si>
  <si>
    <t>Nieying Zhen</t>
  </si>
  <si>
    <t>Ninggu Zhen</t>
  </si>
  <si>
    <t>Ningxiang Zhen</t>
  </si>
  <si>
    <t>Nitun Zhen</t>
  </si>
  <si>
    <t>Niuchuan Xiang</t>
  </si>
  <si>
    <t>Niucun Zhen</t>
  </si>
  <si>
    <t>Niudu Zhen</t>
  </si>
  <si>
    <t>Niusi Xiang</t>
  </si>
  <si>
    <t>Niuxinbao Xiang</t>
  </si>
  <si>
    <t>Nuanquan Zhen</t>
  </si>
  <si>
    <t>Pangquangou Zhen</t>
  </si>
  <si>
    <t>Panlong Zhen</t>
  </si>
  <si>
    <t>Peicun Xiang</t>
  </si>
  <si>
    <t>Peigou Xiang</t>
  </si>
  <si>
    <t>Peijie Zhen</t>
  </si>
  <si>
    <t>Peishe Xiang</t>
  </si>
  <si>
    <t>Peizhuang Zhen</t>
  </si>
  <si>
    <t>Pingcheng Zhen</t>
  </si>
  <si>
    <t>Pingquanlu Jiedao</t>
  </si>
  <si>
    <t>Pingshu Xiang</t>
  </si>
  <si>
    <t>Pingsong Xiang</t>
  </si>
  <si>
    <t>Pingtan Zhen</t>
  </si>
  <si>
    <t>Pingtanjie Jiedao</t>
  </si>
  <si>
    <t>Pingtou Xiang</t>
  </si>
  <si>
    <t>Pingtou Zhen</t>
  </si>
  <si>
    <t>Pingwang Xiang</t>
  </si>
  <si>
    <t>Pingxingguan Zhen [Hengjian Xiang]</t>
  </si>
  <si>
    <t>Pingyanglu Jiedao</t>
  </si>
  <si>
    <t>Podi Jiedao</t>
  </si>
  <si>
    <t>Podi Xiang</t>
  </si>
  <si>
    <t>Polubao Xiang</t>
  </si>
  <si>
    <t>Potou Xiang</t>
  </si>
  <si>
    <t>Pucheng Zhen</t>
  </si>
  <si>
    <t>Puming Zhen</t>
  </si>
  <si>
    <t>Puzhang Xiang</t>
  </si>
  <si>
    <t>Puzhou Zhen</t>
  </si>
  <si>
    <t>Qianchuan Xiang</t>
  </si>
  <si>
    <t>Qianfeng Jiedao</t>
  </si>
  <si>
    <t>Qianfoling Xiang</t>
  </si>
  <si>
    <t>Qiansuo Xiang</t>
  </si>
  <si>
    <t>Qiaodong Jiedao</t>
  </si>
  <si>
    <t>Qiaojiawan Xiang</t>
  </si>
  <si>
    <t>Qiaoli Zhen</t>
  </si>
  <si>
    <t>Qiaoshang Zhen</t>
  </si>
  <si>
    <t>Qiaoshang Zhen [Qiaoshang Xiang]</t>
  </si>
  <si>
    <t>Qiaotou Jiedao</t>
  </si>
  <si>
    <t>Qiaotou Zhen</t>
  </si>
  <si>
    <t>Qicun Zhen</t>
  </si>
  <si>
    <t>Qiji Zhen</t>
  </si>
  <si>
    <t>Qijiahe Xiang</t>
  </si>
  <si>
    <t>Qikou Zhen</t>
  </si>
  <si>
    <t>Qinchi Zhen</t>
  </si>
  <si>
    <t>Qingcheng Zhen</t>
  </si>
  <si>
    <t>Qingciyao Jiedao</t>
  </si>
  <si>
    <t>Qingciyao Xiang</t>
  </si>
  <si>
    <t>Qinghe Zhen</t>
  </si>
  <si>
    <t>Qingjian Jiedao</t>
  </si>
  <si>
    <t>Qingliangsi Xiang</t>
  </si>
  <si>
    <t>Qingtou Zhen</t>
  </si>
  <si>
    <t>Qingxiang Zhen</t>
  </si>
  <si>
    <t>Qingyang Zhen</t>
  </si>
  <si>
    <t>Qingyuan Zhen</t>
  </si>
  <si>
    <t>Qinhe Xiang</t>
  </si>
  <si>
    <t>Qinhe Zhen</t>
  </si>
  <si>
    <t>Qinjiazhuang Xiang</t>
  </si>
  <si>
    <t>Qinquan Zhen</t>
  </si>
  <si>
    <t>Quanzhang Zhen</t>
  </si>
  <si>
    <t>Qucun Zhen</t>
  </si>
  <si>
    <t>Qu'e Zhen</t>
  </si>
  <si>
    <t>Que'ershan Zhen</t>
  </si>
  <si>
    <t>Quting Zhen</t>
  </si>
  <si>
    <t>Quyu Zhen</t>
  </si>
  <si>
    <t>Rencun Xiang</t>
  </si>
  <si>
    <t>Ronghe Zhen</t>
  </si>
  <si>
    <t>Rucun Xiang</t>
  </si>
  <si>
    <t>Runcheng Zhen</t>
  </si>
  <si>
    <t>Saiyu Jiedao</t>
  </si>
  <si>
    <t>Salipu Xiang</t>
  </si>
  <si>
    <t>Sancha Zhen</t>
  </si>
  <si>
    <t>Sandu Xiang</t>
  </si>
  <si>
    <t>Sanduo Xiang</t>
  </si>
  <si>
    <t>Sangbi Zhen</t>
  </si>
  <si>
    <t>Sanguan Zhen</t>
  </si>
  <si>
    <t>Sanjia Xiang</t>
  </si>
  <si>
    <t>Sanjia Zhen</t>
  </si>
  <si>
    <t>Sanjiao Xiang</t>
  </si>
  <si>
    <t>Sanjiao Zhen (Lin Xian)</t>
  </si>
  <si>
    <t>Sanjiao Zhen (Liulin Xian)</t>
  </si>
  <si>
    <t>Sanjiao Zhen (Xinzhou Shi)</t>
  </si>
  <si>
    <t>Sanjing Zhen</t>
  </si>
  <si>
    <t>Sanluli Zhen</t>
  </si>
  <si>
    <t>Sanmen Zhen</t>
  </si>
  <si>
    <t>Sanqiao Jiedao</t>
  </si>
  <si>
    <t>Sanquan Zhen (Luliang Shi)</t>
  </si>
  <si>
    <t>Sanquan Zhen (Yuncheng Shi)</t>
  </si>
  <si>
    <t>Santun Xiang</t>
  </si>
  <si>
    <t>Senglou Zhen</t>
  </si>
  <si>
    <t>Sengnian Zhen</t>
  </si>
  <si>
    <t>Setou Zhen</t>
  </si>
  <si>
    <t>Shagetuo Zhen</t>
  </si>
  <si>
    <t>Shahe Zhen</t>
  </si>
  <si>
    <t>Shalenghe Xiang</t>
  </si>
  <si>
    <t>Shanfu Xiang</t>
  </si>
  <si>
    <t>Shangcun Zhen</t>
  </si>
  <si>
    <t>Shangguan Zhen</t>
  </si>
  <si>
    <t>Shangguo Xiang</t>
  </si>
  <si>
    <t>Shanghu Xiang</t>
  </si>
  <si>
    <t>Shanglan Jiedao</t>
  </si>
  <si>
    <t>Shanglian Kaifaqu</t>
  </si>
  <si>
    <t>Shangma Jiedao</t>
  </si>
  <si>
    <t>Shangma Xiang</t>
  </si>
  <si>
    <t>Shangming Xiang</t>
  </si>
  <si>
    <t>Shangmofang Xiang [Mofang Xiang]</t>
  </si>
  <si>
    <t>Shangshe Zhen</t>
  </si>
  <si>
    <t>Shangshenjian Xiang</t>
  </si>
  <si>
    <t>Shangsi Xiang</t>
  </si>
  <si>
    <t>Shangwang Xiang</t>
  </si>
  <si>
    <t>Shangyao Zhen</t>
  </si>
  <si>
    <t>Shangyu Xiang</t>
  </si>
  <si>
    <t>Shangzhai Zhen</t>
  </si>
  <si>
    <t>Shangzhan Jiedao</t>
  </si>
  <si>
    <t>Shanhe Zhen</t>
  </si>
  <si>
    <t>Shantou Xiang</t>
  </si>
  <si>
    <t>Shanxi Jiangxian Jingji Kaifaqu [Shanxi Yixian Economic Development Zone]</t>
  </si>
  <si>
    <t>Shanxi Luchang</t>
  </si>
  <si>
    <t>Shanxi Luneng Jinbei Luye Gongkuangqu [Shanxi Luneng Jinbei Aluminum Industry and Mining Area]</t>
  </si>
  <si>
    <t>Shanyinnong Muchang</t>
  </si>
  <si>
    <t>Shanzhong Xiang</t>
  </si>
  <si>
    <t>Shaping Jiedao</t>
  </si>
  <si>
    <t>Shaping Xiang</t>
  </si>
  <si>
    <t>Shaquan Zhen</t>
  </si>
  <si>
    <t>Shecheng Zhen</t>
  </si>
  <si>
    <t>Sheke Xiang</t>
  </si>
  <si>
    <t>Sheliang Xiang</t>
  </si>
  <si>
    <t>Shenbai Xiang</t>
  </si>
  <si>
    <t>Shengrenjian Zhen</t>
  </si>
  <si>
    <t>Shengxihu Jiedao [Dongxu Jiedao]</t>
  </si>
  <si>
    <t>Shennong Zhen</t>
  </si>
  <si>
    <t>Shenshan Xiang</t>
  </si>
  <si>
    <t>Shentangbao Xiang</t>
  </si>
  <si>
    <t>Shentanggou Jiedao</t>
  </si>
  <si>
    <t>Shentangping Xiang</t>
  </si>
  <si>
    <t>Shentou Jiedao</t>
  </si>
  <si>
    <t>Shentou Zhen</t>
  </si>
  <si>
    <t>Shenxi Xiang</t>
  </si>
  <si>
    <t>Shenyugou Xiang</t>
  </si>
  <si>
    <t>Shequ Guanli Weiyuanhui</t>
  </si>
  <si>
    <t>Shequban</t>
  </si>
  <si>
    <t>Shibaitou Xiang</t>
  </si>
  <si>
    <t>Shibei Xiang</t>
  </si>
  <si>
    <t>Shibi Xiang</t>
  </si>
  <si>
    <t>Shicheng Zhen</t>
  </si>
  <si>
    <t>Shicun Zhen</t>
  </si>
  <si>
    <t>Shihui Zhen</t>
  </si>
  <si>
    <t>Shijiatian Xiang</t>
  </si>
  <si>
    <t>Shijiazhuang Zhen</t>
  </si>
  <si>
    <t>Shiju Xiang</t>
  </si>
  <si>
    <t>Shikou Xiang</t>
  </si>
  <si>
    <t>Shili Xiang</t>
  </si>
  <si>
    <t>Shimen Xiang</t>
  </si>
  <si>
    <t>Shimenkou Xiang</t>
  </si>
  <si>
    <t>Shimo Xiang</t>
  </si>
  <si>
    <t>Shipo Xiang</t>
  </si>
  <si>
    <t>Shitie Zhen</t>
  </si>
  <si>
    <t>Shixi Xiang</t>
  </si>
  <si>
    <t>Shixia Xiang</t>
  </si>
  <si>
    <t>Shizhe Zhen</t>
  </si>
  <si>
    <t>Shizhuang Xiang</t>
  </si>
  <si>
    <t>Shizhuang Zhen</t>
  </si>
  <si>
    <t>Shizitun Xiang</t>
  </si>
  <si>
    <t>Shoulu Xiang</t>
  </si>
  <si>
    <t>Shuangchi Zhen</t>
  </si>
  <si>
    <t>Shuanghe Xiang</t>
  </si>
  <si>
    <t>Shuanglu Xiang</t>
  </si>
  <si>
    <t>Shuangnian Xiang</t>
  </si>
  <si>
    <t>Shuibosi Xiang</t>
  </si>
  <si>
    <t>Shuiquan Zhen</t>
  </si>
  <si>
    <t>Shuitajie Jiedao</t>
  </si>
  <si>
    <t>Shuitou Zhen (Luliang Shi)</t>
  </si>
  <si>
    <t>Shuitou Zhen (Yuncheng Shi)</t>
  </si>
  <si>
    <t>Shuixiu Xiang</t>
  </si>
  <si>
    <t>Shuiyao Xiang</t>
  </si>
  <si>
    <t>Shuiyuguan Xiang</t>
  </si>
  <si>
    <t>Shuiyuguan Zhen</t>
  </si>
  <si>
    <t>Shunhui Xiang</t>
  </si>
  <si>
    <t>Shuozhou Shi Kaifaqu Guanweihui [Shuozhou Development Zone]</t>
  </si>
  <si>
    <t>Shuzhang Zhen</t>
  </si>
  <si>
    <t>Sijiao Zhen</t>
  </si>
  <si>
    <t>Silaogou Jiedao</t>
  </si>
  <si>
    <t>Sitaigou Jiedao</t>
  </si>
  <si>
    <t>Sitou Xiang</t>
  </si>
  <si>
    <t>Sizhuang Zhen</t>
  </si>
  <si>
    <t>Songcun Xiang</t>
  </si>
  <si>
    <t>Songgu Xiang</t>
  </si>
  <si>
    <t>Songjiagou Xiang</t>
  </si>
  <si>
    <t>Songta Zhen</t>
  </si>
  <si>
    <t>Songyan Zhen</t>
  </si>
  <si>
    <t>Subao Zhen</t>
  </si>
  <si>
    <t>Sucheng Xiang</t>
  </si>
  <si>
    <t>Sudian Zhen</t>
  </si>
  <si>
    <t>Sulongkou Zhen</t>
  </si>
  <si>
    <t>Sunji Zhen</t>
  </si>
  <si>
    <t>Sunjiagou Xiang</t>
  </si>
  <si>
    <t>Sunjiaping Xiang</t>
  </si>
  <si>
    <t>Sunjiazhuang Zhen</t>
  </si>
  <si>
    <t>Suohuang Zhen</t>
  </si>
  <si>
    <t>Suopo Xiang</t>
  </si>
  <si>
    <t>Suoyu Xiang</t>
  </si>
  <si>
    <t>Suzhuang Xiang</t>
  </si>
  <si>
    <t>Taicheng Zhen</t>
  </si>
  <si>
    <t>Taide Xiang</t>
  </si>
  <si>
    <t>Taigu Xiang</t>
  </si>
  <si>
    <t>Taiheqiao Jiedao</t>
  </si>
  <si>
    <t>Taihuai Zhen</t>
  </si>
  <si>
    <t>Tailin Xiang</t>
  </si>
  <si>
    <t>Taipingzhuang Xiang</t>
  </si>
  <si>
    <t>Taitou Zhen</t>
  </si>
  <si>
    <t>Taixing Dongjie Jiedao</t>
  </si>
  <si>
    <t>Taixing Xijie Jiedao</t>
  </si>
  <si>
    <t>Taiyang Xiang</t>
  </si>
  <si>
    <t>Taiyuan Gaoxin Jishu Chanye Kaifaqu [Taiyuan High-tech Industrial Development Zone]</t>
  </si>
  <si>
    <t>Taiyuan Jingji Jishu Kaifaqu [Taiyuan Economic and Technological Development Zone]</t>
  </si>
  <si>
    <t>Tangcheng Zhen</t>
  </si>
  <si>
    <t>Tang'ershang Xiang</t>
  </si>
  <si>
    <t>Tangxing Zhen</t>
  </si>
  <si>
    <t>Tanshang Zhen</t>
  </si>
  <si>
    <t>Tanzhen Xiang</t>
  </si>
  <si>
    <t>Taocun Xiang</t>
  </si>
  <si>
    <t>Taocun Zhen</t>
  </si>
  <si>
    <t>Taohongpo Zhen</t>
  </si>
  <si>
    <t>Taosi Xiang</t>
  </si>
  <si>
    <t>Taotangyu Xiang</t>
  </si>
  <si>
    <t>Taoyuan Jiedao</t>
  </si>
  <si>
    <t>Tianchidian Xiang</t>
  </si>
  <si>
    <t>Tianfengping Zhen</t>
  </si>
  <si>
    <t>Tianjiahui Jiedao</t>
  </si>
  <si>
    <t>Tianning Zhen</t>
  </si>
  <si>
    <t>Tiantan Zhen</t>
  </si>
  <si>
    <t>Tieludong Jiedao</t>
  </si>
  <si>
    <t>Tinghepu Xiang</t>
  </si>
  <si>
    <t>Tongcheng Zhen</t>
  </si>
  <si>
    <t>Tonghua Zhen</t>
  </si>
  <si>
    <t>Tongjialiang Jiedao</t>
  </si>
  <si>
    <t>Tongyu Zhen</t>
  </si>
  <si>
    <t>Tuanbai Xiang</t>
  </si>
  <si>
    <t>Tuanshuitou Zhen</t>
  </si>
  <si>
    <t>Tuban Zhen</t>
  </si>
  <si>
    <t>Tugou Xiang</t>
  </si>
  <si>
    <t>Tuisha Jiedao</t>
  </si>
  <si>
    <t>Tumen Zhen</t>
  </si>
  <si>
    <t>Tunlan Jiedao</t>
  </si>
  <si>
    <t>Tunli Zhen (Yaodu Qu)</t>
  </si>
  <si>
    <t>Tunli Zhen (Ji Xian)</t>
  </si>
  <si>
    <t>Tuofeng Xiang</t>
  </si>
  <si>
    <t>Tuwo Xiang</t>
  </si>
  <si>
    <t>Tuyata Xiang</t>
  </si>
  <si>
    <t>Tuyu Xiang</t>
  </si>
  <si>
    <t>Wadi Zhen [Fandi Zhen]</t>
  </si>
  <si>
    <t>Wajinwan Jiedao</t>
  </si>
  <si>
    <t>Wan'an Zhen (Linfen Shi)</t>
  </si>
  <si>
    <t>Wan'an Zhen (Yuncheng Shi)</t>
  </si>
  <si>
    <t>Wanbolin Jiedao</t>
  </si>
  <si>
    <t>Wangcun Jiedao</t>
  </si>
  <si>
    <t>Wangcun Xiang</t>
  </si>
  <si>
    <t>Wangcun Zhen</t>
  </si>
  <si>
    <t>Wangda Xiang</t>
  </si>
  <si>
    <t>Wangfan Xiang</t>
  </si>
  <si>
    <t>Wangfeng Xiang</t>
  </si>
  <si>
    <t>Wangguantun Zhen</t>
  </si>
  <si>
    <t>Wanghe Zhen</t>
  </si>
  <si>
    <t>Wanghu Xiang</t>
  </si>
  <si>
    <t>Wangjiacha Xiang</t>
  </si>
  <si>
    <t>Wangjiagou Xiang</t>
  </si>
  <si>
    <t>Wangjiazhuang Xiang</t>
  </si>
  <si>
    <t>Wangmao Zhen</t>
  </si>
  <si>
    <t>Wangqiao Zhen</t>
  </si>
  <si>
    <t>Wangshi Xiang</t>
  </si>
  <si>
    <t>Wangtao Zhen</t>
  </si>
  <si>
    <t>Wangxian Xiang</t>
  </si>
  <si>
    <t>Wangyu Xiang</t>
  </si>
  <si>
    <t>Wangzhuang Xiang</t>
  </si>
  <si>
    <t>Wangzhuangbao Zhen</t>
  </si>
  <si>
    <t>Wanjiazhai Zhen</t>
  </si>
  <si>
    <t>Wanquan Xiang</t>
  </si>
  <si>
    <t>Watang Zhen</t>
  </si>
  <si>
    <t>Weicun Zhen</t>
  </si>
  <si>
    <t>Weiguo Xiang</t>
  </si>
  <si>
    <t>Weijiatan Zhen</t>
  </si>
  <si>
    <t>Weima Xiang</t>
  </si>
  <si>
    <t>Weiyuan Zhen</t>
  </si>
  <si>
    <t>Weizhuang Xiang</t>
  </si>
  <si>
    <t>Weizhuang Zhen</t>
  </si>
  <si>
    <t>Weizi Zhen</t>
  </si>
  <si>
    <t>Wenbi Zhen</t>
  </si>
  <si>
    <t>Wencheng Xiang</t>
  </si>
  <si>
    <t>Wenfeng Jiedao</t>
  </si>
  <si>
    <t>Wenjiazhuang Xiang</t>
  </si>
  <si>
    <t>Wenmiao Jiedao</t>
  </si>
  <si>
    <t>Wenquan Xiang (Luliang Shi)</t>
  </si>
  <si>
    <t>Wenquan Xiang (Xinzhou Shi)</t>
  </si>
  <si>
    <t>Wucheng Jiedao</t>
  </si>
  <si>
    <t>Wucheng Xiang</t>
  </si>
  <si>
    <t>Wucheng Zhen</t>
  </si>
  <si>
    <t>Wucun Zhen</t>
  </si>
  <si>
    <t>Wujiayao Zhen</t>
  </si>
  <si>
    <t>Wujiazhuang Zhen</t>
  </si>
  <si>
    <t>Wujinshan Zhen</t>
  </si>
  <si>
    <t>Wuling Zhen</t>
  </si>
  <si>
    <t>Wulongshan Xiang</t>
  </si>
  <si>
    <t>Wuma Jiedao</t>
  </si>
  <si>
    <t>Wumaying Xiang</t>
  </si>
  <si>
    <t>Wutong Zhen</t>
  </si>
  <si>
    <t>Wuxinghu Nongchang</t>
  </si>
  <si>
    <t>Wuyuan Zhen</t>
  </si>
  <si>
    <t>Xiabao Zhen</t>
  </si>
  <si>
    <t>Xiacun Zhen</t>
  </si>
  <si>
    <t>Xiadian Zhen</t>
  </si>
  <si>
    <t>Xiaguan Xiang</t>
  </si>
  <si>
    <t>Xiahancun Xiang</t>
  </si>
  <si>
    <t>Xiahua Xiang</t>
  </si>
  <si>
    <t>Xiajiaying Zhen [incl. Xiajiaying Shengtai Gongye Yuanqu]</t>
  </si>
  <si>
    <t>Xialaba Xiang</t>
  </si>
  <si>
    <t>Xiali Xiang</t>
  </si>
  <si>
    <t>Xialiang Zhen</t>
  </si>
  <si>
    <t>Xiamayu Xiang</t>
  </si>
  <si>
    <t>Xiamen Zhen</t>
  </si>
  <si>
    <t>Xiamiangao Xiang</t>
  </si>
  <si>
    <t>Xiamujiao Xiang</t>
  </si>
  <si>
    <t>Xiandi Zhen</t>
  </si>
  <si>
    <t>Xiangle Xiang</t>
  </si>
  <si>
    <t>Xiangling Zhen</t>
  </si>
  <si>
    <t>Xiangshuihe Zhen</t>
  </si>
  <si>
    <t>Xiangxianjie Jiedao</t>
  </si>
  <si>
    <t>Xiangyang Zhen</t>
  </si>
  <si>
    <t>Xiangyangbao Xiang</t>
  </si>
  <si>
    <t>Xiangyangli Jiedao</t>
  </si>
  <si>
    <t>Xiangyuan Xiang</t>
  </si>
  <si>
    <t>Xianren Xiang</t>
  </si>
  <si>
    <t>Xiaobai Xiang</t>
  </si>
  <si>
    <t>Xiaodian Jiedao</t>
  </si>
  <si>
    <t>Xiaofan Xiang</t>
  </si>
  <si>
    <t>Xiaohetou Zhen</t>
  </si>
  <si>
    <t>Xiaojiazhuang Zhen</t>
  </si>
  <si>
    <t>Xiaojingyu Jiedao</t>
  </si>
  <si>
    <t>Xiaojingzhuang Xiang</t>
  </si>
  <si>
    <t>Xiaoliang Xiang</t>
  </si>
  <si>
    <t>Xiaopingyi Xiang</t>
  </si>
  <si>
    <t>Xiaosuan Zhen</t>
  </si>
  <si>
    <t>Xiaoyi Zhen</t>
  </si>
  <si>
    <t>Xiaqu Zhen</t>
  </si>
  <si>
    <t>Xiaruyue Xiang</t>
  </si>
  <si>
    <t>Xiashe Xiang</t>
  </si>
  <si>
    <t>Xiashe Zhen</t>
  </si>
  <si>
    <t>Xiashenjing Xiang</t>
  </si>
  <si>
    <t>Xiashuitou Xiang</t>
  </si>
  <si>
    <t>Xiatuanbao Xiang</t>
  </si>
  <si>
    <t>Xiayuan Jiedao</t>
  </si>
  <si>
    <t>Xiazaolin Xiang</t>
  </si>
  <si>
    <t>Xiazha Xiang</t>
  </si>
  <si>
    <t>Xiazhan Jiedao</t>
  </si>
  <si>
    <t>Xibaitu Xiang</t>
  </si>
  <si>
    <t>Xibaoyu Xiang</t>
  </si>
  <si>
    <t>Xicaotou Xiang</t>
  </si>
  <si>
    <t>Xicheng</t>
  </si>
  <si>
    <t>Xicheng Guanli Weiyuanhui</t>
  </si>
  <si>
    <t>Xicheng Jiedao</t>
  </si>
  <si>
    <t>Xicheng Xiang</t>
  </si>
  <si>
    <t>Xichi Xiang</t>
  </si>
  <si>
    <t>Xicun Xiang (Datong Shi)</t>
  </si>
  <si>
    <t>Xicun Xiang (Yuncheng Shi)</t>
  </si>
  <si>
    <t>Xifangcheng Zhen</t>
  </si>
  <si>
    <t>Xigou Xiang</t>
  </si>
  <si>
    <t>Xigu Xiang</t>
  </si>
  <si>
    <t>Xiguan Jiedao</t>
  </si>
  <si>
    <t>Xihanling Xiang</t>
  </si>
  <si>
    <t>Xihe Xiang (Jincheng Shi)</t>
  </si>
  <si>
    <t>Xihe Xiang (Luliang Shi)</t>
  </si>
  <si>
    <t>Xihedi Zhen</t>
  </si>
  <si>
    <t>Xihuayuan Jiedao</t>
  </si>
  <si>
    <t>Xihuo Zhen [incl. Zhenxing Xinqu]</t>
  </si>
  <si>
    <t>Xijia Xiang (Changzhi Shi)</t>
  </si>
  <si>
    <t>Xijia Xiang (Linfen Shi)</t>
  </si>
  <si>
    <t>Xijiaokou Xiang</t>
  </si>
  <si>
    <t>Xijie</t>
  </si>
  <si>
    <t>Xijie Jiedao (Changzhi Shi)</t>
  </si>
  <si>
    <t>Xijie Jiedao (Datong Shi)</t>
  </si>
  <si>
    <t>Xijie Jiedao (Jincheng Shi)</t>
  </si>
  <si>
    <t>Xijing Zhen</t>
  </si>
  <si>
    <t>Xilingjing Xiang</t>
  </si>
  <si>
    <t>Xiliucun Xiang</t>
  </si>
  <si>
    <t>Xiliuzhai Kaifaqu</t>
  </si>
  <si>
    <t>Xiliuzhi Xiang</t>
  </si>
  <si>
    <t>Xiluo Zhen</t>
  </si>
  <si>
    <t>Xima Xiang</t>
  </si>
  <si>
    <t>Ximafang Xiang</t>
  </si>
  <si>
    <t>Ximing Jiedao</t>
  </si>
  <si>
    <t>Ximo Zhen</t>
  </si>
  <si>
    <t>Xinan Jiedao (Yuci Qu)</t>
  </si>
  <si>
    <t>Xinan Jiedao (Jiexiu Shi)</t>
  </si>
  <si>
    <t>Xin'anquan Zhen</t>
  </si>
  <si>
    <t>Xinanyu Xiang</t>
  </si>
  <si>
    <t>Xinbao Xiang</t>
  </si>
  <si>
    <t>Xincheng Jiedao</t>
  </si>
  <si>
    <t>Xincheng Zhen (Linfen Shi)</t>
  </si>
  <si>
    <t>Xincheng Zhen (Shuozhou Shi)</t>
  </si>
  <si>
    <t>Xincheng Zhen (Yuncheng Shi)</t>
  </si>
  <si>
    <t>Xincun Xiang (Linfen Shi)</t>
  </si>
  <si>
    <t>Xincun Xiang (Xinzhou Shi)</t>
  </si>
  <si>
    <t>Xindian Zhen</t>
  </si>
  <si>
    <t>Xingao Xiang</t>
  </si>
  <si>
    <t>Xingcheng Zhen</t>
  </si>
  <si>
    <t>Xing'ergou Jiedao</t>
  </si>
  <si>
    <t>Xinghua Jiedao</t>
  </si>
  <si>
    <t>Xinghuacun Zhen</t>
  </si>
  <si>
    <t>Xinghualing Jiedao</t>
  </si>
  <si>
    <t>Xingjiashe Xiang</t>
  </si>
  <si>
    <t>Xingjiayao Xiang</t>
  </si>
  <si>
    <t>Xinglingzi Xiang</t>
  </si>
  <si>
    <t>Xingtangsi Xiang</t>
  </si>
  <si>
    <t>Xinguan Zhen</t>
  </si>
  <si>
    <t>Xinguan Zhen [Qianshan Xiang]</t>
  </si>
  <si>
    <t>Xingyuan Xiang</t>
  </si>
  <si>
    <t>Xingzhai Xiang</t>
  </si>
  <si>
    <t>Xinhua Jiedao</t>
  </si>
  <si>
    <t>Xinhuajie Jiedao</t>
  </si>
  <si>
    <t>Xinjian Beilu Jiedao</t>
  </si>
  <si>
    <t>Xinjian Jiedao</t>
  </si>
  <si>
    <t>Xinjian Nanlu Jiedao</t>
  </si>
  <si>
    <t>Xinjiang Xian Meihua Yuanqu Guanweihui [Xinhua County Coal Chemical Industry Park]</t>
  </si>
  <si>
    <t>Xinjianlu Jiedao</t>
  </si>
  <si>
    <t>Xinjiayuan Xiang</t>
  </si>
  <si>
    <t>Xinpingbao Zhen</t>
  </si>
  <si>
    <t>Xinpingwang Jiedao</t>
  </si>
  <si>
    <t>Xinquanlu Jiedao</t>
  </si>
  <si>
    <t>Xinrong Qu Jedao Guanli Zhongxin</t>
  </si>
  <si>
    <t>Xinrong Zhen</t>
  </si>
  <si>
    <t>Xinsheng Jiedao</t>
  </si>
  <si>
    <t>Xinshui Zhen</t>
  </si>
  <si>
    <t>Xinsijie Jiedao</t>
  </si>
  <si>
    <t>Xintian Xiang</t>
  </si>
  <si>
    <t>Xinwang Xiang</t>
  </si>
  <si>
    <t>Xinyi Jiedao</t>
  </si>
  <si>
    <t>Xinyi Zhen</t>
  </si>
  <si>
    <t>Xinyuan Xiang</t>
  </si>
  <si>
    <t>Xinzhai Xiang</t>
  </si>
  <si>
    <t>Xinzhi Zhen</t>
  </si>
  <si>
    <t>Xinzhouyao Jiedao</t>
  </si>
  <si>
    <t>Xipan Xiang</t>
  </si>
  <si>
    <t>Xiping Zhen</t>
  </si>
  <si>
    <t>Xipo Zhen</t>
  </si>
  <si>
    <t>Xiqu Jiedao</t>
  </si>
  <si>
    <t>Xishangzhuang Jiedao</t>
  </si>
  <si>
    <t>Xishe Zhen (Luliang Shi)</t>
  </si>
  <si>
    <t>Xishe Zhen (Yuncheng Shi)</t>
  </si>
  <si>
    <t>Xishuba Jiedao</t>
  </si>
  <si>
    <t>Xishuijie Xiang</t>
  </si>
  <si>
    <t>Xiurong Jiedao</t>
  </si>
  <si>
    <t>Xiushui Zhen</t>
  </si>
  <si>
    <t>Xiuwen Zhen</t>
  </si>
  <si>
    <t>Xiwenzhuang Xiang</t>
  </si>
  <si>
    <t>Xiwu Xiang</t>
  </si>
  <si>
    <t>Xixinzhuang Zhen</t>
  </si>
  <si>
    <t>Xiyan Xiang</t>
  </si>
  <si>
    <t>Xiyan Zhen</t>
  </si>
  <si>
    <t>Xiying Zhen (Changzhi Shi)</t>
  </si>
  <si>
    <t>Xiying Zhen (Luliang Shi)</t>
  </si>
  <si>
    <t>Xizhai Xiang</t>
  </si>
  <si>
    <t>Xizhang Xiang</t>
  </si>
  <si>
    <t>Xizhang Zhen</t>
  </si>
  <si>
    <t>Xizhen Xiang</t>
  </si>
  <si>
    <t>Xuangang Zhen</t>
  </si>
  <si>
    <t>Xuanmei Kuangqu Jiedao</t>
  </si>
  <si>
    <t>Xubao Xiang</t>
  </si>
  <si>
    <t>Xuecun Zhen</t>
  </si>
  <si>
    <t>Xuedian Zhen</t>
  </si>
  <si>
    <t>Xueguan Zhen</t>
  </si>
  <si>
    <t>Xuejiawa Xiang</t>
  </si>
  <si>
    <t>Xuekulue Xiang</t>
  </si>
  <si>
    <t>Xuezhang Xiang</t>
  </si>
  <si>
    <t>Xugou Zhen</t>
  </si>
  <si>
    <t>Xujiaduo Xiang</t>
  </si>
  <si>
    <t>Xulaijie Jiedao [Qincheng Xiang]</t>
  </si>
  <si>
    <t>Xunzhen Zhen</t>
  </si>
  <si>
    <t>Ya'erya Xiang</t>
  </si>
  <si>
    <t>Yan'annanlu Jiedao</t>
  </si>
  <si>
    <t>Yancheng Zhen</t>
  </si>
  <si>
    <t>Yandi Xiang</t>
  </si>
  <si>
    <t>Yang'an Xiang</t>
  </si>
  <si>
    <t>Yangbai Xiang</t>
  </si>
  <si>
    <t>Yangcheng Xiang</t>
  </si>
  <si>
    <t>Yangcheng Zhen</t>
  </si>
  <si>
    <t>Yangcun Xiang</t>
  </si>
  <si>
    <t>Yangcun Zhen</t>
  </si>
  <si>
    <t>Yangfang Xiang</t>
  </si>
  <si>
    <t>Yangfangkou Meikuang</t>
  </si>
  <si>
    <t>Yangfangkou Zhen</t>
  </si>
  <si>
    <t>Yanggao Xiang</t>
  </si>
  <si>
    <t>Yangguangzhan Xiang</t>
  </si>
  <si>
    <t>Yangjiao Xiang</t>
  </si>
  <si>
    <t>Yangjiawan Zhen</t>
  </si>
  <si>
    <t>Yangjiayu Jiedao</t>
  </si>
  <si>
    <t>Yangjiazhuang Xiang</t>
  </si>
  <si>
    <t>Yangjiazhuang Zhen</t>
  </si>
  <si>
    <t>Yangmingbao Zhen</t>
  </si>
  <si>
    <t>Yangou Xiang</t>
  </si>
  <si>
    <t>Yangping Xiang</t>
  </si>
  <si>
    <t>Yangpo Xiang</t>
  </si>
  <si>
    <t>Yangqianhe Xiang</t>
  </si>
  <si>
    <t>Yangqu Zhen</t>
  </si>
  <si>
    <t>Yangquanqu Zhen</t>
  </si>
  <si>
    <t>Yangtan Xiang</t>
  </si>
  <si>
    <t>Yangtousheng Xiang</t>
  </si>
  <si>
    <t>Yangtouya Xiang</t>
  </si>
  <si>
    <t>Yangwang Zhen</t>
  </si>
  <si>
    <t>Yangxing Xiang</t>
  </si>
  <si>
    <t>Yangyi Xiang</t>
  </si>
  <si>
    <t>Yangyu Xiang</t>
  </si>
  <si>
    <t>Yanjiazhuang Gongmaoqu [Yanjiazhuang Industry and Trade Zone]</t>
  </si>
  <si>
    <t>Yanli Xiang</t>
  </si>
  <si>
    <t>Yanmenguan Zhen</t>
  </si>
  <si>
    <t>Yantou Xiang</t>
  </si>
  <si>
    <t>Yanwu Zhen</t>
  </si>
  <si>
    <t>Yanya Jiedao</t>
  </si>
  <si>
    <t>Yanzhuang Xiang</t>
  </si>
  <si>
    <t>Yanzhuang Zhen</t>
  </si>
  <si>
    <t>Yanzishan Jiedao</t>
  </si>
  <si>
    <t>Yaocun Zhen</t>
  </si>
  <si>
    <t>Yaofeng Zhen</t>
  </si>
  <si>
    <t>Yaogetai Xiang</t>
  </si>
  <si>
    <t>Yaomeng Jiedao</t>
  </si>
  <si>
    <t>Yaomiao Zhen</t>
  </si>
  <si>
    <t>Yaotou Xiang</t>
  </si>
  <si>
    <t>Yaowa Xiang</t>
  </si>
  <si>
    <t>Yaozhuang Xiang</t>
  </si>
  <si>
    <t>Yaozitou Xiang</t>
  </si>
  <si>
    <t>Yechuan Zhen</t>
  </si>
  <si>
    <t>Yetou Zhen</t>
  </si>
  <si>
    <t>Yexi Zhen</t>
  </si>
  <si>
    <t>Yi'an Zhen</t>
  </si>
  <si>
    <t>Yidie Zhen</t>
  </si>
  <si>
    <t>Yidouquan Xiang [Douquan Xiang]</t>
  </si>
  <si>
    <t>Yijing Jiedao (Taiyuan Shi)</t>
  </si>
  <si>
    <t>Yijing Jiedao (Jincheng Shi)</t>
  </si>
  <si>
    <t>Yijing Xiang</t>
  </si>
  <si>
    <t>Yijing Zhen (Xinzhou Shi)</t>
  </si>
  <si>
    <t>Yijing Zhen (Jincheng Shi)</t>
  </si>
  <si>
    <t>Yima Xiang</t>
  </si>
  <si>
    <t>Yimen Zhen</t>
  </si>
  <si>
    <t>Yincheng Zhen</t>
  </si>
  <si>
    <t>Yingpan Jiedao</t>
  </si>
  <si>
    <t>Yingwu Xiang</t>
  </si>
  <si>
    <t>Yingxin Jiedao</t>
  </si>
  <si>
    <t>Yingxiong Nanlu Jiedao</t>
  </si>
  <si>
    <t>Yingxiong Zhonglu Jiedao</t>
  </si>
  <si>
    <t>Yingyan Zhen</t>
  </si>
  <si>
    <t>Yingze Jiedao</t>
  </si>
  <si>
    <t>Yinlingzhi Zhen</t>
  </si>
  <si>
    <t>Yinying Zhen</t>
  </si>
  <si>
    <t>Yipingyuan Xiang</t>
  </si>
  <si>
    <t>Yishi Zhen</t>
  </si>
  <si>
    <t>Yitang Zhen</t>
  </si>
  <si>
    <t>Yixing Xiang</t>
  </si>
  <si>
    <t>Yixing Zhen</t>
  </si>
  <si>
    <t>Yong'an Zhen (Datong Shi)</t>
  </si>
  <si>
    <t>Yong'an Zhen (Linfen Shi)</t>
  </si>
  <si>
    <t>Yongdingzhuang Jiedao</t>
  </si>
  <si>
    <t>Yonggu Xiang</t>
  </si>
  <si>
    <t>Yongle Xiang</t>
  </si>
  <si>
    <t>Yongle Zhen</t>
  </si>
  <si>
    <t>Yonglu Xiang</t>
  </si>
  <si>
    <t>Yongquan Xiang</t>
  </si>
  <si>
    <t>Youwei Zhen</t>
  </si>
  <si>
    <t>Youzai Zhen</t>
  </si>
  <si>
    <t>Yuanbaozi Zhen</t>
  </si>
  <si>
    <t>Yuancun Xiang</t>
  </si>
  <si>
    <t>Yuanping Nongchang</t>
  </si>
  <si>
    <t>Yuanping Shi Shibaogou Meikuang Gongkuangqu [Yuanping City Shipinggou Coal Mine Industrial and Mining Area]</t>
  </si>
  <si>
    <t>Yuanxiang Xiang</t>
  </si>
  <si>
    <t>Yudaohe Zhen</t>
  </si>
  <si>
    <t>Yudu Jingji Jishu Kaifaqu [Yudu Economic and Technological Development Zone]</t>
  </si>
  <si>
    <t>Yuebi Xiang</t>
  </si>
  <si>
    <t>Yueyang Zhen</t>
  </si>
  <si>
    <t>Yufen Zhen</t>
  </si>
  <si>
    <t>Yujing Zhen</t>
  </si>
  <si>
    <t>Yukou Xiang (Jinzhong Shi)</t>
  </si>
  <si>
    <t>Yukou Xiang (Xinzhou Shi)</t>
  </si>
  <si>
    <t>Yukou Zhen</t>
  </si>
  <si>
    <t>Yuling Xiang</t>
  </si>
  <si>
    <t>Yuncheng Konggang Jingji Kaifaqu [Yuncheng Airport Economic Development Zone]</t>
  </si>
  <si>
    <t>Yuncu Zhen</t>
  </si>
  <si>
    <t>Yungang Zhen</t>
  </si>
  <si>
    <t>Yunxing Zhen</t>
  </si>
  <si>
    <t>Yunzhong Zhen</t>
  </si>
  <si>
    <t>Yunzhonglu Jiedao [Boming Zhen]</t>
  </si>
  <si>
    <t>Yuping Xiang</t>
  </si>
  <si>
    <t>Yuquan Zhen</t>
  </si>
  <si>
    <t>Yuwang Xiang</t>
  </si>
  <si>
    <t>Yuwu Zhen</t>
  </si>
  <si>
    <t>Yuxiang Nongchang</t>
  </si>
  <si>
    <t>Yuxiang Zhen</t>
  </si>
  <si>
    <t>Yuze Zhen</t>
  </si>
  <si>
    <t>Yuzhuang Xiang</t>
  </si>
  <si>
    <t>Zangzhai Xiang</t>
  </si>
  <si>
    <t>Zaolin Xiang</t>
  </si>
  <si>
    <t>Zaolin Zhen</t>
  </si>
  <si>
    <t>Zaoling Xiang</t>
  </si>
  <si>
    <t>Zezhang Zhen</t>
  </si>
  <si>
    <t>Zhaidian Zhen (Changzhi Shi)</t>
  </si>
  <si>
    <t>Zhaidian Zhen (Yuncheng Shi)</t>
  </si>
  <si>
    <t>Zhaigeta Xiang</t>
  </si>
  <si>
    <t>Zhaizi Xiang</t>
  </si>
  <si>
    <t>Zhangcaizhuang Xiang</t>
  </si>
  <si>
    <t>Zhangcun Jiedao</t>
  </si>
  <si>
    <t>Zhangcun Xiang</t>
  </si>
  <si>
    <t>Zhangcun Zhen</t>
  </si>
  <si>
    <t>Zhangdian Zhen (Changzhi Shi)</t>
  </si>
  <si>
    <t>Zhangdian Zhen (Yuncheng Shi)</t>
  </si>
  <si>
    <t>Zhangjiachang Xiang</t>
  </si>
  <si>
    <t>Zhangjiazhuang Xiang</t>
  </si>
  <si>
    <t>Zhanglan Zhen</t>
  </si>
  <si>
    <t>Zhangqing Xiang</t>
  </si>
  <si>
    <t>Zhangxihe Xiang</t>
  </si>
  <si>
    <t>Zhangying Zhen</t>
  </si>
  <si>
    <t>Zhangyuan Zhen</t>
  </si>
  <si>
    <t>Zhangzhuang Xiang</t>
  </si>
  <si>
    <t>Zhangzhuang Zhen</t>
  </si>
  <si>
    <t>Zhanshang Zhen</t>
  </si>
  <si>
    <t>Zhaobei Xiang</t>
  </si>
  <si>
    <t>Zhaobi Xiang</t>
  </si>
  <si>
    <t>Zhaocheng Zhen</t>
  </si>
  <si>
    <t>Zhaojiagou Xiang (Datong Shi)</t>
  </si>
  <si>
    <t>Zhaojiagou Xiang (Xinzhou Shi)</t>
  </si>
  <si>
    <t>Zhaojiaping Xiang</t>
  </si>
  <si>
    <t>Zhaojiazhuang Xiang</t>
  </si>
  <si>
    <t>Zhaokang Zhen</t>
  </si>
  <si>
    <t>Zhaoxian Zhen</t>
  </si>
  <si>
    <t>Zhaoyu Zhen</t>
  </si>
  <si>
    <t>Zhenchengdi Zhen</t>
  </si>
  <si>
    <t>Zhengcun Zhen</t>
  </si>
  <si>
    <t>Zhengzhuang Zhen</t>
  </si>
  <si>
    <t>Zhenhua Nanjie Jiedao</t>
  </si>
  <si>
    <t>Zhentou Xiang</t>
  </si>
  <si>
    <t>Zhenxing Jiedao</t>
  </si>
  <si>
    <t>Zhenziliang Xiang</t>
  </si>
  <si>
    <t>Zhigong Xinjie Jiedao</t>
  </si>
  <si>
    <t>Zhihe Zhen</t>
  </si>
  <si>
    <t>Zhike Zhen</t>
  </si>
  <si>
    <t>Zhiting Zhen</t>
  </si>
  <si>
    <t>Zhongcheng Jiedao</t>
  </si>
  <si>
    <t>Zhongcun Zhen</t>
  </si>
  <si>
    <t>Zhongdu Xiang</t>
  </si>
  <si>
    <t>Zhongduo Xiang</t>
  </si>
  <si>
    <t>Zhongjianhe Xiang</t>
  </si>
  <si>
    <t>Zhongjiazhuang Jiedao</t>
  </si>
  <si>
    <t>Zhongwei Xiang</t>
  </si>
  <si>
    <t>Zhongwujing Xiang</t>
  </si>
  <si>
    <t>Zhongxin Zhen</t>
  </si>
  <si>
    <t>Zhongyang Xiang</t>
  </si>
  <si>
    <t>Zhongyanglou Jiedao</t>
  </si>
  <si>
    <t>Zhongyu Xiang</t>
  </si>
  <si>
    <t>Zhongzhuang Xiang</t>
  </si>
  <si>
    <t>Zhoucun Zhen</t>
  </si>
  <si>
    <t>Zhoushizhuang Zhen</t>
  </si>
  <si>
    <t>Zhuangmo Zhen</t>
  </si>
  <si>
    <t>Zhuangshang Zhen</t>
  </si>
  <si>
    <t>Zhuangzi Xiang</t>
  </si>
  <si>
    <t>Zhukeng Xiang</t>
  </si>
  <si>
    <t>Zhuoli Gongmaoqu [Zhuoli Industry and Trade Zone]</t>
  </si>
  <si>
    <t>Zhupu Zhen</t>
  </si>
  <si>
    <t>Zigan Xiang</t>
  </si>
  <si>
    <t>Zijinjie Jiedao</t>
  </si>
  <si>
    <t>Zirun Xiang</t>
  </si>
  <si>
    <t>Ziyan Xiang</t>
  </si>
  <si>
    <t>Zong'ai Zhen</t>
  </si>
  <si>
    <t>Zuhu Xiang</t>
  </si>
  <si>
    <t>Zuomu Xiang</t>
  </si>
  <si>
    <t>Zuotuan Xiang</t>
  </si>
  <si>
    <t>Column113</t>
  </si>
  <si>
    <t>Column114</t>
  </si>
  <si>
    <t>Dàyáng (Jìnchéng)</t>
  </si>
  <si>
    <t>Dàyáng (Línfén)</t>
  </si>
  <si>
    <t>Diànshàng (Húguān)</t>
  </si>
  <si>
    <t>Diànshàng (Lùchéng)</t>
  </si>
  <si>
    <t>Dōngyĕ (Jìnchéng)</t>
  </si>
  <si>
    <t>Dōngyĕ (Xīnzhōu)</t>
  </si>
  <si>
    <t>Fèngchéng (Jìnchéng)</t>
  </si>
  <si>
    <t>Fèngchéng (Lǚliáng)</t>
  </si>
  <si>
    <t>Gŭchéng (Dàtóng)</t>
  </si>
  <si>
    <t>Gŭchéng (Línfén)</t>
  </si>
  <si>
    <t>Gŭchéng (Shuòzhōu)</t>
  </si>
  <si>
    <t>Gŭchéng (Yùnchéng)</t>
  </si>
  <si>
    <t>Hédĭ (Yángquán)</t>
  </si>
  <si>
    <t>Hédĭ (Yùnchéng)</t>
  </si>
  <si>
    <t>Jiùxiàn (Línfén)</t>
  </si>
  <si>
    <t>Jiùxiàn (Xīnzhōu)</t>
  </si>
  <si>
    <t>Lĭyuán (Chángzhì)</t>
  </si>
  <si>
    <t>Lĭyuán (Yùnchéng)</t>
  </si>
  <si>
    <t>Lóngquán (Chángzhì)</t>
  </si>
  <si>
    <t>Lóngquán (Dàtóng)</t>
  </si>
  <si>
    <t>Lóngquán (Línfén)</t>
  </si>
  <si>
    <t>Lóngquán (Xīnzhōu)</t>
  </si>
  <si>
    <t>Náncūn (Dàtóng)</t>
  </si>
  <si>
    <t>Náncūn (Jìnchéng)</t>
  </si>
  <si>
    <t>Sānjiāo (Lín)</t>
  </si>
  <si>
    <t>Sānjiāo (Liŭlín)</t>
  </si>
  <si>
    <t>Sānjiāo (Xīnzhōu)</t>
  </si>
  <si>
    <t>Sānquán (Lǚliáng)</t>
  </si>
  <si>
    <t>Sānquán (Yùnchéng)</t>
  </si>
  <si>
    <t>Shuĭtóu (Lǚliáng)</t>
  </si>
  <si>
    <t>Shuĭtóu (Yùnchéng)</t>
  </si>
  <si>
    <t>Túnlĭ (Yáodū)</t>
  </si>
  <si>
    <t>Túnlĭ (Jí)</t>
  </si>
  <si>
    <t>Wàn'ān (Línfén)</t>
  </si>
  <si>
    <t>Wàn'ān (Yùnchéng)</t>
  </si>
  <si>
    <t>Xīnchéng (Línfén)</t>
  </si>
  <si>
    <t>Xīnchéng (Shuòzhōu)</t>
  </si>
  <si>
    <t>Xīnchéng (Yùnchéng)</t>
  </si>
  <si>
    <t>Xīshè (Lǚliáng)</t>
  </si>
  <si>
    <t>Xīshè (Yùnchéng)</t>
  </si>
  <si>
    <t>Xīyíng (Chángzhì)</t>
  </si>
  <si>
    <t>Xīyíng (Lǚliáng)</t>
  </si>
  <si>
    <t>Yìjĭng (Xīnzhōu)</t>
  </si>
  <si>
    <t>Yìjĭng (Jìnchéng)</t>
  </si>
  <si>
    <t>Yŏng'ān (Dàtóng)</t>
  </si>
  <si>
    <t>Yŏng'ān (Línfén)</t>
  </si>
  <si>
    <t>Zháidiàn (Chángzhì)</t>
  </si>
  <si>
    <t>Zháidiàn (Yùnchéng)</t>
  </si>
  <si>
    <t>Zhāngdiàn (Chángzhì)</t>
  </si>
  <si>
    <t>Zhāngdiàn (Yùnchéng)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</si>
</sst>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2" fillId="3" borderId="1" xfId="0" applyFont="1" applyFill="1" applyBorder="1" applyAlignment="1">
      <alignment horizontal="left" vertical="top"/>
    </xf>
    <xf numFmtId="3" fontId="2" fillId="3" borderId="1" xfId="0" applyNumberFormat="1" applyFont="1" applyFill="1" applyBorder="1" applyAlignment="1">
      <alignment horizontal="right" vertical="top"/>
    </xf>
    <xf numFmtId="0" fontId="2" fillId="4" borderId="2" xfId="0" applyFont="1" applyFill="1" applyBorder="1" applyAlignment="1">
      <alignment horizontal="left" vertical="top"/>
    </xf>
    <xf numFmtId="3" fontId="2" fillId="4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50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9052F1-9917-4D55-A5E1-672C8083D18E}" name="Table1" displayName="Table1" ref="A1:G153" totalsRowShown="0" headerRowDxfId="149" dataDxfId="148">
  <autoFilter ref="A1:G153" xr:uid="{9E9052F1-9917-4D55-A5E1-672C8083D18E}"/>
  <tableColumns count="7">
    <tableColumn id="1" xr3:uid="{39FB23ED-9A45-49EE-9B70-FF5E4A98B8D7}" name="Name" dataDxfId="147"/>
    <tableColumn id="2" xr3:uid="{48F1CFB6-1634-4C26-8188-173A83A928D0}" name="Native" dataDxfId="146"/>
    <tableColumn id="3" xr3:uid="{C78EF6D0-AA8A-4D2C-B540-66488EF9547B}" name="Status" dataDxfId="145"/>
    <tableColumn id="4" xr3:uid="{EB18FF8A-BEDF-4D43-892C-AEE04BEB389C}" name="City / District / County" dataDxfId="144"/>
    <tableColumn id="5" xr3:uid="{3398C009-581B-4CF2-9E94-3609F24BD4DD}" name="Population" dataDxfId="143"/>
    <tableColumn id="6" xr3:uid="{62D622AB-697E-45CE-B30A-B1915D5B9E40}" name="Column1" dataDxfId="142">
      <calculatedColumnFormula>VLOOKUP(D2,Table12[[Name]:[Native]],3,FALSE)</calculatedColumnFormula>
    </tableColumn>
    <tableColumn id="7" xr3:uid="{CA7F5970-B88E-48DC-BA08-A14CE82A9484}" name="Column2" dataDxfId="141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3CDDC5-083B-48FE-9466-8170CE90C002}" name="Table2" displayName="Table2" ref="A1:G145" totalsRowShown="0" headerRowDxfId="140" dataDxfId="139">
  <autoFilter ref="A1:G145" xr:uid="{DC3CDDC5-083B-48FE-9466-8170CE90C002}"/>
  <tableColumns count="7">
    <tableColumn id="1" xr3:uid="{8EDB6965-AC33-4074-9A32-7206E2BBC0C5}" name="Name" dataDxfId="138"/>
    <tableColumn id="2" xr3:uid="{97F35DA0-E165-4AA4-8E32-D1A94AF7E844}" name="Native" dataDxfId="137"/>
    <tableColumn id="3" xr3:uid="{AEA5BF95-8461-46FC-99AA-1717E98BB450}" name="Status" dataDxfId="136"/>
    <tableColumn id="4" xr3:uid="{54F90B1C-72A4-44CC-8000-01A71687F8B5}" name="City / District / County" dataDxfId="135"/>
    <tableColumn id="5" xr3:uid="{19833662-3D7A-4D4A-A746-E4D2AAD4F6A8}" name="Population" dataDxfId="134"/>
    <tableColumn id="6" xr3:uid="{08511D29-D549-458B-9BC8-33B32E125A77}" name="Column1" dataDxfId="133">
      <calculatedColumnFormula>VLOOKUP(D2,Table12[[Name]:[Native]],3,FALSE)</calculatedColumnFormula>
    </tableColumn>
    <tableColumn id="7" xr3:uid="{3D5F924B-7A19-4F51-89B4-1F2E351D8CD1}" name="Column2" dataDxfId="132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37A344-8224-429F-8D4D-476B93E2E7F5}" name="Table3" displayName="Table3" ref="A1:G88" totalsRowShown="0" headerRowDxfId="131" dataDxfId="130">
  <autoFilter ref="A1:G88" xr:uid="{DF37A344-8224-429F-8D4D-476B93E2E7F5}"/>
  <tableColumns count="7">
    <tableColumn id="1" xr3:uid="{EF2AADDF-DB01-455C-9DF8-23803BABFE1C}" name="Name" dataDxfId="129"/>
    <tableColumn id="2" xr3:uid="{169F3CAA-4FA2-4B17-9C98-BB3C291B501D}" name="Native" dataDxfId="128"/>
    <tableColumn id="3" xr3:uid="{F3CF2D86-BC39-4977-A0B3-7B66524F76D6}" name="Status" dataDxfId="127"/>
    <tableColumn id="4" xr3:uid="{C42E322A-2E1C-4932-B283-5A633ADFA4B6}" name="City / District / County" dataDxfId="126"/>
    <tableColumn id="5" xr3:uid="{D4354366-1753-4009-A157-FB2052474A3F}" name="Population" dataDxfId="125"/>
    <tableColumn id="6" xr3:uid="{55581D1C-C3A7-47BE-AD71-A13742FBFFEB}" name="Column1" dataDxfId="124">
      <calculatedColumnFormula>VLOOKUP(D2,Table12[[Name]:[Native]],3,FALSE)</calculatedColumnFormula>
    </tableColumn>
    <tableColumn id="7" xr3:uid="{00EB20C2-3D2B-41FC-A4B1-C726EF248525}" name="Column2" dataDxfId="123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FF1A26-A1CF-4374-A26C-BD61F0A52C0C}" name="Table4" displayName="Table4" ref="A1:G142" totalsRowShown="0" headerRowDxfId="122" dataDxfId="121">
  <autoFilter ref="A1:G142" xr:uid="{94FF1A26-A1CF-4374-A26C-BD61F0A52C0C}"/>
  <tableColumns count="7">
    <tableColumn id="1" xr3:uid="{1F2E4002-2823-4519-AC1B-BDBDC664A6F9}" name="Name" dataDxfId="120"/>
    <tableColumn id="2" xr3:uid="{17476BC2-1B82-4846-A828-15A5C73068D2}" name="Native" dataDxfId="119"/>
    <tableColumn id="3" xr3:uid="{899DB1AB-7A2C-4892-B5AB-FDB025C80F7E}" name="Status" dataDxfId="118"/>
    <tableColumn id="4" xr3:uid="{9670003E-4A55-46C8-A1BC-1F1C44F5372A}" name="City / District / County" dataDxfId="117"/>
    <tableColumn id="5" xr3:uid="{2FACE8CB-5EAF-48B1-94CF-743F2E3217FA}" name="Population" dataDxfId="116"/>
    <tableColumn id="6" xr3:uid="{AC8933B6-56FC-4E0F-B040-87E39841B905}" name="Column1" dataDxfId="115">
      <calculatedColumnFormula>VLOOKUP(D2,Table12[[Name]:[Native]],3,FALSE)</calculatedColumnFormula>
    </tableColumn>
    <tableColumn id="7" xr3:uid="{845F4DEE-C1C9-4719-8118-789CC709D678}" name="Column2" dataDxfId="114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B2BC32B-5603-48D1-AE5B-F23326682D0D}" name="Table5" displayName="Table5" ref="A1:G173" totalsRowShown="0" headerRowDxfId="113" dataDxfId="112">
  <autoFilter ref="A1:G173" xr:uid="{FB2BC32B-5603-48D1-AE5B-F23326682D0D}"/>
  <tableColumns count="7">
    <tableColumn id="1" xr3:uid="{6E93CFCF-F140-4CE5-A71E-6841497EF3AF}" name="Name" dataDxfId="111"/>
    <tableColumn id="2" xr3:uid="{62078ABE-A61F-49F1-94CC-055C66448158}" name="Native" dataDxfId="110"/>
    <tableColumn id="3" xr3:uid="{D19ECD06-A4E3-495B-AB13-CC4E712E06C2}" name="Status" dataDxfId="109"/>
    <tableColumn id="4" xr3:uid="{FF71245D-4F6D-4D82-9E3F-93B8C3C418AB}" name="City / District / County" dataDxfId="108"/>
    <tableColumn id="5" xr3:uid="{8D3439E6-1AFC-47C0-8AE7-E4A72163CE0D}" name="Population" dataDxfId="107"/>
    <tableColumn id="6" xr3:uid="{83A48260-1780-4500-834A-49A964253D77}" name="Column1" dataDxfId="106">
      <calculatedColumnFormula>VLOOKUP(D2,Table12[[Name]:[Native]],3,FALSE)</calculatedColumnFormula>
    </tableColumn>
    <tableColumn id="7" xr3:uid="{78F0683D-6B5E-4CA1-B6D1-AC579B4BB529}" name="Column2" dataDxfId="105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CCC0D-ABF9-4483-A3AF-0C0DBAA6BBFA}" name="Table6" displayName="Table6" ref="A1:G163" totalsRowShown="0" headerRowDxfId="104" dataDxfId="103">
  <autoFilter ref="A1:G163" xr:uid="{732CCC0D-ABF9-4483-A3AF-0C0DBAA6BBFA}"/>
  <tableColumns count="7">
    <tableColumn id="1" xr3:uid="{BB55A358-DFB2-45C3-825D-7C3FB17C629F}" name="Name" dataDxfId="102"/>
    <tableColumn id="2" xr3:uid="{91295FED-2AB6-4DF3-BC29-A05FC8F7C53E}" name="Native" dataDxfId="101"/>
    <tableColumn id="3" xr3:uid="{690D7EFC-7C35-4A4D-9126-A59C6CBAF45C}" name="Status" dataDxfId="100"/>
    <tableColumn id="4" xr3:uid="{1965CC9B-1562-463D-B97D-E257F9E88C70}" name="City / District / County" dataDxfId="99"/>
    <tableColumn id="5" xr3:uid="{5E409DDF-16EF-4096-9A68-D329D7FE8F7D}" name="Population" dataDxfId="98"/>
    <tableColumn id="6" xr3:uid="{13EC66A4-7815-4B25-A240-78CF1FF7C722}" name="Column1" dataDxfId="97">
      <calculatedColumnFormula>VLOOKUP(D2,Table12[[Name]:[Native]],3,FALSE)</calculatedColumnFormula>
    </tableColumn>
    <tableColumn id="7" xr3:uid="{4E010DB9-ED16-46F4-B0C6-E76BB05C9781}" name="Column2" dataDxfId="96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768A80-E46F-4E46-955B-9AFCFC7D7A6A}" name="Table7" displayName="Table7" ref="A1:G78" totalsRowShown="0" headerRowDxfId="95" dataDxfId="94">
  <autoFilter ref="A1:G78" xr:uid="{3E768A80-E46F-4E46-955B-9AFCFC7D7A6A}"/>
  <tableColumns count="7">
    <tableColumn id="1" xr3:uid="{90F0748D-A7E8-4E00-AC7E-57D307592AEF}" name="Name" dataDxfId="93"/>
    <tableColumn id="2" xr3:uid="{C4CDFF5C-75A7-4D9B-8B5F-4AFA32637932}" name="Native" dataDxfId="92"/>
    <tableColumn id="3" xr3:uid="{C1FB559D-5D6D-4C01-8BC4-1DD3E087B0FF}" name="Status" dataDxfId="91"/>
    <tableColumn id="4" xr3:uid="{F5E35601-4EB5-4BEB-AB49-CAF35F9B5EB5}" name="City / District / County" dataDxfId="90"/>
    <tableColumn id="5" xr3:uid="{288BB345-EA4A-488F-9AD7-F359986EA525}" name="Population" dataDxfId="89"/>
    <tableColumn id="6" xr3:uid="{C4269F98-FE72-42E5-BC2B-B538B0140EC7}" name="Column1" dataDxfId="88">
      <calculatedColumnFormula>VLOOKUP(D2,Table12[[Name]:[Native]],3,FALSE)</calculatedColumnFormula>
    </tableColumn>
    <tableColumn id="7" xr3:uid="{D2F5DECF-7C79-449D-A9DE-3ACA5A426F53}" name="Column2" dataDxfId="87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D2B5CF2-4308-457B-BEDF-2ED42E0F5446}" name="Table8" displayName="Table8" ref="A1:G110" totalsRowShown="0" headerRowDxfId="86" dataDxfId="85">
  <autoFilter ref="A1:G110" xr:uid="{AD2B5CF2-4308-457B-BEDF-2ED42E0F5446}"/>
  <tableColumns count="7">
    <tableColumn id="1" xr3:uid="{011A2FC0-D16D-47D2-9C04-E15B800D5514}" name="Name" dataDxfId="84"/>
    <tableColumn id="2" xr3:uid="{ED4DD018-30AD-4732-A8C9-E83A7DE58A44}" name="Native" dataDxfId="83"/>
    <tableColumn id="3" xr3:uid="{F00231A1-81C3-4A5F-9150-3B5D06AAEB89}" name="Status" dataDxfId="82"/>
    <tableColumn id="4" xr3:uid="{28DF3D32-08A3-440D-91E2-542954722122}" name="City / District / County" dataDxfId="81"/>
    <tableColumn id="5" xr3:uid="{2D0C75C1-706F-4515-B759-8A94FEA5B662}" name="Population" dataDxfId="80"/>
    <tableColumn id="6" xr3:uid="{4FCD0277-E7F1-4CF9-A797-7712BAA93D73}" name="Column1" dataDxfId="79">
      <calculatedColumnFormula>VLOOKUP(D2,Table12[[Name]:[Native]],3,FALSE)</calculatedColumnFormula>
    </tableColumn>
    <tableColumn id="7" xr3:uid="{41AA57C0-97EE-4F7F-AEE6-23EA84A9B84C}" name="Column2" dataDxfId="78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65C7AD-3A0E-4344-9095-C13E969DFF5F}" name="Table9" displayName="Table9" ref="A1:G197" totalsRowShown="0" headerRowDxfId="77" dataDxfId="76">
  <autoFilter ref="A1:G197" xr:uid="{5165C7AD-3A0E-4344-9095-C13E969DFF5F}"/>
  <tableColumns count="7">
    <tableColumn id="1" xr3:uid="{F06F6CAF-9D28-4BD3-8C80-37EB9BE9534D}" name="Name" dataDxfId="75"/>
    <tableColumn id="2" xr3:uid="{C7C338F7-7021-491B-A2D3-002082D5F1D6}" name="Native" dataDxfId="74"/>
    <tableColumn id="3" xr3:uid="{6B7317A9-2089-4EB7-989C-47461D692499}" name="Status" dataDxfId="73"/>
    <tableColumn id="4" xr3:uid="{6D353CFA-1474-4845-991C-922339E35528}" name="City / District / County" dataDxfId="72"/>
    <tableColumn id="5" xr3:uid="{B8A685F8-5705-4476-A57F-0A0D4171AEA9}" name="Population" dataDxfId="71"/>
    <tableColumn id="6" xr3:uid="{B791CEDF-01B0-4D73-8CC8-5C81F0AB6667}" name="Column1" dataDxfId="70">
      <calculatedColumnFormula>VLOOKUP(D2,Table12[[Name]:[Native]],3,FALSE)</calculatedColumnFormula>
    </tableColumn>
    <tableColumn id="7" xr3:uid="{CBE2B346-C611-4E3C-B344-FFDB20FA67DD}" name="Column2" dataDxfId="69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613869C-A7DC-45E1-ACDE-A1661D13B091}" name="Table10" displayName="Table10" ref="A1:G46" totalsRowShown="0" headerRowDxfId="68" dataDxfId="67">
  <autoFilter ref="A1:G46" xr:uid="{6613869C-A7DC-45E1-ACDE-A1661D13B091}"/>
  <tableColumns count="7">
    <tableColumn id="1" xr3:uid="{487AEAE0-BB04-4F1A-909D-A32BE519E5FC}" name="Name" dataDxfId="66"/>
    <tableColumn id="2" xr3:uid="{07FDB44E-8FB3-4564-812E-BCB9B3DA5C9B}" name="Native" dataDxfId="65"/>
    <tableColumn id="3" xr3:uid="{592292BE-70D2-4507-AE3B-2D9294BFE8EB}" name="Status" dataDxfId="64"/>
    <tableColumn id="4" xr3:uid="{5E85119B-1577-4DD7-998B-0920861345D1}" name="City / District / County" dataDxfId="63"/>
    <tableColumn id="5" xr3:uid="{33BD33AC-101B-464E-AE83-3F476F56748C}" name="Population" dataDxfId="62"/>
    <tableColumn id="6" xr3:uid="{A113FA7D-67CF-4D17-BB55-E121DF73D5D0}" name="Column1" dataDxfId="61">
      <calculatedColumnFormula>VLOOKUP(D2,Table12[[Name]:[Native]],3,FALSE)</calculatedColumnFormula>
    </tableColumn>
    <tableColumn id="7" xr3:uid="{7EBD5195-C85A-4212-B87C-35AEBD3BFAF7}" name="Column2" dataDxfId="60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F1CDEB-95D8-4E59-B0D8-279137CBC538}" name="Table11" displayName="Table11" ref="A1:G163" totalsRowShown="0" headerRowDxfId="59" dataDxfId="58">
  <autoFilter ref="A1:G163" xr:uid="{CAF1CDEB-95D8-4E59-B0D8-279137CBC538}"/>
  <tableColumns count="7">
    <tableColumn id="1" xr3:uid="{DF5DA3CF-76B7-44C0-8F89-D1E8C3244FDB}" name="Name" dataDxfId="57"/>
    <tableColumn id="2" xr3:uid="{30855C88-CB57-4476-AB81-EDF40C7D6F69}" name="Native" dataDxfId="56"/>
    <tableColumn id="3" xr3:uid="{4A6F2FD0-DEE0-4CA4-9FB7-56518EB78C67}" name="Status" dataDxfId="55"/>
    <tableColumn id="4" xr3:uid="{78B79971-FC56-4503-9D6A-5779E249A0DA}" name="City / District / County" dataDxfId="54"/>
    <tableColumn id="5" xr3:uid="{FC75DCBC-5AC8-43F5-9588-50009BADA67D}" name="Population" dataDxfId="53"/>
    <tableColumn id="6" xr3:uid="{43D9EEB3-560A-4A06-9152-BD92116712A3}" name="Column1" dataDxfId="52">
      <calculatedColumnFormula>VLOOKUP(D2,Table12[[Name]:[Native]],3,FALSE)</calculatedColumnFormula>
    </tableColumn>
    <tableColumn id="7" xr3:uid="{DDE0B919-3A7F-4780-A961-B19C479484E0}" name="Column2" dataDxfId="51">
      <calculatedColumnFormula>VLOOKUP(F2,Table12[[Native]:[Population4]],5,FALSE)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3677D1-DBBE-46C5-9F86-5439026350B7}" name="Table13" displayName="Table13" ref="A1:P1448" totalsRowShown="0">
  <autoFilter ref="A1:P1448" xr:uid="{D33677D1-DBBE-46C5-9F86-5439026350B7}">
    <filterColumn colId="4">
      <filters>
        <filter val="Town"/>
      </filters>
    </filterColumn>
    <filterColumn colId="11">
      <colorFilter dxfId="0"/>
    </filterColumn>
  </autoFilter>
  <sortState xmlns:xlrd2="http://schemas.microsoft.com/office/spreadsheetml/2017/richdata2" ref="A2:N1448">
    <sortCondition ref="A1:A1448"/>
  </sortState>
  <tableColumns count="16">
    <tableColumn id="1" xr3:uid="{77EC7F2B-8304-4F3A-9368-7ACB5D70C7B5}" name="Column1"/>
    <tableColumn id="10" xr3:uid="{37000421-6EDB-4508-9227-753ED4FC9344}" name="Column12" dataDxfId="32">
      <calculatedColumnFormula>IF(COUNTIF(A:A,A2)&gt;1,_xlfn.CONCAT(A2," (",N2,")"),A2)</calculatedColumnFormula>
    </tableColumn>
    <tableColumn id="11" xr3:uid="{7DA6FADA-901A-4FBC-A2EC-A94744A3FD51}" name="Column13" dataDxfId="31">
      <calculatedColumnFormula>IF(COUNTIF(B:B,B2)&gt;1,_xlfn.CONCAT(A2," (",M2,")"),B2)</calculatedColumnFormula>
    </tableColumn>
    <tableColumn id="2" xr3:uid="{09F590BB-0160-476A-858F-63D611F7F68E}" name="Column2"/>
    <tableColumn id="3" xr3:uid="{429D1B0B-9B7F-4EA9-AE26-21766C9F7032}" name="Column3"/>
    <tableColumn id="4" xr3:uid="{B290A2E9-35BD-43E3-BC83-07C559633FB9}" name="Column4" dataDxfId="50">
      <calculatedColumnFormula>_xlfn.CONCAT(D2,", ",H2,", ",I2,", ","山西省")</calculatedColumnFormula>
    </tableColumn>
    <tableColumn id="5" xr3:uid="{2B55A734-D6F6-422C-BF35-066A593C4251}" name="Column5"/>
    <tableColumn id="6" xr3:uid="{4FCF2A41-3D22-4698-84CB-18D92F30D1CA}" name="Column6"/>
    <tableColumn id="7" xr3:uid="{E90C5015-57DB-4A53-B365-D5DFEA4B769A}" name="Column7"/>
    <tableColumn id="8" xr3:uid="{35EA307E-AB3B-48A2-8372-1C0292DE7882}" name="Column8" dataDxfId="49">
      <calculatedColumnFormula>VLOOKUP(F2,[1]!china_towns_second__2[[Column1]:[Y]],3,FALSE)</calculatedColumnFormula>
    </tableColumn>
    <tableColumn id="9" xr3:uid="{D1C4D690-4F15-4AA0-9AA7-3787AF45A909}" name="Column9" dataDxfId="48">
      <calculatedColumnFormula>VLOOKUP(F2,[1]!china_towns_second__2[[Column1]:[Y]],2,FALSE)</calculatedColumnFormula>
    </tableColumn>
    <tableColumn id="12" xr3:uid="{F06C4ED3-581E-4C7D-AB40-D48A0E3E6C63}" name="Column10"/>
    <tableColumn id="13" xr3:uid="{2A4BB781-1231-4160-96BA-600CB547F204}" name="Column11" dataDxfId="34">
      <calculatedColumnFormula>VLOOKUP(H2,CHOOSE({1,2},Table12[Native],Table12[Name]),2,0)</calculatedColumnFormula>
    </tableColumn>
    <tableColumn id="14" xr3:uid="{71DBAD8F-1C1E-4A42-9F8B-8FB3E77B10F1}" name="Column112" dataDxfId="33">
      <calculatedColumnFormula>VLOOKUP(I2,CHOOSE({1,2},Table12[Native],Table12[Name]),2,0)</calculatedColumnFormula>
    </tableColumn>
    <tableColumn id="15" xr3:uid="{5372D300-5BCA-494E-B7F8-776746D1830C}" name="Column113" dataDxfId="24">
      <calculatedColumnFormula>_xlfn.CONCAT(L2," (",N2,")")</calculatedColumnFormula>
    </tableColumn>
    <tableColumn id="16" xr3:uid="{B31BCA12-A5D7-4253-BF62-352CDECEBF8E}" name="Column114" dataDxfId="23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88B81A6-E464-4445-B7DD-6EB5D983A46C}" name="Table14" displayName="Table14" ref="A1:E22" totalsRowShown="0">
  <autoFilter ref="A1:E22" xr:uid="{888B81A6-E464-4445-B7DD-6EB5D983A46C}"/>
  <tableColumns count="5">
    <tableColumn id="1" xr3:uid="{787F96E7-A570-47E9-8091-D7CD5CFB3146}" name="Column1"/>
    <tableColumn id="3" xr3:uid="{54D094A6-4424-4FB4-9E94-7867BA192FA1}" name="Column12" dataDxfId="47">
      <calculatedColumnFormula>VLOOKUP(A2,CHOOSE({1,2},Table12[Native],Table12[Name]),2,0)</calculatedColumnFormula>
    </tableColumn>
    <tableColumn id="2" xr3:uid="{891079D6-AE44-4AE8-863C-C86D204DBC34}" name="Column2"/>
    <tableColumn id="4" xr3:uid="{08B6F2DB-B9F4-43B3-83B0-6DEE82E2EAFD}" name="Column3" dataDxfId="46">
      <calculatedColumnFormula>VLOOKUP(A2,[1]!Table1[[name]:[@lon]],5,0)</calculatedColumnFormula>
    </tableColumn>
    <tableColumn id="5" xr3:uid="{16904F83-64A8-40CC-BFCC-2147AEA53BB1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D9FBA1-974E-429C-8DA9-3710BBD707BF}" name="Table12" displayName="Table12" ref="A1:G130" totalsRowShown="0" headerRowDxfId="44" dataDxfId="43" tableBorderDxfId="42">
  <autoFilter ref="A1:G130" xr:uid="{20D9FBA1-974E-429C-8DA9-3710BBD707BF}"/>
  <tableColumns count="7">
    <tableColumn id="1" xr3:uid="{F0860B80-D07E-4579-84D0-50749B6ACBB5}" name="Name" dataDxfId="41"/>
    <tableColumn id="2" xr3:uid="{6CCBBFC8-C424-431D-8622-3AF6A23E99C4}" name="Status" dataDxfId="40"/>
    <tableColumn id="3" xr3:uid="{E3D9B43A-DEE4-4B75-8FB5-4F5AD8638F65}" name="Native" dataDxfId="39"/>
    <tableColumn id="4" xr3:uid="{A894DF8E-D226-44AF-9E56-C076998BA3B1}" name="Population" dataDxfId="38"/>
    <tableColumn id="5" xr3:uid="{DB84B518-5467-4113-B64D-ACA33A017404}" name="Population2" dataDxfId="37"/>
    <tableColumn id="6" xr3:uid="{6BB8722D-72B5-46DE-A0F5-09F116586A0A}" name="Population3" dataDxfId="36"/>
    <tableColumn id="7" xr3:uid="{5BE22123-62F2-4235-BA28-96903B16D262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5CC1-6A0A-4E9D-8F32-0A243320545C}">
  <dimension ref="A1:G153"/>
  <sheetViews>
    <sheetView workbookViewId="0">
      <selection activeCell="A2" sqref="A2:G15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9">
        <v>32499</v>
      </c>
      <c r="F2" s="7" t="str">
        <f>VLOOKUP(D2,Table12[[Name]:[Native]],3,FALSE)</f>
        <v>壶关县</v>
      </c>
      <c r="G2" s="12" t="str">
        <f ca="1">VLOOKUP(F2,Table12[[Native]:[Population4]],5,FALSE)</f>
        <v>长治市</v>
      </c>
    </row>
    <row r="3" spans="1:7" ht="15.75" thickBot="1" x14ac:dyDescent="0.3">
      <c r="A3" t="s">
        <v>9</v>
      </c>
      <c r="B3" s="1" t="s">
        <v>10</v>
      </c>
      <c r="C3" s="1" t="s">
        <v>7</v>
      </c>
      <c r="D3" s="1" t="s">
        <v>11</v>
      </c>
      <c r="E3" s="9">
        <v>22685</v>
      </c>
      <c r="F3" s="1" t="str">
        <f>VLOOKUP(D3,Table12[[Name]:[Native]],3,FALSE)</f>
        <v>长子县</v>
      </c>
      <c r="G3" s="12" t="str">
        <f ca="1">VLOOKUP(F3,Table12[[Native]:[Population4]],5,FALSE)</f>
        <v>长治市</v>
      </c>
    </row>
    <row r="4" spans="1:7" ht="15.75" thickBot="1" x14ac:dyDescent="0.3">
      <c r="A4" t="s">
        <v>12</v>
      </c>
      <c r="B4" s="1" t="s">
        <v>13</v>
      </c>
      <c r="C4" s="1" t="s">
        <v>7</v>
      </c>
      <c r="D4" s="1" t="s">
        <v>14</v>
      </c>
      <c r="E4" s="9">
        <v>23327</v>
      </c>
      <c r="F4" s="1" t="str">
        <f>VLOOKUP(D4,Table12[[Name]:[Native]],3,FALSE)</f>
        <v>上党区</v>
      </c>
      <c r="G4" s="12" t="str">
        <f ca="1">VLOOKUP(F4,Table12[[Native]:[Population4]],5,FALSE)</f>
        <v>长治市</v>
      </c>
    </row>
    <row r="5" spans="1:7" ht="15.75" thickBot="1" x14ac:dyDescent="0.3">
      <c r="A5" t="s">
        <v>15</v>
      </c>
      <c r="B5" s="1" t="s">
        <v>16</v>
      </c>
      <c r="C5" s="1" t="s">
        <v>17</v>
      </c>
      <c r="D5" s="1" t="s">
        <v>14</v>
      </c>
      <c r="E5" s="9">
        <v>21601</v>
      </c>
      <c r="F5" s="1" t="str">
        <f>VLOOKUP(D5,Table12[[Name]:[Native]],3,FALSE)</f>
        <v>上党区</v>
      </c>
      <c r="G5" s="12" t="str">
        <f ca="1">VLOOKUP(F5,Table12[[Native]:[Population4]],5,FALSE)</f>
        <v>长治市</v>
      </c>
    </row>
    <row r="6" spans="1:7" ht="15.75" thickBot="1" x14ac:dyDescent="0.3">
      <c r="A6" t="s">
        <v>18</v>
      </c>
      <c r="B6" s="1" t="s">
        <v>19</v>
      </c>
      <c r="C6" s="1" t="s">
        <v>17</v>
      </c>
      <c r="D6" s="1" t="s">
        <v>20</v>
      </c>
      <c r="E6" s="9">
        <v>9576</v>
      </c>
      <c r="F6" s="1" t="str">
        <f>VLOOKUP(D6,Table12[[Name]:[Native]],3,FALSE)</f>
        <v>平顺县</v>
      </c>
      <c r="G6" s="12" t="str">
        <f ca="1">VLOOKUP(F6,Table12[[Native]:[Population4]],5,FALSE)</f>
        <v>长治市</v>
      </c>
    </row>
    <row r="7" spans="1:7" ht="15.75" thickBot="1" x14ac:dyDescent="0.3">
      <c r="A7" t="s">
        <v>21</v>
      </c>
      <c r="B7" s="1" t="s">
        <v>22</v>
      </c>
      <c r="C7" s="1" t="s">
        <v>17</v>
      </c>
      <c r="D7" s="1" t="s">
        <v>23</v>
      </c>
      <c r="E7" s="9">
        <v>8527</v>
      </c>
      <c r="F7" s="1" t="str">
        <f>VLOOKUP(D7,Table12[[Name]:[Native]],3,FALSE)</f>
        <v>襄垣县</v>
      </c>
      <c r="G7" s="12" t="str">
        <f ca="1">VLOOKUP(F7,Table12[[Native]:[Population4]],5,FALSE)</f>
        <v>长治市</v>
      </c>
    </row>
    <row r="8" spans="1:7" ht="15.75" thickBot="1" x14ac:dyDescent="0.3">
      <c r="A8" t="s">
        <v>24</v>
      </c>
      <c r="B8" s="1" t="s">
        <v>25</v>
      </c>
      <c r="C8" s="1" t="s">
        <v>17</v>
      </c>
      <c r="D8" s="1" t="s">
        <v>20</v>
      </c>
      <c r="E8" s="9">
        <v>16538</v>
      </c>
      <c r="F8" s="1" t="str">
        <f>VLOOKUP(D8,Table12[[Name]:[Native]],3,FALSE)</f>
        <v>平顺县</v>
      </c>
      <c r="G8" s="12" t="str">
        <f ca="1">VLOOKUP(F8,Table12[[Native]:[Population4]],5,FALSE)</f>
        <v>长治市</v>
      </c>
    </row>
    <row r="9" spans="1:7" ht="15.75" thickBot="1" x14ac:dyDescent="0.3">
      <c r="A9" t="s">
        <v>26</v>
      </c>
      <c r="B9" s="1" t="s">
        <v>27</v>
      </c>
      <c r="C9" s="1" t="s">
        <v>7</v>
      </c>
      <c r="D9" s="1" t="s">
        <v>28</v>
      </c>
      <c r="E9" s="9">
        <v>13184</v>
      </c>
      <c r="F9" s="1" t="str">
        <f>VLOOKUP(D9,Table12[[Name]:[Native]],3,FALSE)</f>
        <v>沁县</v>
      </c>
      <c r="G9" s="12" t="str">
        <f ca="1">VLOOKUP(F9,Table12[[Native]:[Population4]],5,FALSE)</f>
        <v>长治市</v>
      </c>
    </row>
    <row r="10" spans="1:7" ht="15.75" thickBot="1" x14ac:dyDescent="0.3">
      <c r="A10" t="s">
        <v>29</v>
      </c>
      <c r="B10" s="1" t="s">
        <v>30</v>
      </c>
      <c r="C10" s="1" t="s">
        <v>31</v>
      </c>
      <c r="D10" s="1" t="s">
        <v>32</v>
      </c>
      <c r="E10" s="9">
        <v>25687</v>
      </c>
      <c r="F10" s="1" t="str">
        <f>VLOOKUP(D10,Table12[[Name]:[Native]],3,FALSE)</f>
        <v>潞州区</v>
      </c>
      <c r="G10" s="12" t="str">
        <f ca="1">VLOOKUP(F10,Table12[[Native]:[Population4]],5,FALSE)</f>
        <v>长治市</v>
      </c>
    </row>
    <row r="11" spans="1:7" ht="15.75" thickBot="1" x14ac:dyDescent="0.3">
      <c r="A11" t="s">
        <v>33</v>
      </c>
      <c r="B11" s="1" t="s">
        <v>34</v>
      </c>
      <c r="C11" s="1" t="s">
        <v>35</v>
      </c>
      <c r="D11" s="1" t="s">
        <v>8</v>
      </c>
      <c r="E11" s="9">
        <v>13108</v>
      </c>
      <c r="F11" s="1" t="str">
        <f>VLOOKUP(D11,Table12[[Name]:[Native]],3,FALSE)</f>
        <v>壶关县</v>
      </c>
      <c r="G11" s="12" t="str">
        <f ca="1">VLOOKUP(F11,Table12[[Native]:[Population4]],5,FALSE)</f>
        <v>长治市</v>
      </c>
    </row>
    <row r="12" spans="1:7" ht="15.75" thickBot="1" x14ac:dyDescent="0.3">
      <c r="A12" t="s">
        <v>36</v>
      </c>
      <c r="B12" s="1" t="s">
        <v>37</v>
      </c>
      <c r="C12" s="1" t="s">
        <v>31</v>
      </c>
      <c r="D12" s="1" t="s">
        <v>32</v>
      </c>
      <c r="E12" s="9">
        <v>47018</v>
      </c>
      <c r="F12" s="1" t="str">
        <f>VLOOKUP(D12,Table12[[Name]:[Native]],3,FALSE)</f>
        <v>潞州区</v>
      </c>
      <c r="G12" s="12" t="str">
        <f ca="1">VLOOKUP(F12,Table12[[Native]:[Population4]],5,FALSE)</f>
        <v>长治市</v>
      </c>
    </row>
    <row r="13" spans="1:7" ht="15.75" thickBot="1" x14ac:dyDescent="0.3">
      <c r="A13" t="s">
        <v>38</v>
      </c>
      <c r="B13" s="1" t="s">
        <v>39</v>
      </c>
      <c r="C13" s="1" t="s">
        <v>17</v>
      </c>
      <c r="D13" s="1" t="s">
        <v>11</v>
      </c>
      <c r="E13" s="9">
        <v>15229</v>
      </c>
      <c r="F13" s="1" t="str">
        <f>VLOOKUP(D13,Table12[[Name]:[Native]],3,FALSE)</f>
        <v>长子县</v>
      </c>
      <c r="G13" s="12" t="str">
        <f ca="1">VLOOKUP(F13,Table12[[Native]:[Population4]],5,FALSE)</f>
        <v>长治市</v>
      </c>
    </row>
    <row r="14" spans="1:7" ht="15.75" thickBot="1" x14ac:dyDescent="0.3">
      <c r="A14" t="s">
        <v>40</v>
      </c>
      <c r="B14" s="1" t="s">
        <v>41</v>
      </c>
      <c r="C14" s="1" t="s">
        <v>35</v>
      </c>
      <c r="D14" s="1" t="s">
        <v>32</v>
      </c>
      <c r="E14" s="9">
        <v>45818</v>
      </c>
      <c r="F14" s="1" t="str">
        <f>VLOOKUP(D14,Table12[[Name]:[Native]],3,FALSE)</f>
        <v>潞州区</v>
      </c>
      <c r="G14" s="12" t="str">
        <f ca="1">VLOOKUP(F14,Table12[[Native]:[Population4]],5,FALSE)</f>
        <v>长治市</v>
      </c>
    </row>
    <row r="15" spans="1:7" ht="15.75" thickBot="1" x14ac:dyDescent="0.3">
      <c r="A15" t="s">
        <v>42</v>
      </c>
      <c r="B15" s="1" t="s">
        <v>43</v>
      </c>
      <c r="C15" s="1" t="s">
        <v>31</v>
      </c>
      <c r="D15" s="1" t="s">
        <v>44</v>
      </c>
      <c r="E15" s="9">
        <v>28704</v>
      </c>
      <c r="F15" s="1" t="str">
        <f>VLOOKUP(D15,Table12[[Name]:[Native]],3,FALSE)</f>
        <v>潞城区</v>
      </c>
      <c r="G15" s="12" t="str">
        <f ca="1">VLOOKUP(F15,Table12[[Native]:[Population4]],5,FALSE)</f>
        <v>长治市</v>
      </c>
    </row>
    <row r="16" spans="1:7" ht="15.75" thickBot="1" x14ac:dyDescent="0.3">
      <c r="A16" t="s">
        <v>45</v>
      </c>
      <c r="B16" s="1" t="s">
        <v>46</v>
      </c>
      <c r="C16" s="1" t="s">
        <v>17</v>
      </c>
      <c r="D16" s="1" t="s">
        <v>47</v>
      </c>
      <c r="E16" s="9">
        <v>6235</v>
      </c>
      <c r="F16" s="1" t="str">
        <f>VLOOKUP(D16,Table12[[Name]:[Native]],3,FALSE)</f>
        <v>黎城县</v>
      </c>
      <c r="G16" s="12" t="str">
        <f ca="1">VLOOKUP(F16,Table12[[Native]:[Population4]],5,FALSE)</f>
        <v>长治市</v>
      </c>
    </row>
    <row r="17" spans="1:7" ht="15.75" thickBot="1" x14ac:dyDescent="0.3">
      <c r="A17" t="s">
        <v>48</v>
      </c>
      <c r="B17" s="1" t="s">
        <v>49</v>
      </c>
      <c r="C17" s="1" t="s">
        <v>17</v>
      </c>
      <c r="D17" s="1" t="s">
        <v>50</v>
      </c>
      <c r="E17" s="9">
        <v>5937</v>
      </c>
      <c r="F17" s="1" t="str">
        <f>VLOOKUP(D17,Table12[[Name]:[Native]],3,FALSE)</f>
        <v>沁源县</v>
      </c>
      <c r="G17" s="12" t="str">
        <f ca="1">VLOOKUP(F17,Table12[[Native]:[Population4]],5,FALSE)</f>
        <v>长治市</v>
      </c>
    </row>
    <row r="18" spans="1:7" ht="15.75" thickBot="1" x14ac:dyDescent="0.3">
      <c r="A18" t="s">
        <v>51</v>
      </c>
      <c r="B18" s="1" t="s">
        <v>52</v>
      </c>
      <c r="C18" s="1" t="s">
        <v>17</v>
      </c>
      <c r="D18" s="1" t="s">
        <v>28</v>
      </c>
      <c r="E18" s="9">
        <v>3871</v>
      </c>
      <c r="F18" s="1" t="str">
        <f>VLOOKUP(D18,Table12[[Name]:[Native]],3,FALSE)</f>
        <v>沁县</v>
      </c>
      <c r="G18" s="12" t="str">
        <f ca="1">VLOOKUP(F18,Table12[[Native]:[Population4]],5,FALSE)</f>
        <v>长治市</v>
      </c>
    </row>
    <row r="19" spans="1:7" ht="15.75" thickBot="1" x14ac:dyDescent="0.3">
      <c r="A19" t="s">
        <v>53</v>
      </c>
      <c r="B19" s="1" t="s">
        <v>54</v>
      </c>
      <c r="C19" s="1" t="s">
        <v>7</v>
      </c>
      <c r="D19" s="1" t="s">
        <v>11</v>
      </c>
      <c r="E19" s="9">
        <v>33227</v>
      </c>
      <c r="F19" s="1" t="str">
        <f>VLOOKUP(D19,Table12[[Name]:[Native]],3,FALSE)</f>
        <v>长子县</v>
      </c>
      <c r="G19" s="12" t="str">
        <f ca="1">VLOOKUP(F19,Table12[[Native]:[Population4]],5,FALSE)</f>
        <v>长治市</v>
      </c>
    </row>
    <row r="20" spans="1:7" ht="15.75" thickBot="1" x14ac:dyDescent="0.3">
      <c r="A20" t="s">
        <v>55</v>
      </c>
      <c r="B20" s="1" t="s">
        <v>56</v>
      </c>
      <c r="C20" s="1" t="s">
        <v>17</v>
      </c>
      <c r="D20" s="1" t="s">
        <v>50</v>
      </c>
      <c r="E20" s="9">
        <v>6441</v>
      </c>
      <c r="F20" s="1" t="str">
        <f>VLOOKUP(D20,Table12[[Name]:[Native]],3,FALSE)</f>
        <v>沁源县</v>
      </c>
      <c r="G20" s="12" t="str">
        <f ca="1">VLOOKUP(F20,Table12[[Native]:[Population4]],5,FALSE)</f>
        <v>长治市</v>
      </c>
    </row>
    <row r="21" spans="1:7" ht="15.75" thickBot="1" x14ac:dyDescent="0.3">
      <c r="A21" t="s">
        <v>57</v>
      </c>
      <c r="B21" s="1" t="s">
        <v>58</v>
      </c>
      <c r="C21" s="1" t="s">
        <v>7</v>
      </c>
      <c r="D21" s="1" t="s">
        <v>11</v>
      </c>
      <c r="E21" s="9">
        <v>36556</v>
      </c>
      <c r="F21" s="1" t="str">
        <f>VLOOKUP(D21,Table12[[Name]:[Native]],3,FALSE)</f>
        <v>长子县</v>
      </c>
      <c r="G21" s="12" t="str">
        <f ca="1">VLOOKUP(F21,Table12[[Native]:[Population4]],5,FALSE)</f>
        <v>长治市</v>
      </c>
    </row>
    <row r="22" spans="1:7" ht="15.75" thickBot="1" x14ac:dyDescent="0.3">
      <c r="A22" t="s">
        <v>59</v>
      </c>
      <c r="B22" s="1" t="s">
        <v>60</v>
      </c>
      <c r="C22" s="1" t="s">
        <v>7</v>
      </c>
      <c r="D22" s="1" t="s">
        <v>11</v>
      </c>
      <c r="E22" s="9">
        <v>89543</v>
      </c>
      <c r="F22" s="1" t="str">
        <f>VLOOKUP(D22,Table12[[Name]:[Native]],3,FALSE)</f>
        <v>长子县</v>
      </c>
      <c r="G22" s="12" t="str">
        <f ca="1">VLOOKUP(F22,Table12[[Native]:[Population4]],5,FALSE)</f>
        <v>长治市</v>
      </c>
    </row>
    <row r="23" spans="1:7" ht="15.75" thickBot="1" x14ac:dyDescent="0.3">
      <c r="A23" t="s">
        <v>61</v>
      </c>
      <c r="B23" s="1" t="s">
        <v>62</v>
      </c>
      <c r="C23" s="1" t="s">
        <v>7</v>
      </c>
      <c r="D23" s="1" t="s">
        <v>32</v>
      </c>
      <c r="E23" s="9">
        <v>30039</v>
      </c>
      <c r="F23" s="1" t="str">
        <f>VLOOKUP(D23,Table12[[Name]:[Native]],3,FALSE)</f>
        <v>潞州区</v>
      </c>
      <c r="G23" s="12" t="str">
        <f ca="1">VLOOKUP(F23,Table12[[Native]:[Population4]],5,FALSE)</f>
        <v>长治市</v>
      </c>
    </row>
    <row r="24" spans="1:7" ht="15.75" thickBot="1" x14ac:dyDescent="0.3">
      <c r="A24" t="s">
        <v>63</v>
      </c>
      <c r="B24" s="1" t="s">
        <v>64</v>
      </c>
      <c r="C24" s="1" t="s">
        <v>17</v>
      </c>
      <c r="D24" s="1" t="s">
        <v>65</v>
      </c>
      <c r="E24" s="9">
        <v>10917</v>
      </c>
      <c r="F24" s="1" t="str">
        <f>VLOOKUP(D24,Table12[[Name]:[Native]],3,FALSE)</f>
        <v>武乡县</v>
      </c>
      <c r="G24" s="12" t="str">
        <f ca="1">VLOOKUP(F24,Table12[[Native]:[Population4]],5,FALSE)</f>
        <v>长治市</v>
      </c>
    </row>
    <row r="25" spans="1:7" ht="15.75" thickBot="1" x14ac:dyDescent="0.3">
      <c r="A25" t="s">
        <v>66</v>
      </c>
      <c r="B25" s="1" t="s">
        <v>67</v>
      </c>
      <c r="C25" s="1" t="s">
        <v>7</v>
      </c>
      <c r="D25" s="1" t="s">
        <v>8</v>
      </c>
      <c r="E25" s="9">
        <v>28843</v>
      </c>
      <c r="F25" s="1" t="str">
        <f>VLOOKUP(D25,Table12[[Name]:[Native]],3,FALSE)</f>
        <v>壶关县</v>
      </c>
      <c r="G25" s="12" t="str">
        <f ca="1">VLOOKUP(F25,Table12[[Native]:[Population4]],5,FALSE)</f>
        <v>长治市</v>
      </c>
    </row>
    <row r="26" spans="1:7" ht="15.75" thickBot="1" x14ac:dyDescent="0.3">
      <c r="A26" t="s">
        <v>66</v>
      </c>
      <c r="B26" s="1" t="s">
        <v>67</v>
      </c>
      <c r="C26" s="1" t="s">
        <v>7</v>
      </c>
      <c r="D26" s="1" t="s">
        <v>44</v>
      </c>
      <c r="E26" s="9">
        <v>31314</v>
      </c>
      <c r="F26" s="1" t="str">
        <f>VLOOKUP(D26,Table12[[Name]:[Native]],3,FALSE)</f>
        <v>潞城区</v>
      </c>
      <c r="G26" s="12" t="str">
        <f ca="1">VLOOKUP(F26,Table12[[Native]:[Population4]],5,FALSE)</f>
        <v>长治市</v>
      </c>
    </row>
    <row r="27" spans="1:7" ht="15.75" thickBot="1" x14ac:dyDescent="0.3">
      <c r="A27" t="s">
        <v>68</v>
      </c>
      <c r="B27" s="1" t="s">
        <v>69</v>
      </c>
      <c r="C27" s="1" t="s">
        <v>7</v>
      </c>
      <c r="D27" s="1" t="s">
        <v>28</v>
      </c>
      <c r="E27" s="9">
        <v>57064</v>
      </c>
      <c r="F27" s="1" t="str">
        <f>VLOOKUP(D27,Table12[[Name]:[Native]],3,FALSE)</f>
        <v>沁县</v>
      </c>
      <c r="G27" s="12" t="str">
        <f ca="1">VLOOKUP(F27,Table12[[Native]:[Population4]],5,FALSE)</f>
        <v>长治市</v>
      </c>
    </row>
    <row r="28" spans="1:7" ht="15.75" thickBot="1" x14ac:dyDescent="0.3">
      <c r="A28" t="s">
        <v>70</v>
      </c>
      <c r="B28" s="1" t="s">
        <v>71</v>
      </c>
      <c r="C28" s="1" t="s">
        <v>17</v>
      </c>
      <c r="D28" s="1" t="s">
        <v>14</v>
      </c>
      <c r="E28" s="9">
        <v>19590</v>
      </c>
      <c r="F28" s="1" t="str">
        <f>VLOOKUP(D28,Table12[[Name]:[Native]],3,FALSE)</f>
        <v>上党区</v>
      </c>
      <c r="G28" s="12" t="str">
        <f ca="1">VLOOKUP(F28,Table12[[Native]:[Population4]],5,FALSE)</f>
        <v>长治市</v>
      </c>
    </row>
    <row r="29" spans="1:7" ht="15.75" thickBot="1" x14ac:dyDescent="0.3">
      <c r="A29" t="s">
        <v>72</v>
      </c>
      <c r="B29" s="1" t="s">
        <v>73</v>
      </c>
      <c r="C29" s="1" t="s">
        <v>31</v>
      </c>
      <c r="D29" s="1" t="s">
        <v>32</v>
      </c>
      <c r="E29" s="9">
        <v>51599</v>
      </c>
      <c r="F29" s="1" t="str">
        <f>VLOOKUP(D29,Table12[[Name]:[Native]],3,FALSE)</f>
        <v>潞州区</v>
      </c>
      <c r="G29" s="12" t="str">
        <f ca="1">VLOOKUP(F29,Table12[[Native]:[Population4]],5,FALSE)</f>
        <v>长治市</v>
      </c>
    </row>
    <row r="30" spans="1:7" ht="15.75" thickBot="1" x14ac:dyDescent="0.3">
      <c r="A30" t="s">
        <v>74</v>
      </c>
      <c r="B30" s="1" t="s">
        <v>75</v>
      </c>
      <c r="C30" s="1" t="s">
        <v>17</v>
      </c>
      <c r="D30" s="1" t="s">
        <v>8</v>
      </c>
      <c r="E30" s="9">
        <v>17600</v>
      </c>
      <c r="F30" s="1" t="str">
        <f>VLOOKUP(D30,Table12[[Name]:[Native]],3,FALSE)</f>
        <v>壶关县</v>
      </c>
      <c r="G30" s="12" t="str">
        <f ca="1">VLOOKUP(F30,Table12[[Native]:[Population4]],5,FALSE)</f>
        <v>长治市</v>
      </c>
    </row>
    <row r="31" spans="1:7" ht="15.75" thickBot="1" x14ac:dyDescent="0.3">
      <c r="A31" t="s">
        <v>76</v>
      </c>
      <c r="B31" s="1" t="s">
        <v>77</v>
      </c>
      <c r="C31" s="1" t="s">
        <v>17</v>
      </c>
      <c r="D31" s="1" t="s">
        <v>20</v>
      </c>
      <c r="E31" s="9">
        <v>9004</v>
      </c>
      <c r="F31" s="1" t="str">
        <f>VLOOKUP(D31,Table12[[Name]:[Native]],3,FALSE)</f>
        <v>平顺县</v>
      </c>
      <c r="G31" s="12" t="str">
        <f ca="1">VLOOKUP(F31,Table12[[Native]:[Population4]],5,FALSE)</f>
        <v>长治市</v>
      </c>
    </row>
    <row r="32" spans="1:7" ht="15.75" thickBot="1" x14ac:dyDescent="0.3">
      <c r="A32" t="s">
        <v>78</v>
      </c>
      <c r="B32" s="1" t="s">
        <v>79</v>
      </c>
      <c r="C32" s="1" t="s">
        <v>7</v>
      </c>
      <c r="D32" s="1" t="s">
        <v>47</v>
      </c>
      <c r="E32" s="9">
        <v>15301</v>
      </c>
      <c r="F32" s="1" t="str">
        <f>VLOOKUP(D32,Table12[[Name]:[Native]],3,FALSE)</f>
        <v>黎城县</v>
      </c>
      <c r="G32" s="12" t="str">
        <f ca="1">VLOOKUP(F32,Table12[[Native]:[Population4]],5,FALSE)</f>
        <v>长治市</v>
      </c>
    </row>
    <row r="33" spans="1:7" ht="15.75" thickBot="1" x14ac:dyDescent="0.3">
      <c r="A33" t="s">
        <v>80</v>
      </c>
      <c r="B33" s="1" t="s">
        <v>81</v>
      </c>
      <c r="C33" s="1" t="s">
        <v>17</v>
      </c>
      <c r="D33" s="1" t="s">
        <v>28</v>
      </c>
      <c r="E33" s="9">
        <v>15266</v>
      </c>
      <c r="F33" s="1" t="str">
        <f>VLOOKUP(D33,Table12[[Name]:[Native]],3,FALSE)</f>
        <v>沁县</v>
      </c>
      <c r="G33" s="12" t="str">
        <f ca="1">VLOOKUP(F33,Table12[[Native]:[Population4]],5,FALSE)</f>
        <v>长治市</v>
      </c>
    </row>
    <row r="34" spans="1:7" ht="15.75" thickBot="1" x14ac:dyDescent="0.3">
      <c r="A34" t="s">
        <v>82</v>
      </c>
      <c r="B34" s="1" t="s">
        <v>83</v>
      </c>
      <c r="C34" s="1" t="s">
        <v>17</v>
      </c>
      <c r="D34" s="1" t="s">
        <v>8</v>
      </c>
      <c r="E34" s="9">
        <v>7818</v>
      </c>
      <c r="F34" s="1" t="str">
        <f>VLOOKUP(D34,Table12[[Name]:[Native]],3,FALSE)</f>
        <v>壶关县</v>
      </c>
      <c r="G34" s="12" t="str">
        <f ca="1">VLOOKUP(F34,Table12[[Native]:[Population4]],5,FALSE)</f>
        <v>长治市</v>
      </c>
    </row>
    <row r="35" spans="1:7" ht="15.75" thickBot="1" x14ac:dyDescent="0.3">
      <c r="A35" t="s">
        <v>84</v>
      </c>
      <c r="B35" s="1" t="s">
        <v>85</v>
      </c>
      <c r="C35" s="1" t="s">
        <v>17</v>
      </c>
      <c r="D35" s="1" t="s">
        <v>50</v>
      </c>
      <c r="E35" s="9">
        <v>7717</v>
      </c>
      <c r="F35" s="1" t="str">
        <f>VLOOKUP(D35,Table12[[Name]:[Native]],3,FALSE)</f>
        <v>沁源县</v>
      </c>
      <c r="G35" s="12" t="str">
        <f ca="1">VLOOKUP(F35,Table12[[Native]:[Population4]],5,FALSE)</f>
        <v>长治市</v>
      </c>
    </row>
    <row r="36" spans="1:7" ht="15.75" thickBot="1" x14ac:dyDescent="0.3">
      <c r="A36" t="s">
        <v>86</v>
      </c>
      <c r="B36" s="1" t="s">
        <v>87</v>
      </c>
      <c r="C36" s="1" t="s">
        <v>7</v>
      </c>
      <c r="D36" s="1" t="s">
        <v>88</v>
      </c>
      <c r="E36" s="9">
        <v>9397</v>
      </c>
      <c r="F36" s="1" t="str">
        <f>VLOOKUP(D36,Table12[[Name]:[Native]],3,FALSE)</f>
        <v>屯留区</v>
      </c>
      <c r="G36" s="12" t="str">
        <f ca="1">VLOOKUP(F36,Table12[[Native]:[Population4]],5,FALSE)</f>
        <v>长治市</v>
      </c>
    </row>
    <row r="37" spans="1:7" ht="15.75" thickBot="1" x14ac:dyDescent="0.3">
      <c r="A37" t="s">
        <v>89</v>
      </c>
      <c r="B37" s="1" t="s">
        <v>90</v>
      </c>
      <c r="C37" s="1" t="s">
        <v>7</v>
      </c>
      <c r="D37" s="1" t="s">
        <v>65</v>
      </c>
      <c r="E37" s="9">
        <v>49594</v>
      </c>
      <c r="F37" s="1" t="str">
        <f>VLOOKUP(D37,Table12[[Name]:[Native]],3,FALSE)</f>
        <v>武乡县</v>
      </c>
      <c r="G37" s="12" t="str">
        <f ca="1">VLOOKUP(F37,Table12[[Native]:[Population4]],5,FALSE)</f>
        <v>长治市</v>
      </c>
    </row>
    <row r="38" spans="1:7" ht="15.75" thickBot="1" x14ac:dyDescent="0.3">
      <c r="A38" t="s">
        <v>91</v>
      </c>
      <c r="B38" s="1" t="s">
        <v>92</v>
      </c>
      <c r="C38" s="1" t="s">
        <v>17</v>
      </c>
      <c r="D38" s="1" t="s">
        <v>65</v>
      </c>
      <c r="E38" s="9">
        <v>6129</v>
      </c>
      <c r="F38" s="1" t="str">
        <f>VLOOKUP(D38,Table12[[Name]:[Native]],3,FALSE)</f>
        <v>武乡县</v>
      </c>
      <c r="G38" s="12" t="str">
        <f ca="1">VLOOKUP(F38,Table12[[Native]:[Population4]],5,FALSE)</f>
        <v>长治市</v>
      </c>
    </row>
    <row r="39" spans="1:7" ht="15.75" thickBot="1" x14ac:dyDescent="0.3">
      <c r="A39" t="s">
        <v>93</v>
      </c>
      <c r="B39" s="1" t="s">
        <v>94</v>
      </c>
      <c r="C39" s="1" t="s">
        <v>17</v>
      </c>
      <c r="D39" s="1" t="s">
        <v>50</v>
      </c>
      <c r="E39" s="9">
        <v>3441</v>
      </c>
      <c r="F39" s="1" t="str">
        <f>VLOOKUP(D39,Table12[[Name]:[Native]],3,FALSE)</f>
        <v>沁源县</v>
      </c>
      <c r="G39" s="12" t="str">
        <f ca="1">VLOOKUP(F39,Table12[[Native]:[Population4]],5,FALSE)</f>
        <v>长治市</v>
      </c>
    </row>
    <row r="40" spans="1:7" ht="15.75" thickBot="1" x14ac:dyDescent="0.3">
      <c r="A40" t="s">
        <v>95</v>
      </c>
      <c r="B40" s="1" t="s">
        <v>96</v>
      </c>
      <c r="C40" s="1" t="s">
        <v>7</v>
      </c>
      <c r="D40" s="1" t="s">
        <v>65</v>
      </c>
      <c r="E40" s="9">
        <v>15861</v>
      </c>
      <c r="F40" s="1" t="str">
        <f>VLOOKUP(D40,Table12[[Name]:[Native]],3,FALSE)</f>
        <v>武乡县</v>
      </c>
      <c r="G40" s="12" t="str">
        <f ca="1">VLOOKUP(F40,Table12[[Native]:[Population4]],5,FALSE)</f>
        <v>长治市</v>
      </c>
    </row>
    <row r="41" spans="1:7" ht="15.75" thickBot="1" x14ac:dyDescent="0.3">
      <c r="A41" t="s">
        <v>97</v>
      </c>
      <c r="B41" s="1" t="s">
        <v>98</v>
      </c>
      <c r="C41" s="1" t="s">
        <v>7</v>
      </c>
      <c r="D41" s="1" t="s">
        <v>23</v>
      </c>
      <c r="E41" s="9">
        <v>82325</v>
      </c>
      <c r="F41" s="1" t="str">
        <f>VLOOKUP(D41,Table12[[Name]:[Native]],3,FALSE)</f>
        <v>襄垣县</v>
      </c>
      <c r="G41" s="12" t="str">
        <f ca="1">VLOOKUP(F41,Table12[[Native]:[Population4]],5,FALSE)</f>
        <v>长治市</v>
      </c>
    </row>
    <row r="42" spans="1:7" ht="15.75" thickBot="1" x14ac:dyDescent="0.3">
      <c r="A42" t="s">
        <v>99</v>
      </c>
      <c r="B42" s="1" t="s">
        <v>100</v>
      </c>
      <c r="C42" s="1" t="s">
        <v>7</v>
      </c>
      <c r="D42" s="1" t="s">
        <v>28</v>
      </c>
      <c r="E42" s="9">
        <v>11026</v>
      </c>
      <c r="F42" s="1" t="str">
        <f>VLOOKUP(D42,Table12[[Name]:[Native]],3,FALSE)</f>
        <v>沁县</v>
      </c>
      <c r="G42" s="12" t="str">
        <f ca="1">VLOOKUP(F42,Table12[[Native]:[Population4]],5,FALSE)</f>
        <v>长治市</v>
      </c>
    </row>
    <row r="43" spans="1:7" ht="15.75" thickBot="1" x14ac:dyDescent="0.3">
      <c r="A43" t="s">
        <v>101</v>
      </c>
      <c r="B43" s="1" t="s">
        <v>102</v>
      </c>
      <c r="C43" s="1" t="s">
        <v>7</v>
      </c>
      <c r="D43" s="1" t="s">
        <v>50</v>
      </c>
      <c r="E43" s="9">
        <v>17198</v>
      </c>
      <c r="F43" s="1" t="str">
        <f>VLOOKUP(D43,Table12[[Name]:[Native]],3,FALSE)</f>
        <v>沁源县</v>
      </c>
      <c r="G43" s="12" t="str">
        <f ca="1">VLOOKUP(F43,Table12[[Native]:[Population4]],5,FALSE)</f>
        <v>长治市</v>
      </c>
    </row>
    <row r="44" spans="1:7" ht="15.75" thickBot="1" x14ac:dyDescent="0.3">
      <c r="A44" t="s">
        <v>103</v>
      </c>
      <c r="B44" s="1" t="s">
        <v>104</v>
      </c>
      <c r="C44" s="1" t="s">
        <v>31</v>
      </c>
      <c r="D44" s="1" t="s">
        <v>32</v>
      </c>
      <c r="E44" s="9">
        <v>66978</v>
      </c>
      <c r="F44" s="1" t="str">
        <f>VLOOKUP(D44,Table12[[Name]:[Native]],3,FALSE)</f>
        <v>潞州区</v>
      </c>
      <c r="G44" s="12" t="str">
        <f ca="1">VLOOKUP(F44,Table12[[Native]:[Population4]],5,FALSE)</f>
        <v>长治市</v>
      </c>
    </row>
    <row r="45" spans="1:7" ht="15.75" thickBot="1" x14ac:dyDescent="0.3">
      <c r="A45" t="s">
        <v>105</v>
      </c>
      <c r="B45" s="1" t="s">
        <v>106</v>
      </c>
      <c r="C45" s="1" t="s">
        <v>17</v>
      </c>
      <c r="D45" s="1" t="s">
        <v>65</v>
      </c>
      <c r="E45" s="9">
        <v>4298</v>
      </c>
      <c r="F45" s="1" t="str">
        <f>VLOOKUP(D45,Table12[[Name]:[Native]],3,FALSE)</f>
        <v>武乡县</v>
      </c>
      <c r="G45" s="12" t="str">
        <f ca="1">VLOOKUP(F45,Table12[[Native]:[Population4]],5,FALSE)</f>
        <v>长治市</v>
      </c>
    </row>
    <row r="46" spans="1:7" ht="15.75" thickBot="1" x14ac:dyDescent="0.3">
      <c r="A46" t="s">
        <v>107</v>
      </c>
      <c r="B46" s="1" t="s">
        <v>108</v>
      </c>
      <c r="C46" s="1" t="s">
        <v>7</v>
      </c>
      <c r="D46" s="1" t="s">
        <v>28</v>
      </c>
      <c r="E46" s="9">
        <v>13003</v>
      </c>
      <c r="F46" s="1" t="str">
        <f>VLOOKUP(D46,Table12[[Name]:[Native]],3,FALSE)</f>
        <v>沁县</v>
      </c>
      <c r="G46" s="12" t="str">
        <f ca="1">VLOOKUP(F46,Table12[[Native]:[Population4]],5,FALSE)</f>
        <v>长治市</v>
      </c>
    </row>
    <row r="47" spans="1:7" ht="15.75" thickBot="1" x14ac:dyDescent="0.3">
      <c r="A47" t="s">
        <v>109</v>
      </c>
      <c r="B47" s="1" t="s">
        <v>110</v>
      </c>
      <c r="C47" s="1" t="s">
        <v>17</v>
      </c>
      <c r="D47" s="1" t="s">
        <v>65</v>
      </c>
      <c r="E47" s="9">
        <v>11097</v>
      </c>
      <c r="F47" s="1" t="str">
        <f>VLOOKUP(D47,Table12[[Name]:[Native]],3,FALSE)</f>
        <v>武乡县</v>
      </c>
      <c r="G47" s="12" t="str">
        <f ca="1">VLOOKUP(F47,Table12[[Native]:[Population4]],5,FALSE)</f>
        <v>长治市</v>
      </c>
    </row>
    <row r="48" spans="1:7" ht="15.75" thickBot="1" x14ac:dyDescent="0.3">
      <c r="A48" t="s">
        <v>111</v>
      </c>
      <c r="B48" s="1" t="s">
        <v>112</v>
      </c>
      <c r="C48" s="1" t="s">
        <v>31</v>
      </c>
      <c r="D48" s="1" t="s">
        <v>14</v>
      </c>
      <c r="E48" s="9">
        <v>69569</v>
      </c>
      <c r="F48" s="1" t="str">
        <f>VLOOKUP(D48,Table12[[Name]:[Native]],3,FALSE)</f>
        <v>上党区</v>
      </c>
      <c r="G48" s="12" t="str">
        <f ca="1">VLOOKUP(F48,Table12[[Native]:[Population4]],5,FALSE)</f>
        <v>长治市</v>
      </c>
    </row>
    <row r="49" spans="1:7" ht="15.75" thickBot="1" x14ac:dyDescent="0.3">
      <c r="A49" t="s">
        <v>113</v>
      </c>
      <c r="B49" s="1" t="s">
        <v>114</v>
      </c>
      <c r="C49" s="1" t="s">
        <v>17</v>
      </c>
      <c r="D49" s="1" t="s">
        <v>50</v>
      </c>
      <c r="E49" s="9">
        <v>8313</v>
      </c>
      <c r="F49" s="1" t="str">
        <f>VLOOKUP(D49,Table12[[Name]:[Native]],3,FALSE)</f>
        <v>沁源县</v>
      </c>
      <c r="G49" s="12" t="str">
        <f ca="1">VLOOKUP(F49,Table12[[Native]:[Population4]],5,FALSE)</f>
        <v>长治市</v>
      </c>
    </row>
    <row r="50" spans="1:7" ht="15.75" thickBot="1" x14ac:dyDescent="0.3">
      <c r="A50" t="s">
        <v>115</v>
      </c>
      <c r="B50" s="1" t="s">
        <v>116</v>
      </c>
      <c r="C50" s="1" t="s">
        <v>7</v>
      </c>
      <c r="D50" s="1" t="s">
        <v>14</v>
      </c>
      <c r="E50" s="9">
        <v>26480</v>
      </c>
      <c r="F50" s="1" t="str">
        <f>VLOOKUP(D50,Table12[[Name]:[Native]],3,FALSE)</f>
        <v>上党区</v>
      </c>
      <c r="G50" s="12" t="str">
        <f ca="1">VLOOKUP(F50,Table12[[Native]:[Population4]],5,FALSE)</f>
        <v>长治市</v>
      </c>
    </row>
    <row r="51" spans="1:7" ht="15.75" thickBot="1" x14ac:dyDescent="0.3">
      <c r="A51" t="s">
        <v>117</v>
      </c>
      <c r="B51" s="1" t="s">
        <v>118</v>
      </c>
      <c r="C51" s="1" t="s">
        <v>17</v>
      </c>
      <c r="D51" s="1" t="s">
        <v>88</v>
      </c>
      <c r="E51" s="9">
        <v>16999</v>
      </c>
      <c r="F51" s="1" t="str">
        <f>VLOOKUP(D51,Table12[[Name]:[Native]],3,FALSE)</f>
        <v>屯留区</v>
      </c>
      <c r="G51" s="12" t="str">
        <f ca="1">VLOOKUP(F51,Table12[[Native]:[Population4]],5,FALSE)</f>
        <v>长治市</v>
      </c>
    </row>
    <row r="52" spans="1:7" ht="15.75" thickBot="1" x14ac:dyDescent="0.3">
      <c r="A52" t="s">
        <v>119</v>
      </c>
      <c r="B52" s="1" t="s">
        <v>120</v>
      </c>
      <c r="C52" s="1" t="s">
        <v>17</v>
      </c>
      <c r="D52" s="1" t="s">
        <v>44</v>
      </c>
      <c r="E52" s="9">
        <v>8275</v>
      </c>
      <c r="F52" s="1" t="str">
        <f>VLOOKUP(D52,Table12[[Name]:[Native]],3,FALSE)</f>
        <v>潞城区</v>
      </c>
      <c r="G52" s="12" t="str">
        <f ca="1">VLOOKUP(F52,Table12[[Native]:[Population4]],5,FALSE)</f>
        <v>长治市</v>
      </c>
    </row>
    <row r="53" spans="1:7" ht="15.75" thickBot="1" x14ac:dyDescent="0.3">
      <c r="A53" t="s">
        <v>121</v>
      </c>
      <c r="B53" s="1" t="s">
        <v>122</v>
      </c>
      <c r="C53" s="1" t="s">
        <v>17</v>
      </c>
      <c r="D53" s="1" t="s">
        <v>47</v>
      </c>
      <c r="E53" s="9">
        <v>8340</v>
      </c>
      <c r="F53" s="1" t="str">
        <f>VLOOKUP(D53,Table12[[Name]:[Native]],3,FALSE)</f>
        <v>黎城县</v>
      </c>
      <c r="G53" s="12" t="str">
        <f ca="1">VLOOKUP(F53,Table12[[Native]:[Population4]],5,FALSE)</f>
        <v>长治市</v>
      </c>
    </row>
    <row r="54" spans="1:7" ht="15.75" thickBot="1" x14ac:dyDescent="0.3">
      <c r="A54" t="s">
        <v>123</v>
      </c>
      <c r="B54" s="1" t="s">
        <v>124</v>
      </c>
      <c r="C54" s="1" t="s">
        <v>7</v>
      </c>
      <c r="D54" s="1" t="s">
        <v>65</v>
      </c>
      <c r="E54" s="9">
        <v>22508</v>
      </c>
      <c r="F54" s="1" t="str">
        <f>VLOOKUP(D54,Table12[[Name]:[Native]],3,FALSE)</f>
        <v>武乡县</v>
      </c>
      <c r="G54" s="12" t="str">
        <f ca="1">VLOOKUP(F54,Table12[[Native]:[Population4]],5,FALSE)</f>
        <v>长治市</v>
      </c>
    </row>
    <row r="55" spans="1:7" ht="15.75" thickBot="1" x14ac:dyDescent="0.3">
      <c r="A55" t="s">
        <v>125</v>
      </c>
      <c r="B55" s="1" t="s">
        <v>126</v>
      </c>
      <c r="C55" s="1" t="s">
        <v>17</v>
      </c>
      <c r="D55" s="1" t="s">
        <v>20</v>
      </c>
      <c r="E55" s="9">
        <v>7780</v>
      </c>
      <c r="F55" s="1" t="str">
        <f>VLOOKUP(D55,Table12[[Name]:[Native]],3,FALSE)</f>
        <v>平顺县</v>
      </c>
      <c r="G55" s="12" t="str">
        <f ca="1">VLOOKUP(F55,Table12[[Native]:[Population4]],5,FALSE)</f>
        <v>长治市</v>
      </c>
    </row>
    <row r="56" spans="1:7" ht="15.75" thickBot="1" x14ac:dyDescent="0.3">
      <c r="A56" t="s">
        <v>127</v>
      </c>
      <c r="B56" s="1" t="s">
        <v>128</v>
      </c>
      <c r="C56" s="1" t="s">
        <v>7</v>
      </c>
      <c r="D56" s="1" t="s">
        <v>23</v>
      </c>
      <c r="E56" s="9">
        <v>44360</v>
      </c>
      <c r="F56" s="1" t="str">
        <f>VLOOKUP(D56,Table12[[Name]:[Native]],3,FALSE)</f>
        <v>襄垣县</v>
      </c>
      <c r="G56" s="12" t="str">
        <f ca="1">VLOOKUP(F56,Table12[[Native]:[Population4]],5,FALSE)</f>
        <v>长治市</v>
      </c>
    </row>
    <row r="57" spans="1:7" ht="15.75" thickBot="1" x14ac:dyDescent="0.3">
      <c r="A57" t="s">
        <v>129</v>
      </c>
      <c r="B57" s="1" t="s">
        <v>130</v>
      </c>
      <c r="C57" s="1" t="s">
        <v>7</v>
      </c>
      <c r="D57" s="1" t="s">
        <v>32</v>
      </c>
      <c r="E57" s="9">
        <v>41006</v>
      </c>
      <c r="F57" s="1" t="str">
        <f>VLOOKUP(D57,Table12[[Name]:[Native]],3,FALSE)</f>
        <v>潞州区</v>
      </c>
      <c r="G57" s="12" t="str">
        <f ca="1">VLOOKUP(F57,Table12[[Native]:[Population4]],5,FALSE)</f>
        <v>长治市</v>
      </c>
    </row>
    <row r="58" spans="1:7" ht="15.75" thickBot="1" x14ac:dyDescent="0.3">
      <c r="A58" t="s">
        <v>131</v>
      </c>
      <c r="B58" s="1" t="s">
        <v>132</v>
      </c>
      <c r="C58" s="1" t="s">
        <v>7</v>
      </c>
      <c r="D58" s="1" t="s">
        <v>32</v>
      </c>
      <c r="E58" s="9">
        <v>35495</v>
      </c>
      <c r="F58" s="1" t="str">
        <f>VLOOKUP(D58,Table12[[Name]:[Native]],3,FALSE)</f>
        <v>潞州区</v>
      </c>
      <c r="G58" s="12" t="str">
        <f ca="1">VLOOKUP(F58,Table12[[Native]:[Population4]],5,FALSE)</f>
        <v>长治市</v>
      </c>
    </row>
    <row r="59" spans="1:7" ht="15.75" thickBot="1" x14ac:dyDescent="0.3">
      <c r="A59" t="s">
        <v>133</v>
      </c>
      <c r="B59" s="1" t="s">
        <v>134</v>
      </c>
      <c r="C59" s="1" t="s">
        <v>17</v>
      </c>
      <c r="D59" s="1" t="s">
        <v>44</v>
      </c>
      <c r="E59" s="9">
        <v>12865</v>
      </c>
      <c r="F59" s="1" t="str">
        <f>VLOOKUP(D59,Table12[[Name]:[Native]],3,FALSE)</f>
        <v>潞城区</v>
      </c>
      <c r="G59" s="12" t="str">
        <f ca="1">VLOOKUP(F59,Table12[[Native]:[Population4]],5,FALSE)</f>
        <v>长治市</v>
      </c>
    </row>
    <row r="60" spans="1:7" ht="15.75" thickBot="1" x14ac:dyDescent="0.3">
      <c r="A60" t="s">
        <v>135</v>
      </c>
      <c r="B60" s="1" t="s">
        <v>136</v>
      </c>
      <c r="C60" s="1" t="s">
        <v>17</v>
      </c>
      <c r="D60" s="1" t="s">
        <v>8</v>
      </c>
      <c r="E60" s="9">
        <v>25991</v>
      </c>
      <c r="F60" s="1" t="str">
        <f>VLOOKUP(D60,Table12[[Name]:[Native]],3,FALSE)</f>
        <v>壶关县</v>
      </c>
      <c r="G60" s="12" t="str">
        <f ca="1">VLOOKUP(F60,Table12[[Native]:[Population4]],5,FALSE)</f>
        <v>长治市</v>
      </c>
    </row>
    <row r="61" spans="1:7" ht="15.75" thickBot="1" x14ac:dyDescent="0.3">
      <c r="A61" t="s">
        <v>137</v>
      </c>
      <c r="B61" s="1" t="s">
        <v>138</v>
      </c>
      <c r="C61" s="1" t="s">
        <v>7</v>
      </c>
      <c r="D61" s="1" t="s">
        <v>47</v>
      </c>
      <c r="E61" s="9">
        <v>13857</v>
      </c>
      <c r="F61" s="1" t="str">
        <f>VLOOKUP(D61,Table12[[Name]:[Native]],3,FALSE)</f>
        <v>黎城县</v>
      </c>
      <c r="G61" s="12" t="str">
        <f ca="1">VLOOKUP(F61,Table12[[Native]:[Population4]],5,FALSE)</f>
        <v>长治市</v>
      </c>
    </row>
    <row r="62" spans="1:7" ht="15.75" thickBot="1" x14ac:dyDescent="0.3">
      <c r="A62" t="s">
        <v>139</v>
      </c>
      <c r="B62" s="1" t="s">
        <v>140</v>
      </c>
      <c r="C62" s="1" t="s">
        <v>17</v>
      </c>
      <c r="D62" s="1" t="s">
        <v>65</v>
      </c>
      <c r="E62" s="9">
        <v>5342</v>
      </c>
      <c r="F62" s="1" t="str">
        <f>VLOOKUP(D62,Table12[[Name]:[Native]],3,FALSE)</f>
        <v>武乡县</v>
      </c>
      <c r="G62" s="12" t="str">
        <f ca="1">VLOOKUP(F62,Table12[[Native]:[Population4]],5,FALSE)</f>
        <v>长治市</v>
      </c>
    </row>
    <row r="63" spans="1:7" ht="15.75" thickBot="1" x14ac:dyDescent="0.3">
      <c r="A63" t="s">
        <v>141</v>
      </c>
      <c r="B63" s="1" t="s">
        <v>142</v>
      </c>
      <c r="C63" s="1" t="s">
        <v>7</v>
      </c>
      <c r="D63" s="1" t="s">
        <v>65</v>
      </c>
      <c r="E63" s="9">
        <v>8683</v>
      </c>
      <c r="F63" s="1" t="str">
        <f>VLOOKUP(D63,Table12[[Name]:[Native]],3,FALSE)</f>
        <v>武乡县</v>
      </c>
      <c r="G63" s="12" t="str">
        <f ca="1">VLOOKUP(F63,Table12[[Native]:[Population4]],5,FALSE)</f>
        <v>长治市</v>
      </c>
    </row>
    <row r="64" spans="1:7" ht="15.75" thickBot="1" x14ac:dyDescent="0.3">
      <c r="A64" t="s">
        <v>143</v>
      </c>
      <c r="B64" s="1" t="s">
        <v>144</v>
      </c>
      <c r="C64" s="1" t="s">
        <v>17</v>
      </c>
      <c r="D64" s="1" t="s">
        <v>50</v>
      </c>
      <c r="E64" s="9">
        <v>7761</v>
      </c>
      <c r="F64" s="1" t="str">
        <f>VLOOKUP(D64,Table12[[Name]:[Native]],3,FALSE)</f>
        <v>沁源县</v>
      </c>
      <c r="G64" s="12" t="str">
        <f ca="1">VLOOKUP(F64,Table12[[Native]:[Population4]],5,FALSE)</f>
        <v>长治市</v>
      </c>
    </row>
    <row r="65" spans="1:7" ht="15.75" thickBot="1" x14ac:dyDescent="0.3">
      <c r="A65" t="s">
        <v>145</v>
      </c>
      <c r="B65" s="1" t="s">
        <v>146</v>
      </c>
      <c r="C65" s="1" t="s">
        <v>7</v>
      </c>
      <c r="D65" s="1" t="s">
        <v>14</v>
      </c>
      <c r="E65" s="9">
        <v>15489</v>
      </c>
      <c r="F65" s="1" t="str">
        <f>VLOOKUP(D65,Table12[[Name]:[Native]],3,FALSE)</f>
        <v>上党区</v>
      </c>
      <c r="G65" s="12" t="str">
        <f ca="1">VLOOKUP(F65,Table12[[Native]:[Population4]],5,FALSE)</f>
        <v>长治市</v>
      </c>
    </row>
    <row r="66" spans="1:7" ht="15.75" thickBot="1" x14ac:dyDescent="0.3">
      <c r="A66" t="s">
        <v>147</v>
      </c>
      <c r="B66" s="1" t="s">
        <v>148</v>
      </c>
      <c r="C66" s="1" t="s">
        <v>17</v>
      </c>
      <c r="D66" s="1" t="s">
        <v>8</v>
      </c>
      <c r="E66" s="9">
        <v>24889</v>
      </c>
      <c r="F66" s="1" t="str">
        <f>VLOOKUP(D66,Table12[[Name]:[Native]],3,FALSE)</f>
        <v>壶关县</v>
      </c>
      <c r="G66" s="12" t="str">
        <f ca="1">VLOOKUP(F66,Table12[[Native]:[Population4]],5,FALSE)</f>
        <v>长治市</v>
      </c>
    </row>
    <row r="67" spans="1:7" ht="15.75" thickBot="1" x14ac:dyDescent="0.3">
      <c r="A67" t="s">
        <v>149</v>
      </c>
      <c r="B67" s="1" t="s">
        <v>150</v>
      </c>
      <c r="C67" s="1" t="s">
        <v>17</v>
      </c>
      <c r="D67" s="1" t="s">
        <v>50</v>
      </c>
      <c r="E67" s="9">
        <v>2077</v>
      </c>
      <c r="F67" s="1" t="str">
        <f>VLOOKUP(D67,Table12[[Name]:[Native]],3,FALSE)</f>
        <v>沁源县</v>
      </c>
      <c r="G67" s="12" t="str">
        <f ca="1">VLOOKUP(F67,Table12[[Native]:[Population4]],5,FALSE)</f>
        <v>长治市</v>
      </c>
    </row>
    <row r="68" spans="1:7" ht="15.75" thickBot="1" x14ac:dyDescent="0.3">
      <c r="A68" t="s">
        <v>151</v>
      </c>
      <c r="B68" s="1" t="s">
        <v>152</v>
      </c>
      <c r="C68" s="1" t="s">
        <v>7</v>
      </c>
      <c r="D68" s="1" t="s">
        <v>8</v>
      </c>
      <c r="E68" s="9">
        <v>24848</v>
      </c>
      <c r="F68" s="1" t="str">
        <f>VLOOKUP(D68,Table12[[Name]:[Native]],3,FALSE)</f>
        <v>壶关县</v>
      </c>
      <c r="G68" s="12" t="str">
        <f ca="1">VLOOKUP(F68,Table12[[Native]:[Population4]],5,FALSE)</f>
        <v>长治市</v>
      </c>
    </row>
    <row r="69" spans="1:7" ht="15.75" thickBot="1" x14ac:dyDescent="0.3">
      <c r="A69" t="s">
        <v>153</v>
      </c>
      <c r="B69" s="1" t="s">
        <v>154</v>
      </c>
      <c r="C69" s="1" t="s">
        <v>35</v>
      </c>
      <c r="D69" s="1" t="s">
        <v>14</v>
      </c>
      <c r="E69" s="9">
        <v>11482</v>
      </c>
      <c r="F69" s="1" t="str">
        <f>VLOOKUP(D69,Table12[[Name]:[Native]],3,FALSE)</f>
        <v>上党区</v>
      </c>
      <c r="G69" s="12" t="str">
        <f ca="1">VLOOKUP(F69,Table12[[Native]:[Population4]],5,FALSE)</f>
        <v>长治市</v>
      </c>
    </row>
    <row r="70" spans="1:7" ht="15.75" thickBot="1" x14ac:dyDescent="0.3">
      <c r="A70" t="s">
        <v>155</v>
      </c>
      <c r="B70" s="1" t="s">
        <v>156</v>
      </c>
      <c r="C70" s="1" t="s">
        <v>35</v>
      </c>
      <c r="D70" s="1" t="s">
        <v>88</v>
      </c>
      <c r="E70" s="9">
        <v>14170</v>
      </c>
      <c r="F70" s="1" t="str">
        <f>VLOOKUP(D70,Table12[[Name]:[Native]],3,FALSE)</f>
        <v>屯留区</v>
      </c>
      <c r="G70" s="12" t="str">
        <f ca="1">VLOOKUP(F70,Table12[[Native]:[Population4]],5,FALSE)</f>
        <v>长治市</v>
      </c>
    </row>
    <row r="71" spans="1:7" ht="15.75" thickBot="1" x14ac:dyDescent="0.3">
      <c r="A71" t="s">
        <v>157</v>
      </c>
      <c r="B71" s="1" t="s">
        <v>158</v>
      </c>
      <c r="C71" s="1" t="s">
        <v>17</v>
      </c>
      <c r="D71" s="1" t="s">
        <v>11</v>
      </c>
      <c r="E71" s="9">
        <v>15948</v>
      </c>
      <c r="F71" s="1" t="str">
        <f>VLOOKUP(D71,Table12[[Name]:[Native]],3,FALSE)</f>
        <v>长子县</v>
      </c>
      <c r="G71" s="12" t="str">
        <f ca="1">VLOOKUP(F71,Table12[[Native]:[Population4]],5,FALSE)</f>
        <v>长治市</v>
      </c>
    </row>
    <row r="72" spans="1:7" ht="15.75" thickBot="1" x14ac:dyDescent="0.3">
      <c r="A72" t="s">
        <v>159</v>
      </c>
      <c r="B72" s="1" t="s">
        <v>160</v>
      </c>
      <c r="C72" s="1" t="s">
        <v>7</v>
      </c>
      <c r="D72" s="1" t="s">
        <v>32</v>
      </c>
      <c r="E72" s="9">
        <v>39336</v>
      </c>
      <c r="F72" s="1" t="str">
        <f>VLOOKUP(D72,Table12[[Name]:[Native]],3,FALSE)</f>
        <v>潞州区</v>
      </c>
      <c r="G72" s="12" t="str">
        <f ca="1">VLOOKUP(F72,Table12[[Native]:[Population4]],5,FALSE)</f>
        <v>长治市</v>
      </c>
    </row>
    <row r="73" spans="1:7" ht="15.75" thickBot="1" x14ac:dyDescent="0.3">
      <c r="A73" t="s">
        <v>161</v>
      </c>
      <c r="B73" s="1" t="s">
        <v>162</v>
      </c>
      <c r="C73" s="1" t="s">
        <v>17</v>
      </c>
      <c r="D73" s="1" t="s">
        <v>88</v>
      </c>
      <c r="E73" s="9">
        <v>16001</v>
      </c>
      <c r="F73" s="1" t="str">
        <f>VLOOKUP(D73,Table12[[Name]:[Native]],3,FALSE)</f>
        <v>屯留区</v>
      </c>
      <c r="G73" s="12" t="str">
        <f ca="1">VLOOKUP(F73,Table12[[Native]:[Population4]],5,FALSE)</f>
        <v>长治市</v>
      </c>
    </row>
    <row r="74" spans="1:7" ht="15.75" thickBot="1" x14ac:dyDescent="0.3">
      <c r="A74" t="s">
        <v>163</v>
      </c>
      <c r="B74" s="1" t="s">
        <v>164</v>
      </c>
      <c r="C74" s="1" t="s">
        <v>7</v>
      </c>
      <c r="D74" s="1" t="s">
        <v>47</v>
      </c>
      <c r="E74" s="9">
        <v>56904</v>
      </c>
      <c r="F74" s="1" t="str">
        <f>VLOOKUP(D74,Table12[[Name]:[Native]],3,FALSE)</f>
        <v>黎城县</v>
      </c>
      <c r="G74" s="12" t="str">
        <f ca="1">VLOOKUP(F74,Table12[[Native]:[Population4]],5,FALSE)</f>
        <v>长治市</v>
      </c>
    </row>
    <row r="75" spans="1:7" ht="15.75" thickBot="1" x14ac:dyDescent="0.3">
      <c r="A75" t="s">
        <v>165</v>
      </c>
      <c r="B75" s="1" t="s">
        <v>166</v>
      </c>
      <c r="C75" s="1" t="s">
        <v>7</v>
      </c>
      <c r="D75" s="1" t="s">
        <v>50</v>
      </c>
      <c r="E75" s="9">
        <v>9611</v>
      </c>
      <c r="F75" s="1" t="str">
        <f>VLOOKUP(D75,Table12[[Name]:[Native]],3,FALSE)</f>
        <v>沁源县</v>
      </c>
      <c r="G75" s="12" t="str">
        <f ca="1">VLOOKUP(F75,Table12[[Native]:[Population4]],5,FALSE)</f>
        <v>长治市</v>
      </c>
    </row>
    <row r="76" spans="1:7" ht="15.75" thickBot="1" x14ac:dyDescent="0.3">
      <c r="A76" t="s">
        <v>167</v>
      </c>
      <c r="B76" s="1" t="s">
        <v>168</v>
      </c>
      <c r="C76" s="1" t="s">
        <v>31</v>
      </c>
      <c r="D76" s="1" t="s">
        <v>88</v>
      </c>
      <c r="E76" s="9">
        <v>49488</v>
      </c>
      <c r="F76" s="1" t="str">
        <f>VLOOKUP(D76,Table12[[Name]:[Native]],3,FALSE)</f>
        <v>屯留区</v>
      </c>
      <c r="G76" s="12" t="str">
        <f ca="1">VLOOKUP(F76,Table12[[Native]:[Population4]],5,FALSE)</f>
        <v>长治市</v>
      </c>
    </row>
    <row r="77" spans="1:7" ht="15.75" thickBot="1" x14ac:dyDescent="0.3">
      <c r="A77" t="s">
        <v>169</v>
      </c>
      <c r="B77" s="1" t="s">
        <v>170</v>
      </c>
      <c r="C77" s="1" t="s">
        <v>7</v>
      </c>
      <c r="D77" s="1" t="s">
        <v>50</v>
      </c>
      <c r="E77" s="9">
        <v>14695</v>
      </c>
      <c r="F77" s="1" t="str">
        <f>VLOOKUP(D77,Table12[[Name]:[Native]],3,FALSE)</f>
        <v>沁源县</v>
      </c>
      <c r="G77" s="12" t="str">
        <f ca="1">VLOOKUP(F77,Table12[[Native]:[Population4]],5,FALSE)</f>
        <v>长治市</v>
      </c>
    </row>
    <row r="78" spans="1:7" ht="15.75" thickBot="1" x14ac:dyDescent="0.3">
      <c r="A78" t="s">
        <v>171</v>
      </c>
      <c r="B78" s="1" t="s">
        <v>172</v>
      </c>
      <c r="C78" s="1" t="s">
        <v>7</v>
      </c>
      <c r="D78" s="1" t="s">
        <v>8</v>
      </c>
      <c r="E78" s="9">
        <v>74611</v>
      </c>
      <c r="F78" s="1" t="str">
        <f>VLOOKUP(D78,Table12[[Name]:[Native]],3,FALSE)</f>
        <v>壶关县</v>
      </c>
      <c r="G78" s="12" t="str">
        <f ca="1">VLOOKUP(F78,Table12[[Native]:[Population4]],5,FALSE)</f>
        <v>长治市</v>
      </c>
    </row>
    <row r="79" spans="1:7" ht="15.75" thickBot="1" x14ac:dyDescent="0.3">
      <c r="A79" t="s">
        <v>173</v>
      </c>
      <c r="B79" s="1" t="s">
        <v>174</v>
      </c>
      <c r="C79" s="1" t="s">
        <v>7</v>
      </c>
      <c r="D79" s="1" t="s">
        <v>20</v>
      </c>
      <c r="E79" s="9">
        <v>17622</v>
      </c>
      <c r="F79" s="1" t="str">
        <f>VLOOKUP(D79,Table12[[Name]:[Native]],3,FALSE)</f>
        <v>平顺县</v>
      </c>
      <c r="G79" s="12" t="str">
        <f ca="1">VLOOKUP(F79,Table12[[Native]:[Population4]],5,FALSE)</f>
        <v>长治市</v>
      </c>
    </row>
    <row r="80" spans="1:7" ht="15.75" thickBot="1" x14ac:dyDescent="0.3">
      <c r="A80" t="s">
        <v>175</v>
      </c>
      <c r="B80" s="1" t="s">
        <v>176</v>
      </c>
      <c r="C80" s="1" t="s">
        <v>17</v>
      </c>
      <c r="D80" s="1" t="s">
        <v>88</v>
      </c>
      <c r="E80" s="9">
        <v>32618</v>
      </c>
      <c r="F80" s="1" t="str">
        <f>VLOOKUP(D80,Table12[[Name]:[Native]],3,FALSE)</f>
        <v>屯留区</v>
      </c>
      <c r="G80" s="12" t="str">
        <f ca="1">VLOOKUP(F80,Table12[[Native]:[Population4]],5,FALSE)</f>
        <v>长治市</v>
      </c>
    </row>
    <row r="81" spans="1:7" ht="15.75" thickBot="1" x14ac:dyDescent="0.3">
      <c r="A81" t="s">
        <v>177</v>
      </c>
      <c r="B81" s="1" t="s">
        <v>178</v>
      </c>
      <c r="C81" s="1" t="s">
        <v>31</v>
      </c>
      <c r="D81" s="1" t="s">
        <v>44</v>
      </c>
      <c r="E81" s="9">
        <v>73444</v>
      </c>
      <c r="F81" s="1" t="str">
        <f>VLOOKUP(D81,Table12[[Name]:[Native]],3,FALSE)</f>
        <v>潞城区</v>
      </c>
      <c r="G81" s="12" t="str">
        <f ca="1">VLOOKUP(F81,Table12[[Native]:[Population4]],5,FALSE)</f>
        <v>长治市</v>
      </c>
    </row>
    <row r="82" spans="1:7" ht="15.75" thickBot="1" x14ac:dyDescent="0.3">
      <c r="A82" t="s">
        <v>179</v>
      </c>
      <c r="B82" s="1" t="s">
        <v>180</v>
      </c>
      <c r="C82" s="1" t="s">
        <v>7</v>
      </c>
      <c r="D82" s="1" t="s">
        <v>32</v>
      </c>
      <c r="E82" s="9">
        <v>33441</v>
      </c>
      <c r="F82" s="1" t="str">
        <f>VLOOKUP(D82,Table12[[Name]:[Native]],3,FALSE)</f>
        <v>潞州区</v>
      </c>
      <c r="G82" s="12" t="str">
        <f ca="1">VLOOKUP(F82,Table12[[Native]:[Population4]],5,FALSE)</f>
        <v>长治市</v>
      </c>
    </row>
    <row r="83" spans="1:7" ht="15.75" thickBot="1" x14ac:dyDescent="0.3">
      <c r="A83" t="s">
        <v>181</v>
      </c>
      <c r="B83" s="1" t="s">
        <v>182</v>
      </c>
      <c r="C83" s="1" t="s">
        <v>7</v>
      </c>
      <c r="D83" s="1" t="s">
        <v>20</v>
      </c>
      <c r="E83" s="9">
        <v>8719</v>
      </c>
      <c r="F83" s="1" t="str">
        <f>VLOOKUP(D83,Table12[[Name]:[Native]],3,FALSE)</f>
        <v>平顺县</v>
      </c>
      <c r="G83" s="12" t="str">
        <f ca="1">VLOOKUP(F83,Table12[[Native]:[Population4]],5,FALSE)</f>
        <v>长治市</v>
      </c>
    </row>
    <row r="84" spans="1:7" ht="15.75" thickBot="1" x14ac:dyDescent="0.3">
      <c r="A84" t="s">
        <v>183</v>
      </c>
      <c r="B84" s="1" t="s">
        <v>184</v>
      </c>
      <c r="C84" s="1" t="s">
        <v>17</v>
      </c>
      <c r="D84" s="1" t="s">
        <v>65</v>
      </c>
      <c r="E84" s="9">
        <v>7604</v>
      </c>
      <c r="F84" s="1" t="str">
        <f>VLOOKUP(D84,Table12[[Name]:[Native]],3,FALSE)</f>
        <v>武乡县</v>
      </c>
      <c r="G84" s="12" t="str">
        <f ca="1">VLOOKUP(F84,Table12[[Native]:[Population4]],5,FALSE)</f>
        <v>长治市</v>
      </c>
    </row>
    <row r="85" spans="1:7" ht="15.75" thickBot="1" x14ac:dyDescent="0.3">
      <c r="A85" t="s">
        <v>185</v>
      </c>
      <c r="B85" s="1" t="s">
        <v>186</v>
      </c>
      <c r="C85" s="1" t="s">
        <v>17</v>
      </c>
      <c r="D85" s="1" t="s">
        <v>11</v>
      </c>
      <c r="E85" s="9">
        <v>20356</v>
      </c>
      <c r="F85" s="1" t="str">
        <f>VLOOKUP(D85,Table12[[Name]:[Native]],3,FALSE)</f>
        <v>长子县</v>
      </c>
      <c r="G85" s="12" t="str">
        <f ca="1">VLOOKUP(F85,Table12[[Native]:[Population4]],5,FALSE)</f>
        <v>长治市</v>
      </c>
    </row>
    <row r="86" spans="1:7" ht="15.75" thickBot="1" x14ac:dyDescent="0.3">
      <c r="A86" t="s">
        <v>187</v>
      </c>
      <c r="B86" s="1" t="s">
        <v>188</v>
      </c>
      <c r="C86" s="1" t="s">
        <v>17</v>
      </c>
      <c r="D86" s="1" t="s">
        <v>28</v>
      </c>
      <c r="E86" s="9">
        <v>7941</v>
      </c>
      <c r="F86" s="1" t="str">
        <f>VLOOKUP(D86,Table12[[Name]:[Native]],3,FALSE)</f>
        <v>沁县</v>
      </c>
      <c r="G86" s="12" t="str">
        <f ca="1">VLOOKUP(F86,Table12[[Native]:[Population4]],5,FALSE)</f>
        <v>长治市</v>
      </c>
    </row>
    <row r="87" spans="1:7" ht="15.75" thickBot="1" x14ac:dyDescent="0.3">
      <c r="A87" t="s">
        <v>189</v>
      </c>
      <c r="B87" s="1" t="s">
        <v>190</v>
      </c>
      <c r="C87" s="1" t="s">
        <v>17</v>
      </c>
      <c r="D87" s="1" t="s">
        <v>28</v>
      </c>
      <c r="E87" s="9">
        <v>3038</v>
      </c>
      <c r="F87" s="1" t="str">
        <f>VLOOKUP(D87,Table12[[Name]:[Native]],3,FALSE)</f>
        <v>沁县</v>
      </c>
      <c r="G87" s="12" t="str">
        <f ca="1">VLOOKUP(F87,Table12[[Native]:[Population4]],5,FALSE)</f>
        <v>长治市</v>
      </c>
    </row>
    <row r="88" spans="1:7" ht="15.75" thickBot="1" x14ac:dyDescent="0.3">
      <c r="A88" t="s">
        <v>191</v>
      </c>
      <c r="B88" s="1" t="s">
        <v>192</v>
      </c>
      <c r="C88" s="1" t="s">
        <v>17</v>
      </c>
      <c r="D88" s="1" t="s">
        <v>14</v>
      </c>
      <c r="E88" s="9">
        <v>17619</v>
      </c>
      <c r="F88" s="1" t="str">
        <f>VLOOKUP(D88,Table12[[Name]:[Native]],3,FALSE)</f>
        <v>上党区</v>
      </c>
      <c r="G88" s="12" t="str">
        <f ca="1">VLOOKUP(F88,Table12[[Native]:[Population4]],5,FALSE)</f>
        <v>长治市</v>
      </c>
    </row>
    <row r="89" spans="1:7" ht="15.75" thickBot="1" x14ac:dyDescent="0.3">
      <c r="A89" t="s">
        <v>193</v>
      </c>
      <c r="B89" s="1" t="s">
        <v>194</v>
      </c>
      <c r="C89" s="1" t="s">
        <v>7</v>
      </c>
      <c r="D89" s="1" t="s">
        <v>11</v>
      </c>
      <c r="E89" s="9">
        <v>24760</v>
      </c>
      <c r="F89" s="1" t="str">
        <f>VLOOKUP(D89,Table12[[Name]:[Native]],3,FALSE)</f>
        <v>长子县</v>
      </c>
      <c r="G89" s="12" t="str">
        <f ca="1">VLOOKUP(F89,Table12[[Native]:[Population4]],5,FALSE)</f>
        <v>长治市</v>
      </c>
    </row>
    <row r="90" spans="1:7" ht="15.75" thickBot="1" x14ac:dyDescent="0.3">
      <c r="A90" t="s">
        <v>195</v>
      </c>
      <c r="B90" s="1" t="s">
        <v>196</v>
      </c>
      <c r="C90" s="1" t="s">
        <v>17</v>
      </c>
      <c r="D90" s="1" t="s">
        <v>11</v>
      </c>
      <c r="E90" s="9">
        <v>13666</v>
      </c>
      <c r="F90" s="1" t="str">
        <f>VLOOKUP(D90,Table12[[Name]:[Native]],3,FALSE)</f>
        <v>长子县</v>
      </c>
      <c r="G90" s="12" t="str">
        <f ca="1">VLOOKUP(F90,Table12[[Native]:[Population4]],5,FALSE)</f>
        <v>长治市</v>
      </c>
    </row>
    <row r="91" spans="1:7" ht="15.75" thickBot="1" x14ac:dyDescent="0.3">
      <c r="A91" t="s">
        <v>197</v>
      </c>
      <c r="B91" s="1" t="s">
        <v>198</v>
      </c>
      <c r="C91" s="1" t="s">
        <v>17</v>
      </c>
      <c r="D91" s="1" t="s">
        <v>28</v>
      </c>
      <c r="E91" s="9">
        <v>6064</v>
      </c>
      <c r="F91" s="1" t="str">
        <f>VLOOKUP(D91,Table12[[Name]:[Native]],3,FALSE)</f>
        <v>沁县</v>
      </c>
      <c r="G91" s="12" t="str">
        <f ca="1">VLOOKUP(F91,Table12[[Native]:[Population4]],5,FALSE)</f>
        <v>长治市</v>
      </c>
    </row>
    <row r="92" spans="1:7" ht="15.75" thickBot="1" x14ac:dyDescent="0.3">
      <c r="A92" t="s">
        <v>199</v>
      </c>
      <c r="B92" s="1" t="s">
        <v>200</v>
      </c>
      <c r="C92" s="1" t="s">
        <v>7</v>
      </c>
      <c r="D92" s="1" t="s">
        <v>65</v>
      </c>
      <c r="E92" s="9">
        <v>21228</v>
      </c>
      <c r="F92" s="1" t="str">
        <f>VLOOKUP(D92,Table12[[Name]:[Native]],3,FALSE)</f>
        <v>武乡县</v>
      </c>
      <c r="G92" s="12" t="str">
        <f ca="1">VLOOKUP(F92,Table12[[Native]:[Population4]],5,FALSE)</f>
        <v>长治市</v>
      </c>
    </row>
    <row r="93" spans="1:7" ht="15.75" thickBot="1" x14ac:dyDescent="0.3">
      <c r="A93" t="s">
        <v>201</v>
      </c>
      <c r="B93" s="1" t="s">
        <v>202</v>
      </c>
      <c r="C93" s="1" t="s">
        <v>7</v>
      </c>
      <c r="D93" s="1" t="s">
        <v>8</v>
      </c>
      <c r="E93" s="9">
        <v>8621</v>
      </c>
      <c r="F93" s="1" t="str">
        <f>VLOOKUP(D93,Table12[[Name]:[Native]],3,FALSE)</f>
        <v>壶关县</v>
      </c>
      <c r="G93" s="12" t="str">
        <f ca="1">VLOOKUP(F93,Table12[[Native]:[Population4]],5,FALSE)</f>
        <v>长治市</v>
      </c>
    </row>
    <row r="94" spans="1:7" ht="15.75" thickBot="1" x14ac:dyDescent="0.3">
      <c r="A94" t="s">
        <v>203</v>
      </c>
      <c r="B94" s="1" t="s">
        <v>204</v>
      </c>
      <c r="C94" s="1" t="s">
        <v>7</v>
      </c>
      <c r="D94" s="1" t="s">
        <v>20</v>
      </c>
      <c r="E94" s="9">
        <v>34098</v>
      </c>
      <c r="F94" s="1" t="str">
        <f>VLOOKUP(D94,Table12[[Name]:[Native]],3,FALSE)</f>
        <v>平顺县</v>
      </c>
      <c r="G94" s="12" t="str">
        <f ca="1">VLOOKUP(F94,Table12[[Native]:[Population4]],5,FALSE)</f>
        <v>长治市</v>
      </c>
    </row>
    <row r="95" spans="1:7" ht="15.75" thickBot="1" x14ac:dyDescent="0.3">
      <c r="A95" t="s">
        <v>205</v>
      </c>
      <c r="B95" s="1" t="s">
        <v>206</v>
      </c>
      <c r="C95" s="1" t="s">
        <v>7</v>
      </c>
      <c r="D95" s="1" t="s">
        <v>50</v>
      </c>
      <c r="E95" s="9">
        <v>50143</v>
      </c>
      <c r="F95" s="1" t="str">
        <f>VLOOKUP(D95,Table12[[Name]:[Native]],3,FALSE)</f>
        <v>沁源县</v>
      </c>
      <c r="G95" s="12" t="str">
        <f ca="1">VLOOKUP(F95,Table12[[Native]:[Population4]],5,FALSE)</f>
        <v>长治市</v>
      </c>
    </row>
    <row r="96" spans="1:7" ht="15.75" thickBot="1" x14ac:dyDescent="0.3">
      <c r="A96" t="s">
        <v>207</v>
      </c>
      <c r="B96" s="1" t="s">
        <v>208</v>
      </c>
      <c r="C96" s="1" t="s">
        <v>7</v>
      </c>
      <c r="D96" s="1" t="s">
        <v>11</v>
      </c>
      <c r="E96" s="9">
        <v>19277</v>
      </c>
      <c r="F96" s="1" t="str">
        <f>VLOOKUP(D96,Table12[[Name]:[Native]],3,FALSE)</f>
        <v>长子县</v>
      </c>
      <c r="G96" s="12" t="str">
        <f ca="1">VLOOKUP(F96,Table12[[Native]:[Population4]],5,FALSE)</f>
        <v>长治市</v>
      </c>
    </row>
    <row r="97" spans="1:7" ht="15.75" thickBot="1" x14ac:dyDescent="0.3">
      <c r="A97" t="s">
        <v>209</v>
      </c>
      <c r="B97" s="1" t="s">
        <v>210</v>
      </c>
      <c r="C97" s="1" t="s">
        <v>17</v>
      </c>
      <c r="D97" s="1" t="s">
        <v>23</v>
      </c>
      <c r="E97" s="9">
        <v>9569</v>
      </c>
      <c r="F97" s="1" t="str">
        <f>VLOOKUP(D97,Table12[[Name]:[Native]],3,FALSE)</f>
        <v>襄垣县</v>
      </c>
      <c r="G97" s="12" t="str">
        <f ca="1">VLOOKUP(F97,Table12[[Native]:[Population4]],5,FALSE)</f>
        <v>长治市</v>
      </c>
    </row>
    <row r="98" spans="1:7" ht="15.75" thickBot="1" x14ac:dyDescent="0.3">
      <c r="A98" t="s">
        <v>211</v>
      </c>
      <c r="B98" s="1" t="s">
        <v>212</v>
      </c>
      <c r="C98" s="1" t="s">
        <v>7</v>
      </c>
      <c r="D98" s="1" t="s">
        <v>88</v>
      </c>
      <c r="E98" s="9">
        <v>20742</v>
      </c>
      <c r="F98" s="1" t="str">
        <f>VLOOKUP(D98,Table12[[Name]:[Native]],3,FALSE)</f>
        <v>屯留区</v>
      </c>
      <c r="G98" s="12" t="str">
        <f ca="1">VLOOKUP(F98,Table12[[Native]:[Population4]],5,FALSE)</f>
        <v>长治市</v>
      </c>
    </row>
    <row r="99" spans="1:7" ht="15.75" thickBot="1" x14ac:dyDescent="0.3">
      <c r="A99" t="s">
        <v>213</v>
      </c>
      <c r="B99" s="1" t="s">
        <v>214</v>
      </c>
      <c r="C99" s="1" t="s">
        <v>35</v>
      </c>
      <c r="D99" s="1" t="s">
        <v>88</v>
      </c>
      <c r="E99" s="9">
        <v>4074</v>
      </c>
      <c r="F99" s="1" t="str">
        <f>VLOOKUP(D99,Table12[[Name]:[Native]],3,FALSE)</f>
        <v>屯留区</v>
      </c>
      <c r="G99" s="12" t="str">
        <f ca="1">VLOOKUP(F99,Table12[[Native]:[Population4]],5,FALSE)</f>
        <v>长治市</v>
      </c>
    </row>
    <row r="100" spans="1:7" ht="15.75" thickBot="1" x14ac:dyDescent="0.3">
      <c r="A100" t="s">
        <v>215</v>
      </c>
      <c r="B100" s="1" t="s">
        <v>216</v>
      </c>
      <c r="C100" s="1" t="s">
        <v>17</v>
      </c>
      <c r="D100" s="1" t="s">
        <v>23</v>
      </c>
      <c r="E100" s="9">
        <v>7326</v>
      </c>
      <c r="F100" s="1" t="str">
        <f>VLOOKUP(D100,Table12[[Name]:[Native]],3,FALSE)</f>
        <v>襄垣县</v>
      </c>
      <c r="G100" s="12" t="str">
        <f ca="1">VLOOKUP(F100,Table12[[Native]:[Population4]],5,FALSE)</f>
        <v>长治市</v>
      </c>
    </row>
    <row r="101" spans="1:7" ht="15.75" thickBot="1" x14ac:dyDescent="0.3">
      <c r="A101" t="s">
        <v>217</v>
      </c>
      <c r="B101" s="1" t="s">
        <v>218</v>
      </c>
      <c r="C101" s="1" t="s">
        <v>17</v>
      </c>
      <c r="D101" s="1" t="s">
        <v>65</v>
      </c>
      <c r="E101" s="9">
        <v>6996</v>
      </c>
      <c r="F101" s="1" t="str">
        <f>VLOOKUP(D101,Table12[[Name]:[Native]],3,FALSE)</f>
        <v>武乡县</v>
      </c>
      <c r="G101" s="12" t="str">
        <f ca="1">VLOOKUP(F101,Table12[[Native]:[Population4]],5,FALSE)</f>
        <v>长治市</v>
      </c>
    </row>
    <row r="102" spans="1:7" ht="15.75" thickBot="1" x14ac:dyDescent="0.3">
      <c r="A102" t="s">
        <v>219</v>
      </c>
      <c r="B102" s="1" t="s">
        <v>220</v>
      </c>
      <c r="C102" s="1" t="s">
        <v>7</v>
      </c>
      <c r="D102" s="1" t="s">
        <v>47</v>
      </c>
      <c r="E102" s="9">
        <v>17224</v>
      </c>
      <c r="F102" s="1" t="str">
        <f>VLOOKUP(D102,Table12[[Name]:[Native]],3,FALSE)</f>
        <v>黎城县</v>
      </c>
      <c r="G102" s="12" t="str">
        <f ca="1">VLOOKUP(F102,Table12[[Native]:[Population4]],5,FALSE)</f>
        <v>长治市</v>
      </c>
    </row>
    <row r="103" spans="1:7" ht="15.75" thickBot="1" x14ac:dyDescent="0.3">
      <c r="A103" t="s">
        <v>221</v>
      </c>
      <c r="B103" s="1" t="s">
        <v>222</v>
      </c>
      <c r="C103" s="1" t="s">
        <v>17</v>
      </c>
      <c r="D103" s="1" t="s">
        <v>65</v>
      </c>
      <c r="E103" s="9">
        <v>4689</v>
      </c>
      <c r="F103" s="1" t="str">
        <f>VLOOKUP(D103,Table12[[Name]:[Native]],3,FALSE)</f>
        <v>武乡县</v>
      </c>
      <c r="G103" s="12" t="str">
        <f ca="1">VLOOKUP(F103,Table12[[Native]:[Population4]],5,FALSE)</f>
        <v>长治市</v>
      </c>
    </row>
    <row r="104" spans="1:7" ht="15.75" thickBot="1" x14ac:dyDescent="0.3">
      <c r="A104" t="s">
        <v>223</v>
      </c>
      <c r="B104" s="1" t="s">
        <v>224</v>
      </c>
      <c r="C104" s="1" t="s">
        <v>7</v>
      </c>
      <c r="D104" s="1" t="s">
        <v>20</v>
      </c>
      <c r="E104" s="9">
        <v>12663</v>
      </c>
      <c r="F104" s="1" t="str">
        <f>VLOOKUP(D104,Table12[[Name]:[Native]],3,FALSE)</f>
        <v>平顺县</v>
      </c>
      <c r="G104" s="12" t="str">
        <f ca="1">VLOOKUP(F104,Table12[[Native]:[Population4]],5,FALSE)</f>
        <v>长治市</v>
      </c>
    </row>
    <row r="105" spans="1:7" ht="15.75" thickBot="1" x14ac:dyDescent="0.3">
      <c r="A105" t="s">
        <v>225</v>
      </c>
      <c r="B105" s="1" t="s">
        <v>226</v>
      </c>
      <c r="C105" s="1" t="s">
        <v>7</v>
      </c>
      <c r="D105" s="1" t="s">
        <v>44</v>
      </c>
      <c r="E105" s="9">
        <v>19162</v>
      </c>
      <c r="F105" s="1" t="str">
        <f>VLOOKUP(D105,Table12[[Name]:[Native]],3,FALSE)</f>
        <v>潞城区</v>
      </c>
      <c r="G105" s="12" t="str">
        <f ca="1">VLOOKUP(F105,Table12[[Native]:[Population4]],5,FALSE)</f>
        <v>长治市</v>
      </c>
    </row>
    <row r="106" spans="1:7" ht="15.75" thickBot="1" x14ac:dyDescent="0.3">
      <c r="A106" t="s">
        <v>227</v>
      </c>
      <c r="B106" s="1" t="s">
        <v>228</v>
      </c>
      <c r="C106" s="1" t="s">
        <v>17</v>
      </c>
      <c r="D106" s="1" t="s">
        <v>8</v>
      </c>
      <c r="E106" s="9">
        <v>12701</v>
      </c>
      <c r="F106" s="1" t="str">
        <f>VLOOKUP(D106,Table12[[Name]:[Native]],3,FALSE)</f>
        <v>壶关县</v>
      </c>
      <c r="G106" s="12" t="str">
        <f ca="1">VLOOKUP(F106,Table12[[Native]:[Population4]],5,FALSE)</f>
        <v>长治市</v>
      </c>
    </row>
    <row r="107" spans="1:7" ht="15.75" thickBot="1" x14ac:dyDescent="0.3">
      <c r="A107" t="s">
        <v>229</v>
      </c>
      <c r="B107" s="1" t="s">
        <v>230</v>
      </c>
      <c r="C107" s="1" t="s">
        <v>7</v>
      </c>
      <c r="D107" s="1" t="s">
        <v>11</v>
      </c>
      <c r="E107" s="9">
        <v>27643</v>
      </c>
      <c r="F107" s="1" t="str">
        <f>VLOOKUP(D107,Table12[[Name]:[Native]],3,FALSE)</f>
        <v>长子县</v>
      </c>
      <c r="G107" s="12" t="str">
        <f ca="1">VLOOKUP(F107,Table12[[Native]:[Population4]],5,FALSE)</f>
        <v>长治市</v>
      </c>
    </row>
    <row r="108" spans="1:7" ht="15.75" thickBot="1" x14ac:dyDescent="0.3">
      <c r="A108" t="s">
        <v>231</v>
      </c>
      <c r="B108" s="1" t="s">
        <v>232</v>
      </c>
      <c r="C108" s="1" t="s">
        <v>7</v>
      </c>
      <c r="D108" s="1" t="s">
        <v>8</v>
      </c>
      <c r="E108" s="9">
        <v>11057</v>
      </c>
      <c r="F108" s="1" t="str">
        <f>VLOOKUP(D108,Table12[[Name]:[Native]],3,FALSE)</f>
        <v>壶关县</v>
      </c>
      <c r="G108" s="12" t="str">
        <f ca="1">VLOOKUP(F108,Table12[[Native]:[Population4]],5,FALSE)</f>
        <v>长治市</v>
      </c>
    </row>
    <row r="109" spans="1:7" ht="15.75" thickBot="1" x14ac:dyDescent="0.3">
      <c r="A109" t="s">
        <v>233</v>
      </c>
      <c r="B109" s="1" t="s">
        <v>234</v>
      </c>
      <c r="C109" s="1" t="s">
        <v>17</v>
      </c>
      <c r="D109" s="1" t="s">
        <v>11</v>
      </c>
      <c r="E109" s="9">
        <v>34376</v>
      </c>
      <c r="F109" s="1" t="str">
        <f>VLOOKUP(D109,Table12[[Name]:[Native]],3,FALSE)</f>
        <v>长子县</v>
      </c>
      <c r="G109" s="12" t="str">
        <f ca="1">VLOOKUP(F109,Table12[[Native]:[Population4]],5,FALSE)</f>
        <v>长治市</v>
      </c>
    </row>
    <row r="110" spans="1:7" ht="15.75" thickBot="1" x14ac:dyDescent="0.3">
      <c r="A110" t="s">
        <v>235</v>
      </c>
      <c r="B110" s="1" t="s">
        <v>236</v>
      </c>
      <c r="C110" s="1" t="s">
        <v>17</v>
      </c>
      <c r="D110" s="1" t="s">
        <v>28</v>
      </c>
      <c r="E110" s="9">
        <v>10506</v>
      </c>
      <c r="F110" s="1" t="str">
        <f>VLOOKUP(D110,Table12[[Name]:[Native]],3,FALSE)</f>
        <v>沁县</v>
      </c>
      <c r="G110" s="12" t="str">
        <f ca="1">VLOOKUP(F110,Table12[[Native]:[Population4]],5,FALSE)</f>
        <v>长治市</v>
      </c>
    </row>
    <row r="111" spans="1:7" ht="15.75" thickBot="1" x14ac:dyDescent="0.3">
      <c r="A111" t="s">
        <v>237</v>
      </c>
      <c r="B111" s="1" t="s">
        <v>238</v>
      </c>
      <c r="C111" s="1" t="s">
        <v>7</v>
      </c>
      <c r="D111" s="1" t="s">
        <v>14</v>
      </c>
      <c r="E111" s="9">
        <v>42732</v>
      </c>
      <c r="F111" s="1" t="str">
        <f>VLOOKUP(D111,Table12[[Name]:[Native]],3,FALSE)</f>
        <v>上党区</v>
      </c>
      <c r="G111" s="12" t="str">
        <f ca="1">VLOOKUP(F111,Table12[[Native]:[Population4]],5,FALSE)</f>
        <v>长治市</v>
      </c>
    </row>
    <row r="112" spans="1:7" ht="15.75" thickBot="1" x14ac:dyDescent="0.3">
      <c r="A112" t="s">
        <v>239</v>
      </c>
      <c r="B112" s="1" t="s">
        <v>240</v>
      </c>
      <c r="C112" s="1" t="s">
        <v>31</v>
      </c>
      <c r="D112" s="1" t="s">
        <v>32</v>
      </c>
      <c r="E112" s="9">
        <v>53340</v>
      </c>
      <c r="F112" s="1" t="str">
        <f>VLOOKUP(D112,Table12[[Name]:[Native]],3,FALSE)</f>
        <v>潞州区</v>
      </c>
      <c r="G112" s="12" t="str">
        <f ca="1">VLOOKUP(F112,Table12[[Native]:[Population4]],5,FALSE)</f>
        <v>长治市</v>
      </c>
    </row>
    <row r="113" spans="1:7" ht="15.75" thickBot="1" x14ac:dyDescent="0.3">
      <c r="A113" t="s">
        <v>241</v>
      </c>
      <c r="B113" s="1" t="s">
        <v>242</v>
      </c>
      <c r="C113" s="1" t="s">
        <v>31</v>
      </c>
      <c r="D113" s="1" t="s">
        <v>32</v>
      </c>
      <c r="E113" s="9">
        <v>37786</v>
      </c>
      <c r="F113" s="1" t="str">
        <f>VLOOKUP(D113,Table12[[Name]:[Native]],3,FALSE)</f>
        <v>潞州区</v>
      </c>
      <c r="G113" s="12" t="str">
        <f ca="1">VLOOKUP(F113,Table12[[Native]:[Population4]],5,FALSE)</f>
        <v>长治市</v>
      </c>
    </row>
    <row r="114" spans="1:7" ht="15.75" thickBot="1" x14ac:dyDescent="0.3">
      <c r="A114" t="s">
        <v>243</v>
      </c>
      <c r="B114" s="1" t="s">
        <v>244</v>
      </c>
      <c r="C114" s="1" t="s">
        <v>17</v>
      </c>
      <c r="D114" s="1" t="s">
        <v>47</v>
      </c>
      <c r="E114" s="9">
        <v>7582</v>
      </c>
      <c r="F114" s="1" t="str">
        <f>VLOOKUP(D114,Table12[[Name]:[Native]],3,FALSE)</f>
        <v>黎城县</v>
      </c>
      <c r="G114" s="12" t="str">
        <f ca="1">VLOOKUP(F114,Table12[[Native]:[Population4]],5,FALSE)</f>
        <v>长治市</v>
      </c>
    </row>
    <row r="115" spans="1:7" ht="15.75" thickBot="1" x14ac:dyDescent="0.3">
      <c r="A115" t="s">
        <v>245</v>
      </c>
      <c r="B115" s="1" t="s">
        <v>246</v>
      </c>
      <c r="C115" s="1" t="s">
        <v>7</v>
      </c>
      <c r="D115" s="1" t="s">
        <v>23</v>
      </c>
      <c r="E115" s="9">
        <v>14273</v>
      </c>
      <c r="F115" s="1" t="str">
        <f>VLOOKUP(D115,Table12[[Name]:[Native]],3,FALSE)</f>
        <v>襄垣县</v>
      </c>
      <c r="G115" s="12" t="str">
        <f ca="1">VLOOKUP(F115,Table12[[Native]:[Population4]],5,FALSE)</f>
        <v>长治市</v>
      </c>
    </row>
    <row r="116" spans="1:7" ht="15.75" thickBot="1" x14ac:dyDescent="0.3">
      <c r="A116" t="s">
        <v>247</v>
      </c>
      <c r="B116" s="1" t="s">
        <v>248</v>
      </c>
      <c r="C116" s="1" t="s">
        <v>7</v>
      </c>
      <c r="D116" s="1" t="s">
        <v>50</v>
      </c>
      <c r="E116" s="9">
        <v>11123</v>
      </c>
      <c r="F116" s="1" t="str">
        <f>VLOOKUP(D116,Table12[[Name]:[Native]],3,FALSE)</f>
        <v>沁源县</v>
      </c>
      <c r="G116" s="12" t="str">
        <f ca="1">VLOOKUP(F116,Table12[[Native]:[Population4]],5,FALSE)</f>
        <v>长治市</v>
      </c>
    </row>
    <row r="117" spans="1:7" ht="15.75" thickBot="1" x14ac:dyDescent="0.3">
      <c r="A117" t="s">
        <v>249</v>
      </c>
      <c r="B117" s="1" t="s">
        <v>250</v>
      </c>
      <c r="C117" s="1" t="s">
        <v>7</v>
      </c>
      <c r="D117" s="1" t="s">
        <v>23</v>
      </c>
      <c r="E117" s="9">
        <v>33594</v>
      </c>
      <c r="F117" s="1" t="str">
        <f>VLOOKUP(D117,Table12[[Name]:[Native]],3,FALSE)</f>
        <v>襄垣县</v>
      </c>
      <c r="G117" s="12" t="str">
        <f ca="1">VLOOKUP(F117,Table12[[Native]:[Population4]],5,FALSE)</f>
        <v>长治市</v>
      </c>
    </row>
    <row r="118" spans="1:7" ht="15.75" thickBot="1" x14ac:dyDescent="0.3">
      <c r="A118" t="s">
        <v>251</v>
      </c>
      <c r="B118" s="1" t="s">
        <v>252</v>
      </c>
      <c r="C118" s="1" t="s">
        <v>7</v>
      </c>
      <c r="D118" s="1" t="s">
        <v>50</v>
      </c>
      <c r="E118" s="9">
        <v>9521</v>
      </c>
      <c r="F118" s="1" t="str">
        <f>VLOOKUP(D118,Table12[[Name]:[Native]],3,FALSE)</f>
        <v>沁源县</v>
      </c>
      <c r="G118" s="12" t="str">
        <f ca="1">VLOOKUP(F118,Table12[[Native]:[Population4]],5,FALSE)</f>
        <v>长治市</v>
      </c>
    </row>
    <row r="119" spans="1:7" ht="15.75" thickBot="1" x14ac:dyDescent="0.3">
      <c r="A119" t="s">
        <v>253</v>
      </c>
      <c r="B119" s="1" t="s">
        <v>254</v>
      </c>
      <c r="C119" s="1" t="s">
        <v>7</v>
      </c>
      <c r="D119" s="1" t="s">
        <v>44</v>
      </c>
      <c r="E119" s="9">
        <v>18849</v>
      </c>
      <c r="F119" s="1" t="str">
        <f>VLOOKUP(D119,Table12[[Name]:[Native]],3,FALSE)</f>
        <v>潞城区</v>
      </c>
      <c r="G119" s="12" t="str">
        <f ca="1">VLOOKUP(F119,Table12[[Native]:[Population4]],5,FALSE)</f>
        <v>长治市</v>
      </c>
    </row>
    <row r="120" spans="1:7" ht="15.75" thickBot="1" x14ac:dyDescent="0.3">
      <c r="A120" t="s">
        <v>255</v>
      </c>
      <c r="B120" s="1" t="s">
        <v>256</v>
      </c>
      <c r="C120" s="1" t="s">
        <v>17</v>
      </c>
      <c r="D120" s="1" t="s">
        <v>8</v>
      </c>
      <c r="E120" s="9">
        <v>9023</v>
      </c>
      <c r="F120" s="1" t="str">
        <f>VLOOKUP(D120,Table12[[Name]:[Native]],3,FALSE)</f>
        <v>壶关县</v>
      </c>
      <c r="G120" s="12" t="str">
        <f ca="1">VLOOKUP(F120,Table12[[Native]:[Population4]],5,FALSE)</f>
        <v>长治市</v>
      </c>
    </row>
    <row r="121" spans="1:7" ht="15.75" thickBot="1" x14ac:dyDescent="0.3">
      <c r="A121" t="s">
        <v>257</v>
      </c>
      <c r="B121" s="1" t="s">
        <v>258</v>
      </c>
      <c r="C121" s="1" t="s">
        <v>31</v>
      </c>
      <c r="D121" s="1" t="s">
        <v>32</v>
      </c>
      <c r="E121" s="9">
        <v>32538</v>
      </c>
      <c r="F121" s="1" t="str">
        <f>VLOOKUP(D121,Table12[[Name]:[Native]],3,FALSE)</f>
        <v>潞州区</v>
      </c>
      <c r="G121" s="12" t="str">
        <f ca="1">VLOOKUP(F121,Table12[[Native]:[Population4]],5,FALSE)</f>
        <v>长治市</v>
      </c>
    </row>
    <row r="122" spans="1:7" ht="15.75" thickBot="1" x14ac:dyDescent="0.3">
      <c r="A122" t="s">
        <v>259</v>
      </c>
      <c r="B122" s="1" t="s">
        <v>260</v>
      </c>
      <c r="C122" s="1" t="s">
        <v>7</v>
      </c>
      <c r="D122" s="1" t="s">
        <v>88</v>
      </c>
      <c r="E122" s="9">
        <v>15530</v>
      </c>
      <c r="F122" s="1" t="str">
        <f>VLOOKUP(D122,Table12[[Name]:[Native]],3,FALSE)</f>
        <v>屯留区</v>
      </c>
      <c r="G122" s="12" t="str">
        <f ca="1">VLOOKUP(F122,Table12[[Native]:[Population4]],5,FALSE)</f>
        <v>长治市</v>
      </c>
    </row>
    <row r="123" spans="1:7" ht="15.75" thickBot="1" x14ac:dyDescent="0.3">
      <c r="A123" t="s">
        <v>261</v>
      </c>
      <c r="B123" s="1" t="s">
        <v>262</v>
      </c>
      <c r="C123" s="1" t="s">
        <v>7</v>
      </c>
      <c r="D123" s="1" t="s">
        <v>23</v>
      </c>
      <c r="E123" s="9">
        <v>28829</v>
      </c>
      <c r="F123" s="1" t="str">
        <f>VLOOKUP(D123,Table12[[Name]:[Native]],3,FALSE)</f>
        <v>襄垣县</v>
      </c>
      <c r="G123" s="12" t="str">
        <f ca="1">VLOOKUP(F123,Table12[[Native]:[Population4]],5,FALSE)</f>
        <v>长治市</v>
      </c>
    </row>
    <row r="124" spans="1:7" ht="15.75" thickBot="1" x14ac:dyDescent="0.3">
      <c r="A124" t="s">
        <v>263</v>
      </c>
      <c r="B124" s="1" t="s">
        <v>264</v>
      </c>
      <c r="C124" s="1" t="s">
        <v>7</v>
      </c>
      <c r="D124" s="1" t="s">
        <v>23</v>
      </c>
      <c r="E124" s="9">
        <v>15944</v>
      </c>
      <c r="F124" s="1" t="str">
        <f>VLOOKUP(D124,Table12[[Name]:[Native]],3,FALSE)</f>
        <v>襄垣县</v>
      </c>
      <c r="G124" s="12" t="str">
        <f ca="1">VLOOKUP(F124,Table12[[Native]:[Population4]],5,FALSE)</f>
        <v>长治市</v>
      </c>
    </row>
    <row r="125" spans="1:7" ht="15.75" thickBot="1" x14ac:dyDescent="0.3">
      <c r="A125" t="s">
        <v>265</v>
      </c>
      <c r="B125" s="1" t="s">
        <v>266</v>
      </c>
      <c r="C125" s="1" t="s">
        <v>17</v>
      </c>
      <c r="D125" s="1" t="s">
        <v>32</v>
      </c>
      <c r="E125" s="9">
        <v>9231</v>
      </c>
      <c r="F125" s="1" t="str">
        <f>VLOOKUP(D125,Table12[[Name]:[Native]],3,FALSE)</f>
        <v>潞州区</v>
      </c>
      <c r="G125" s="12" t="str">
        <f ca="1">VLOOKUP(F125,Table12[[Native]:[Population4]],5,FALSE)</f>
        <v>长治市</v>
      </c>
    </row>
    <row r="126" spans="1:7" ht="15.75" thickBot="1" x14ac:dyDescent="0.3">
      <c r="A126" t="s">
        <v>267</v>
      </c>
      <c r="B126" s="1" t="s">
        <v>268</v>
      </c>
      <c r="C126" s="1" t="s">
        <v>17</v>
      </c>
      <c r="D126" s="1" t="s">
        <v>14</v>
      </c>
      <c r="E126" s="9">
        <v>22692</v>
      </c>
      <c r="F126" s="1" t="str">
        <f>VLOOKUP(D126,Table12[[Name]:[Native]],3,FALSE)</f>
        <v>上党区</v>
      </c>
      <c r="G126" s="12" t="str">
        <f ca="1">VLOOKUP(F126,Table12[[Native]:[Population4]],5,FALSE)</f>
        <v>长治市</v>
      </c>
    </row>
    <row r="127" spans="1:7" ht="15.75" thickBot="1" x14ac:dyDescent="0.3">
      <c r="A127" t="s">
        <v>269</v>
      </c>
      <c r="B127" s="1" t="s">
        <v>270</v>
      </c>
      <c r="C127" s="1" t="s">
        <v>17</v>
      </c>
      <c r="D127" s="1" t="s">
        <v>20</v>
      </c>
      <c r="E127" s="9">
        <v>6862</v>
      </c>
      <c r="F127" s="1" t="str">
        <f>VLOOKUP(D127,Table12[[Name]:[Native]],3,FALSE)</f>
        <v>平顺县</v>
      </c>
      <c r="G127" s="12" t="str">
        <f ca="1">VLOOKUP(F127,Table12[[Native]:[Population4]],5,FALSE)</f>
        <v>长治市</v>
      </c>
    </row>
    <row r="128" spans="1:7" ht="15.75" thickBot="1" x14ac:dyDescent="0.3">
      <c r="A128" t="s">
        <v>271</v>
      </c>
      <c r="B128" s="1" t="s">
        <v>272</v>
      </c>
      <c r="C128" s="1" t="s">
        <v>7</v>
      </c>
      <c r="D128" s="1" t="s">
        <v>14</v>
      </c>
      <c r="E128" s="9">
        <v>24945</v>
      </c>
      <c r="F128" s="1" t="str">
        <f>VLOOKUP(D128,Table12[[Name]:[Native]],3,FALSE)</f>
        <v>上党区</v>
      </c>
      <c r="G128" s="12" t="str">
        <f ca="1">VLOOKUP(F128,Table12[[Native]:[Population4]],5,FALSE)</f>
        <v>长治市</v>
      </c>
    </row>
    <row r="129" spans="1:7" ht="15.75" thickBot="1" x14ac:dyDescent="0.3">
      <c r="A129" t="s">
        <v>273</v>
      </c>
      <c r="B129" s="1" t="s">
        <v>274</v>
      </c>
      <c r="C129" s="1" t="s">
        <v>17</v>
      </c>
      <c r="D129" s="1" t="s">
        <v>88</v>
      </c>
      <c r="E129" s="9">
        <v>14948</v>
      </c>
      <c r="F129" s="1" t="str">
        <f>VLOOKUP(D129,Table12[[Name]:[Native]],3,FALSE)</f>
        <v>屯留区</v>
      </c>
      <c r="G129" s="12" t="str">
        <f ca="1">VLOOKUP(F129,Table12[[Native]:[Population4]],5,FALSE)</f>
        <v>长治市</v>
      </c>
    </row>
    <row r="130" spans="1:7" ht="15.75" thickBot="1" x14ac:dyDescent="0.3">
      <c r="A130" t="s">
        <v>275</v>
      </c>
      <c r="B130" s="1" t="s">
        <v>276</v>
      </c>
      <c r="C130" s="1" t="s">
        <v>31</v>
      </c>
      <c r="D130" s="1" t="s">
        <v>32</v>
      </c>
      <c r="E130" s="9">
        <v>48617</v>
      </c>
      <c r="F130" s="1" t="str">
        <f>VLOOKUP(D130,Table12[[Name]:[Native]],3,FALSE)</f>
        <v>潞州区</v>
      </c>
      <c r="G130" s="12" t="str">
        <f ca="1">VLOOKUP(F130,Table12[[Native]:[Population4]],5,FALSE)</f>
        <v>长治市</v>
      </c>
    </row>
    <row r="131" spans="1:7" ht="15.75" thickBot="1" x14ac:dyDescent="0.3">
      <c r="A131" t="s">
        <v>277</v>
      </c>
      <c r="B131" s="1" t="s">
        <v>278</v>
      </c>
      <c r="C131" s="1" t="s">
        <v>7</v>
      </c>
      <c r="D131" s="1" t="s">
        <v>47</v>
      </c>
      <c r="E131" s="9">
        <v>25791</v>
      </c>
      <c r="F131" s="1" t="str">
        <f>VLOOKUP(D131,Table12[[Name]:[Native]],3,FALSE)</f>
        <v>黎城县</v>
      </c>
      <c r="G131" s="12" t="str">
        <f ca="1">VLOOKUP(F131,Table12[[Native]:[Population4]],5,FALSE)</f>
        <v>长治市</v>
      </c>
    </row>
    <row r="132" spans="1:7" ht="15.75" thickBot="1" x14ac:dyDescent="0.3">
      <c r="A132" t="s">
        <v>279</v>
      </c>
      <c r="B132" s="1" t="s">
        <v>280</v>
      </c>
      <c r="C132" s="1" t="s">
        <v>35</v>
      </c>
      <c r="D132" s="1" t="s">
        <v>88</v>
      </c>
      <c r="E132" s="9">
        <v>4358</v>
      </c>
      <c r="F132" s="1" t="str">
        <f>VLOOKUP(D132,Table12[[Name]:[Native]],3,FALSE)</f>
        <v>屯留区</v>
      </c>
      <c r="G132" s="12" t="str">
        <f ca="1">VLOOKUP(F132,Table12[[Native]:[Population4]],5,FALSE)</f>
        <v>长治市</v>
      </c>
    </row>
    <row r="133" spans="1:7" ht="15.75" thickBot="1" x14ac:dyDescent="0.3">
      <c r="A133" t="s">
        <v>281</v>
      </c>
      <c r="B133" s="1" t="s">
        <v>282</v>
      </c>
      <c r="C133" s="1" t="s">
        <v>7</v>
      </c>
      <c r="D133" s="1" t="s">
        <v>44</v>
      </c>
      <c r="E133" s="9">
        <v>12444</v>
      </c>
      <c r="F133" s="1" t="str">
        <f>VLOOKUP(D133,Table12[[Name]:[Native]],3,FALSE)</f>
        <v>潞城区</v>
      </c>
      <c r="G133" s="12" t="str">
        <f ca="1">VLOOKUP(F133,Table12[[Native]:[Population4]],5,FALSE)</f>
        <v>长治市</v>
      </c>
    </row>
    <row r="134" spans="1:7" ht="15.75" thickBot="1" x14ac:dyDescent="0.3">
      <c r="A134" t="s">
        <v>283</v>
      </c>
      <c r="B134" s="1" t="s">
        <v>284</v>
      </c>
      <c r="C134" s="1" t="s">
        <v>7</v>
      </c>
      <c r="D134" s="1" t="s">
        <v>28</v>
      </c>
      <c r="E134" s="9">
        <v>14838</v>
      </c>
      <c r="F134" s="1" t="str">
        <f>VLOOKUP(D134,Table12[[Name]:[Native]],3,FALSE)</f>
        <v>沁县</v>
      </c>
      <c r="G134" s="12" t="str">
        <f ca="1">VLOOKUP(F134,Table12[[Native]:[Population4]],5,FALSE)</f>
        <v>长治市</v>
      </c>
    </row>
    <row r="135" spans="1:7" ht="15.75" thickBot="1" x14ac:dyDescent="0.3">
      <c r="A135" t="s">
        <v>285</v>
      </c>
      <c r="B135" s="1" t="s">
        <v>286</v>
      </c>
      <c r="C135" s="1" t="s">
        <v>7</v>
      </c>
      <c r="D135" s="1" t="s">
        <v>20</v>
      </c>
      <c r="E135" s="9">
        <v>11866</v>
      </c>
      <c r="F135" s="1" t="str">
        <f>VLOOKUP(D135,Table12[[Name]:[Native]],3,FALSE)</f>
        <v>平顺县</v>
      </c>
      <c r="G135" s="12" t="str">
        <f ca="1">VLOOKUP(F135,Table12[[Native]:[Population4]],5,FALSE)</f>
        <v>长治市</v>
      </c>
    </row>
    <row r="136" spans="1:7" ht="15.75" thickBot="1" x14ac:dyDescent="0.3">
      <c r="A136" t="s">
        <v>287</v>
      </c>
      <c r="B136" s="1" t="s">
        <v>288</v>
      </c>
      <c r="C136" s="1" t="s">
        <v>17</v>
      </c>
      <c r="D136" s="1" t="s">
        <v>47</v>
      </c>
      <c r="E136" s="9">
        <v>7307</v>
      </c>
      <c r="F136" s="1" t="str">
        <f>VLOOKUP(D136,Table12[[Name]:[Native]],3,FALSE)</f>
        <v>黎城县</v>
      </c>
      <c r="G136" s="12" t="str">
        <f ca="1">VLOOKUP(F136,Table12[[Native]:[Population4]],5,FALSE)</f>
        <v>长治市</v>
      </c>
    </row>
    <row r="137" spans="1:7" ht="15.75" thickBot="1" x14ac:dyDescent="0.3">
      <c r="A137" t="s">
        <v>289</v>
      </c>
      <c r="B137" s="1" t="s">
        <v>290</v>
      </c>
      <c r="C137" s="1" t="s">
        <v>7</v>
      </c>
      <c r="D137" s="1" t="s">
        <v>23</v>
      </c>
      <c r="E137" s="9">
        <v>10322</v>
      </c>
      <c r="F137" s="1" t="str">
        <f>VLOOKUP(D137,Table12[[Name]:[Native]],3,FALSE)</f>
        <v>襄垣县</v>
      </c>
      <c r="G137" s="12" t="str">
        <f ca="1">VLOOKUP(F137,Table12[[Native]:[Population4]],5,FALSE)</f>
        <v>长治市</v>
      </c>
    </row>
    <row r="138" spans="1:7" ht="15.75" thickBot="1" x14ac:dyDescent="0.3">
      <c r="A138" t="s">
        <v>291</v>
      </c>
      <c r="B138" s="1" t="s">
        <v>292</v>
      </c>
      <c r="C138" s="1" t="s">
        <v>31</v>
      </c>
      <c r="D138" s="1" t="s">
        <v>32</v>
      </c>
      <c r="E138" s="9">
        <v>57144</v>
      </c>
      <c r="F138" s="1" t="str">
        <f>VLOOKUP(D138,Table12[[Name]:[Native]],3,FALSE)</f>
        <v>潞州区</v>
      </c>
      <c r="G138" s="12" t="str">
        <f ca="1">VLOOKUP(F138,Table12[[Native]:[Population4]],5,FALSE)</f>
        <v>长治市</v>
      </c>
    </row>
    <row r="139" spans="1:7" ht="15.75" thickBot="1" x14ac:dyDescent="0.3">
      <c r="A139" t="s">
        <v>293</v>
      </c>
      <c r="B139" s="1" t="s">
        <v>294</v>
      </c>
      <c r="C139" s="1" t="s">
        <v>17</v>
      </c>
      <c r="D139" s="1" t="s">
        <v>28</v>
      </c>
      <c r="E139" s="9">
        <v>3037</v>
      </c>
      <c r="F139" s="1" t="str">
        <f>VLOOKUP(D139,Table12[[Name]:[Native]],3,FALSE)</f>
        <v>沁县</v>
      </c>
      <c r="G139" s="12" t="str">
        <f ca="1">VLOOKUP(F139,Table12[[Native]:[Population4]],5,FALSE)</f>
        <v>长治市</v>
      </c>
    </row>
    <row r="140" spans="1:7" ht="15.75" thickBot="1" x14ac:dyDescent="0.3">
      <c r="A140" t="s">
        <v>295</v>
      </c>
      <c r="B140" s="1" t="s">
        <v>296</v>
      </c>
      <c r="C140" s="1" t="s">
        <v>17</v>
      </c>
      <c r="D140" s="1" t="s">
        <v>20</v>
      </c>
      <c r="E140" s="9">
        <v>8787</v>
      </c>
      <c r="F140" s="1" t="str">
        <f>VLOOKUP(D140,Table12[[Name]:[Native]],3,FALSE)</f>
        <v>平顺县</v>
      </c>
      <c r="G140" s="12" t="str">
        <f ca="1">VLOOKUP(F140,Table12[[Native]:[Population4]],5,FALSE)</f>
        <v>长治市</v>
      </c>
    </row>
    <row r="141" spans="1:7" ht="15.75" thickBot="1" x14ac:dyDescent="0.3">
      <c r="A141" t="s">
        <v>297</v>
      </c>
      <c r="B141" s="1" t="s">
        <v>298</v>
      </c>
      <c r="C141" s="1" t="s">
        <v>7</v>
      </c>
      <c r="D141" s="1" t="s">
        <v>14</v>
      </c>
      <c r="E141" s="9">
        <v>45437</v>
      </c>
      <c r="F141" s="1" t="str">
        <f>VLOOKUP(D141,Table12[[Name]:[Native]],3,FALSE)</f>
        <v>上党区</v>
      </c>
      <c r="G141" s="12" t="str">
        <f ca="1">VLOOKUP(F141,Table12[[Native]:[Population4]],5,FALSE)</f>
        <v>长治市</v>
      </c>
    </row>
    <row r="142" spans="1:7" ht="15.75" thickBot="1" x14ac:dyDescent="0.3">
      <c r="A142" t="s">
        <v>299</v>
      </c>
      <c r="B142" s="1" t="s">
        <v>300</v>
      </c>
      <c r="C142" s="1" t="s">
        <v>31</v>
      </c>
      <c r="D142" s="1" t="s">
        <v>32</v>
      </c>
      <c r="E142" s="9">
        <v>41655</v>
      </c>
      <c r="F142" s="1" t="str">
        <f>VLOOKUP(D142,Table12[[Name]:[Native]],3,FALSE)</f>
        <v>潞州区</v>
      </c>
      <c r="G142" s="12" t="str">
        <f ca="1">VLOOKUP(F142,Table12[[Native]:[Population4]],5,FALSE)</f>
        <v>长治市</v>
      </c>
    </row>
    <row r="143" spans="1:7" ht="15.75" thickBot="1" x14ac:dyDescent="0.3">
      <c r="A143" t="s">
        <v>301</v>
      </c>
      <c r="B143" s="1" t="s">
        <v>302</v>
      </c>
      <c r="C143" s="1" t="s">
        <v>31</v>
      </c>
      <c r="D143" s="1" t="s">
        <v>32</v>
      </c>
      <c r="E143" s="9">
        <v>34656</v>
      </c>
      <c r="F143" s="1" t="str">
        <f>VLOOKUP(D143,Table12[[Name]:[Native]],3,FALSE)</f>
        <v>潞州区</v>
      </c>
      <c r="G143" s="12" t="str">
        <f ca="1">VLOOKUP(F143,Table12[[Native]:[Population4]],5,FALSE)</f>
        <v>长治市</v>
      </c>
    </row>
    <row r="144" spans="1:7" ht="15.75" thickBot="1" x14ac:dyDescent="0.3">
      <c r="A144" t="s">
        <v>303</v>
      </c>
      <c r="B144" s="1" t="s">
        <v>304</v>
      </c>
      <c r="C144" s="1" t="s">
        <v>17</v>
      </c>
      <c r="D144" s="1" t="s">
        <v>65</v>
      </c>
      <c r="E144" s="9">
        <v>7603</v>
      </c>
      <c r="F144" s="1" t="str">
        <f>VLOOKUP(D144,Table12[[Name]:[Native]],3,FALSE)</f>
        <v>武乡县</v>
      </c>
      <c r="G144" s="12" t="str">
        <f ca="1">VLOOKUP(F144,Table12[[Native]:[Population4]],5,FALSE)</f>
        <v>长治市</v>
      </c>
    </row>
    <row r="145" spans="1:7" ht="15.75" thickBot="1" x14ac:dyDescent="0.3">
      <c r="A145" t="s">
        <v>305</v>
      </c>
      <c r="B145" s="1" t="s">
        <v>306</v>
      </c>
      <c r="C145" s="1" t="s">
        <v>7</v>
      </c>
      <c r="D145" s="1" t="s">
        <v>88</v>
      </c>
      <c r="E145" s="9">
        <v>18486</v>
      </c>
      <c r="F145" s="1" t="str">
        <f>VLOOKUP(D145,Table12[[Name]:[Native]],3,FALSE)</f>
        <v>屯留区</v>
      </c>
      <c r="G145" s="12" t="str">
        <f ca="1">VLOOKUP(F145,Table12[[Native]:[Population4]],5,FALSE)</f>
        <v>长治市</v>
      </c>
    </row>
    <row r="146" spans="1:7" ht="15.75" thickBot="1" x14ac:dyDescent="0.3">
      <c r="A146" t="s">
        <v>307</v>
      </c>
      <c r="B146" s="1" t="s">
        <v>308</v>
      </c>
      <c r="C146" s="1" t="s">
        <v>7</v>
      </c>
      <c r="D146" s="1" t="s">
        <v>88</v>
      </c>
      <c r="E146" s="9">
        <v>25992</v>
      </c>
      <c r="F146" s="1" t="str">
        <f>VLOOKUP(D146,Table12[[Name]:[Native]],3,FALSE)</f>
        <v>屯留区</v>
      </c>
      <c r="G146" s="12" t="str">
        <f ca="1">VLOOKUP(F146,Table12[[Native]:[Population4]],5,FALSE)</f>
        <v>长治市</v>
      </c>
    </row>
    <row r="147" spans="1:7" ht="15.75" thickBot="1" x14ac:dyDescent="0.3">
      <c r="A147" t="s">
        <v>309</v>
      </c>
      <c r="B147" s="1" t="s">
        <v>310</v>
      </c>
      <c r="C147" s="1" t="s">
        <v>7</v>
      </c>
      <c r="D147" s="1" t="s">
        <v>44</v>
      </c>
      <c r="E147" s="9">
        <v>21817</v>
      </c>
      <c r="F147" s="1" t="str">
        <f>VLOOKUP(D147,Table12[[Name]:[Native]],3,FALSE)</f>
        <v>潞城区</v>
      </c>
      <c r="G147" s="12" t="str">
        <f ca="1">VLOOKUP(F147,Table12[[Native]:[Population4]],5,FALSE)</f>
        <v>长治市</v>
      </c>
    </row>
    <row r="148" spans="1:7" ht="15.75" thickBot="1" x14ac:dyDescent="0.3">
      <c r="A148" t="s">
        <v>311</v>
      </c>
      <c r="B148" s="1" t="s">
        <v>312</v>
      </c>
      <c r="C148" s="1" t="s">
        <v>7</v>
      </c>
      <c r="D148" s="1" t="s">
        <v>88</v>
      </c>
      <c r="E148" s="9">
        <v>21041</v>
      </c>
      <c r="F148" s="1" t="str">
        <f>VLOOKUP(D148,Table12[[Name]:[Native]],3,FALSE)</f>
        <v>屯留区</v>
      </c>
      <c r="G148" s="12" t="str">
        <f ca="1">VLOOKUP(F148,Table12[[Native]:[Population4]],5,FALSE)</f>
        <v>长治市</v>
      </c>
    </row>
    <row r="149" spans="1:7" ht="15.75" thickBot="1" x14ac:dyDescent="0.3">
      <c r="A149" t="s">
        <v>313</v>
      </c>
      <c r="B149" s="1" t="s">
        <v>314</v>
      </c>
      <c r="C149" s="1" t="s">
        <v>7</v>
      </c>
      <c r="D149" s="1" t="s">
        <v>28</v>
      </c>
      <c r="E149" s="9">
        <v>13367</v>
      </c>
      <c r="F149" s="1" t="str">
        <f>VLOOKUP(D149,Table12[[Name]:[Native]],3,FALSE)</f>
        <v>沁县</v>
      </c>
      <c r="G149" s="12" t="str">
        <f ca="1">VLOOKUP(F149,Table12[[Native]:[Population4]],5,FALSE)</f>
        <v>长治市</v>
      </c>
    </row>
    <row r="150" spans="1:7" ht="15.75" thickBot="1" x14ac:dyDescent="0.3">
      <c r="A150" t="s">
        <v>315</v>
      </c>
      <c r="B150" s="1" t="s">
        <v>316</v>
      </c>
      <c r="C150" s="1" t="s">
        <v>7</v>
      </c>
      <c r="D150" s="1" t="s">
        <v>23</v>
      </c>
      <c r="E150" s="9">
        <v>15147</v>
      </c>
      <c r="F150" s="1" t="str">
        <f>VLOOKUP(D150,Table12[[Name]:[Native]],3,FALSE)</f>
        <v>襄垣县</v>
      </c>
      <c r="G150" s="12" t="str">
        <f ca="1">VLOOKUP(F150,Table12[[Native]:[Population4]],5,FALSE)</f>
        <v>长治市</v>
      </c>
    </row>
    <row r="151" spans="1:7" ht="15.75" thickBot="1" x14ac:dyDescent="0.3">
      <c r="A151" t="s">
        <v>317</v>
      </c>
      <c r="B151" s="1" t="s">
        <v>318</v>
      </c>
      <c r="C151" s="1" t="s">
        <v>17</v>
      </c>
      <c r="D151" s="1" t="s">
        <v>20</v>
      </c>
      <c r="E151" s="9">
        <v>7440</v>
      </c>
      <c r="F151" s="1" t="str">
        <f>VLOOKUP(D151,Table12[[Name]:[Native]],3,FALSE)</f>
        <v>平顺县</v>
      </c>
      <c r="G151" s="12" t="str">
        <f ca="1">VLOOKUP(F151,Table12[[Native]:[Population4]],5,FALSE)</f>
        <v>长治市</v>
      </c>
    </row>
    <row r="152" spans="1:7" ht="15.75" thickBot="1" x14ac:dyDescent="0.3">
      <c r="A152" t="s">
        <v>319</v>
      </c>
      <c r="B152" s="1" t="s">
        <v>320</v>
      </c>
      <c r="C152" s="1" t="s">
        <v>17</v>
      </c>
      <c r="D152" s="1" t="s">
        <v>50</v>
      </c>
      <c r="E152" s="9">
        <v>4724</v>
      </c>
      <c r="F152" s="1" t="str">
        <f>VLOOKUP(D152,Table12[[Name]:[Native]],3,FALSE)</f>
        <v>沁源县</v>
      </c>
      <c r="G152" s="12" t="str">
        <f ca="1">VLOOKUP(F152,Table12[[Native]:[Population4]],5,FALSE)</f>
        <v>长治市</v>
      </c>
    </row>
    <row r="153" spans="1:7" ht="15.75" thickBot="1" x14ac:dyDescent="0.3">
      <c r="A153" t="s">
        <v>321</v>
      </c>
      <c r="B153" s="1" t="s">
        <v>322</v>
      </c>
      <c r="C153" s="1" t="s">
        <v>31</v>
      </c>
      <c r="D153" s="1" t="s">
        <v>32</v>
      </c>
      <c r="E153" s="9">
        <v>33457</v>
      </c>
      <c r="F153" s="8" t="str">
        <f>VLOOKUP(D153,Table12[[Name]:[Native]],3,FALSE)</f>
        <v>潞州区</v>
      </c>
      <c r="G153" s="12" t="str">
        <f ca="1">VLOOKUP(F153,Table12[[Native]:[Population4]],5,FALSE)</f>
        <v>长治市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74D2E-14E1-4CAF-9CB3-890E962883B8}">
  <dimension ref="A1:G145"/>
  <sheetViews>
    <sheetView workbookViewId="0">
      <selection activeCell="A2" sqref="A2:G14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323</v>
      </c>
      <c r="B2" s="1" t="s">
        <v>324</v>
      </c>
      <c r="C2" s="1" t="s">
        <v>17</v>
      </c>
      <c r="D2" s="1" t="s">
        <v>325</v>
      </c>
      <c r="E2" s="9">
        <v>10100</v>
      </c>
      <c r="F2" s="7" t="str">
        <f>VLOOKUP(D2,Table12[[Name]:[Native]],3,FALSE)</f>
        <v>阳高县</v>
      </c>
      <c r="G2" s="12" t="str">
        <f ca="1">VLOOKUP(F2,Table12[[Native]:[Population4]],5,FALSE)</f>
        <v>大同市</v>
      </c>
    </row>
    <row r="3" spans="1:7" ht="15.75" thickBot="1" x14ac:dyDescent="0.3">
      <c r="A3" t="s">
        <v>326</v>
      </c>
      <c r="B3" s="1" t="s">
        <v>327</v>
      </c>
      <c r="C3" s="1" t="s">
        <v>31</v>
      </c>
      <c r="D3" s="1" t="s">
        <v>328</v>
      </c>
      <c r="E3" s="9">
        <v>1225</v>
      </c>
      <c r="F3" s="1" t="str">
        <f>VLOOKUP(D3,Table12[[Name]:[Native]],3,FALSE)</f>
        <v>云冈区</v>
      </c>
      <c r="G3" s="12" t="str">
        <f ca="1">VLOOKUP(F3,Table12[[Native]:[Population4]],5,FALSE)</f>
        <v>大同市</v>
      </c>
    </row>
    <row r="4" spans="1:7" ht="15.75" thickBot="1" x14ac:dyDescent="0.3">
      <c r="A4" t="s">
        <v>329</v>
      </c>
      <c r="B4" s="1" t="s">
        <v>330</v>
      </c>
      <c r="C4" s="1" t="s">
        <v>17</v>
      </c>
      <c r="D4" s="1" t="s">
        <v>331</v>
      </c>
      <c r="E4" s="9">
        <v>4023</v>
      </c>
      <c r="F4" s="1" t="str">
        <f>VLOOKUP(D4,Table12[[Name]:[Native]],3,FALSE)</f>
        <v>灵丘县</v>
      </c>
      <c r="G4" s="12" t="str">
        <f ca="1">VLOOKUP(F4,Table12[[Native]:[Population4]],5,FALSE)</f>
        <v>大同市</v>
      </c>
    </row>
    <row r="5" spans="1:7" ht="15.75" thickBot="1" x14ac:dyDescent="0.3">
      <c r="A5" t="s">
        <v>332</v>
      </c>
      <c r="B5" s="1" t="s">
        <v>333</v>
      </c>
      <c r="C5" s="1" t="s">
        <v>17</v>
      </c>
      <c r="D5" s="1" t="s">
        <v>334</v>
      </c>
      <c r="E5" s="9">
        <v>14770</v>
      </c>
      <c r="F5" s="1" t="str">
        <f>VLOOKUP(D5,Table12[[Name]:[Native]],3,FALSE)</f>
        <v>新荣区</v>
      </c>
      <c r="G5" s="12" t="str">
        <f ca="1">VLOOKUP(F5,Table12[[Native]:[Population4]],5,FALSE)</f>
        <v>大同市</v>
      </c>
    </row>
    <row r="6" spans="1:7" ht="15.75" thickBot="1" x14ac:dyDescent="0.3">
      <c r="A6" t="s">
        <v>335</v>
      </c>
      <c r="B6" s="1" t="s">
        <v>336</v>
      </c>
      <c r="C6" s="1" t="s">
        <v>31</v>
      </c>
      <c r="D6" s="1" t="s">
        <v>337</v>
      </c>
      <c r="E6" s="9">
        <v>110560</v>
      </c>
      <c r="F6" s="1" t="str">
        <f>VLOOKUP(D6,Table12[[Name]:[Native]],3,FALSE)</f>
        <v>平城区</v>
      </c>
      <c r="G6" s="12" t="str">
        <f ca="1">VLOOKUP(F6,Table12[[Native]:[Population4]],5,FALSE)</f>
        <v>大同市</v>
      </c>
    </row>
    <row r="7" spans="1:7" ht="15.75" thickBot="1" x14ac:dyDescent="0.3">
      <c r="A7" t="s">
        <v>338</v>
      </c>
      <c r="B7" s="1" t="s">
        <v>339</v>
      </c>
      <c r="C7" s="1" t="s">
        <v>7</v>
      </c>
      <c r="D7" s="1" t="s">
        <v>340</v>
      </c>
      <c r="E7" s="9">
        <v>18739</v>
      </c>
      <c r="F7" s="1" t="str">
        <f>VLOOKUP(D7,Table12[[Name]:[Native]],3,FALSE)</f>
        <v>云州区</v>
      </c>
      <c r="G7" s="12" t="str">
        <f ca="1">VLOOKUP(F7,Table12[[Native]:[Population4]],5,FALSE)</f>
        <v>大同市</v>
      </c>
    </row>
    <row r="8" spans="1:7" ht="15.75" thickBot="1" x14ac:dyDescent="0.3">
      <c r="A8" t="s">
        <v>341</v>
      </c>
      <c r="B8" s="1" t="s">
        <v>342</v>
      </c>
      <c r="C8" s="1" t="s">
        <v>31</v>
      </c>
      <c r="D8" s="1" t="s">
        <v>337</v>
      </c>
      <c r="E8" s="9">
        <v>34510</v>
      </c>
      <c r="F8" s="1" t="str">
        <f>VLOOKUP(D8,Table12[[Name]:[Native]],3,FALSE)</f>
        <v>平城区</v>
      </c>
      <c r="G8" s="12" t="str">
        <f ca="1">VLOOKUP(F8,Table12[[Native]:[Population4]],5,FALSE)</f>
        <v>大同市</v>
      </c>
    </row>
    <row r="9" spans="1:7" ht="15.75" thickBot="1" x14ac:dyDescent="0.3">
      <c r="A9" t="s">
        <v>343</v>
      </c>
      <c r="B9" s="1" t="s">
        <v>344</v>
      </c>
      <c r="C9" s="1" t="s">
        <v>17</v>
      </c>
      <c r="D9" s="1" t="s">
        <v>325</v>
      </c>
      <c r="E9" s="9">
        <v>15809</v>
      </c>
      <c r="F9" s="1" t="str">
        <f>VLOOKUP(D9,Table12[[Name]:[Native]],3,FALSE)</f>
        <v>阳高县</v>
      </c>
      <c r="G9" s="12" t="str">
        <f ca="1">VLOOKUP(F9,Table12[[Native]:[Population4]],5,FALSE)</f>
        <v>大同市</v>
      </c>
    </row>
    <row r="10" spans="1:7" ht="15.75" thickBot="1" x14ac:dyDescent="0.3">
      <c r="A10" t="s">
        <v>345</v>
      </c>
      <c r="B10" s="1" t="s">
        <v>346</v>
      </c>
      <c r="C10" s="1" t="s">
        <v>7</v>
      </c>
      <c r="D10" s="1" t="s">
        <v>347</v>
      </c>
      <c r="E10" s="9">
        <v>12674</v>
      </c>
      <c r="F10" s="1" t="str">
        <f>VLOOKUP(D10,Table12[[Name]:[Native]],3,FALSE)</f>
        <v>浑源县</v>
      </c>
      <c r="G10" s="12" t="str">
        <f ca="1">VLOOKUP(F10,Table12[[Native]:[Population4]],5,FALSE)</f>
        <v>大同市</v>
      </c>
    </row>
    <row r="11" spans="1:7" ht="15.75" thickBot="1" x14ac:dyDescent="0.3">
      <c r="A11" t="s">
        <v>348</v>
      </c>
      <c r="B11" s="1" t="s">
        <v>349</v>
      </c>
      <c r="C11" s="1" t="s">
        <v>17</v>
      </c>
      <c r="D11" s="1" t="s">
        <v>325</v>
      </c>
      <c r="E11" s="9">
        <v>5329</v>
      </c>
      <c r="F11" s="1" t="str">
        <f>VLOOKUP(D11,Table12[[Name]:[Native]],3,FALSE)</f>
        <v>阳高县</v>
      </c>
      <c r="G11" s="12" t="str">
        <f ca="1">VLOOKUP(F11,Table12[[Native]:[Population4]],5,FALSE)</f>
        <v>大同市</v>
      </c>
    </row>
    <row r="12" spans="1:7" ht="15.75" thickBot="1" x14ac:dyDescent="0.3">
      <c r="A12" t="s">
        <v>350</v>
      </c>
      <c r="B12" s="1" t="s">
        <v>351</v>
      </c>
      <c r="C12" s="1" t="s">
        <v>7</v>
      </c>
      <c r="D12" s="1" t="s">
        <v>325</v>
      </c>
      <c r="E12" s="9">
        <v>18869</v>
      </c>
      <c r="F12" s="1" t="str">
        <f>VLOOKUP(D12,Table12[[Name]:[Native]],3,FALSE)</f>
        <v>阳高县</v>
      </c>
      <c r="G12" s="12" t="str">
        <f ca="1">VLOOKUP(F12,Table12[[Native]:[Population4]],5,FALSE)</f>
        <v>大同市</v>
      </c>
    </row>
    <row r="13" spans="1:7" ht="15.75" thickBot="1" x14ac:dyDescent="0.3">
      <c r="A13" t="s">
        <v>352</v>
      </c>
      <c r="B13" s="1" t="s">
        <v>353</v>
      </c>
      <c r="C13" s="1" t="s">
        <v>7</v>
      </c>
      <c r="D13" s="1" t="s">
        <v>347</v>
      </c>
      <c r="E13" s="9">
        <v>5849</v>
      </c>
      <c r="F13" s="1" t="str">
        <f>VLOOKUP(D13,Table12[[Name]:[Native]],3,FALSE)</f>
        <v>浑源县</v>
      </c>
      <c r="G13" s="12" t="str">
        <f ca="1">VLOOKUP(F13,Table12[[Native]:[Population4]],5,FALSE)</f>
        <v>大同市</v>
      </c>
    </row>
    <row r="14" spans="1:7" ht="15.75" thickBot="1" x14ac:dyDescent="0.3">
      <c r="A14" t="s">
        <v>354</v>
      </c>
      <c r="B14" s="1" t="s">
        <v>355</v>
      </c>
      <c r="C14" s="1" t="s">
        <v>31</v>
      </c>
      <c r="D14" s="1" t="s">
        <v>328</v>
      </c>
      <c r="E14" s="9">
        <v>1490</v>
      </c>
      <c r="F14" s="1" t="str">
        <f>VLOOKUP(D14,Table12[[Name]:[Native]],3,FALSE)</f>
        <v>云冈区</v>
      </c>
      <c r="G14" s="12" t="str">
        <f ca="1">VLOOKUP(F14,Table12[[Native]:[Population4]],5,FALSE)</f>
        <v>大同市</v>
      </c>
    </row>
    <row r="15" spans="1:7" ht="15.75" thickBot="1" x14ac:dyDescent="0.3">
      <c r="A15" t="s">
        <v>356</v>
      </c>
      <c r="B15" s="1" t="s">
        <v>357</v>
      </c>
      <c r="C15" s="1" t="s">
        <v>17</v>
      </c>
      <c r="D15" s="1" t="s">
        <v>340</v>
      </c>
      <c r="E15" s="9">
        <v>12956</v>
      </c>
      <c r="F15" s="1" t="str">
        <f>VLOOKUP(D15,Table12[[Name]:[Native]],3,FALSE)</f>
        <v>云州区</v>
      </c>
      <c r="G15" s="12" t="str">
        <f ca="1">VLOOKUP(F15,Table12[[Native]:[Population4]],5,FALSE)</f>
        <v>大同市</v>
      </c>
    </row>
    <row r="16" spans="1:7" ht="15.75" thickBot="1" x14ac:dyDescent="0.3">
      <c r="A16" t="s">
        <v>358</v>
      </c>
      <c r="B16" s="1" t="s">
        <v>359</v>
      </c>
      <c r="C16" s="1" t="s">
        <v>31</v>
      </c>
      <c r="D16" s="1" t="s">
        <v>337</v>
      </c>
      <c r="E16" s="9">
        <v>43101</v>
      </c>
      <c r="F16" s="1" t="str">
        <f>VLOOKUP(D16,Table12[[Name]:[Native]],3,FALSE)</f>
        <v>平城区</v>
      </c>
      <c r="G16" s="12" t="str">
        <f ca="1">VLOOKUP(F16,Table12[[Native]:[Population4]],5,FALSE)</f>
        <v>大同市</v>
      </c>
    </row>
    <row r="17" spans="1:7" ht="15.75" thickBot="1" x14ac:dyDescent="0.3">
      <c r="A17" t="s">
        <v>360</v>
      </c>
      <c r="B17" s="1" t="s">
        <v>361</v>
      </c>
      <c r="C17" s="1" t="s">
        <v>17</v>
      </c>
      <c r="D17" s="1" t="s">
        <v>347</v>
      </c>
      <c r="E17" s="9">
        <v>7316</v>
      </c>
      <c r="F17" s="1" t="str">
        <f>VLOOKUP(D17,Table12[[Name]:[Native]],3,FALSE)</f>
        <v>浑源县</v>
      </c>
      <c r="G17" s="12" t="str">
        <f ca="1">VLOOKUP(F17,Table12[[Native]:[Population4]],5,FALSE)</f>
        <v>大同市</v>
      </c>
    </row>
    <row r="18" spans="1:7" ht="15.75" thickBot="1" x14ac:dyDescent="0.3">
      <c r="A18" t="s">
        <v>362</v>
      </c>
      <c r="B18" s="1" t="s">
        <v>363</v>
      </c>
      <c r="C18" s="1" t="s">
        <v>7</v>
      </c>
      <c r="D18" s="1" t="s">
        <v>364</v>
      </c>
      <c r="E18" s="9">
        <v>12779</v>
      </c>
      <c r="F18" s="1" t="str">
        <f>VLOOKUP(D18,Table12[[Name]:[Native]],3,FALSE)</f>
        <v>左云县</v>
      </c>
      <c r="G18" s="12" t="str">
        <f ca="1">VLOOKUP(F18,Table12[[Native]:[Population4]],5,FALSE)</f>
        <v>大同市</v>
      </c>
    </row>
    <row r="19" spans="1:7" ht="15.75" thickBot="1" x14ac:dyDescent="0.3">
      <c r="A19" t="s">
        <v>365</v>
      </c>
      <c r="B19" s="1" t="s">
        <v>366</v>
      </c>
      <c r="C19" s="1" t="s">
        <v>17</v>
      </c>
      <c r="D19" s="1" t="s">
        <v>347</v>
      </c>
      <c r="E19" s="9">
        <v>27945</v>
      </c>
      <c r="F19" s="1" t="str">
        <f>VLOOKUP(D19,Table12[[Name]:[Native]],3,FALSE)</f>
        <v>浑源县</v>
      </c>
      <c r="G19" s="12" t="str">
        <f ca="1">VLOOKUP(F19,Table12[[Native]:[Population4]],5,FALSE)</f>
        <v>大同市</v>
      </c>
    </row>
    <row r="20" spans="1:7" ht="15.75" thickBot="1" x14ac:dyDescent="0.3">
      <c r="A20" t="s">
        <v>367</v>
      </c>
      <c r="B20" s="1" t="s">
        <v>368</v>
      </c>
      <c r="C20" s="1" t="s">
        <v>7</v>
      </c>
      <c r="D20" s="1" t="s">
        <v>331</v>
      </c>
      <c r="E20" s="9">
        <v>26083</v>
      </c>
      <c r="F20" s="1" t="str">
        <f>VLOOKUP(D20,Table12[[Name]:[Native]],3,FALSE)</f>
        <v>灵丘县</v>
      </c>
      <c r="G20" s="12" t="str">
        <f ca="1">VLOOKUP(F20,Table12[[Native]:[Population4]],5,FALSE)</f>
        <v>大同市</v>
      </c>
    </row>
    <row r="21" spans="1:7" ht="15.75" thickBot="1" x14ac:dyDescent="0.3">
      <c r="A21" s="1" t="s">
        <v>369</v>
      </c>
      <c r="B21" s="1" t="s">
        <v>370</v>
      </c>
      <c r="C21" s="1" t="s">
        <v>35</v>
      </c>
      <c r="D21" s="1" t="s">
        <v>340</v>
      </c>
      <c r="E21" s="9">
        <v>22535</v>
      </c>
      <c r="F21" s="1" t="str">
        <f>VLOOKUP(D21,Table12[[Name]:[Native]],3,FALSE)</f>
        <v>云州区</v>
      </c>
      <c r="G21" s="12" t="str">
        <f ca="1">VLOOKUP(F21,Table12[[Native]:[Population4]],5,FALSE)</f>
        <v>大同市</v>
      </c>
    </row>
    <row r="22" spans="1:7" ht="15.75" thickBot="1" x14ac:dyDescent="0.3">
      <c r="A22" t="s">
        <v>72</v>
      </c>
      <c r="B22" s="1" t="s">
        <v>73</v>
      </c>
      <c r="C22" s="1" t="s">
        <v>31</v>
      </c>
      <c r="D22" s="1" t="s">
        <v>337</v>
      </c>
      <c r="E22" s="9">
        <v>27660</v>
      </c>
      <c r="F22" s="1" t="str">
        <f>VLOOKUP(D22,Table12[[Name]:[Native]],3,FALSE)</f>
        <v>平城区</v>
      </c>
      <c r="G22" s="12" t="str">
        <f ca="1">VLOOKUP(F22,Table12[[Native]:[Population4]],5,FALSE)</f>
        <v>大同市</v>
      </c>
    </row>
    <row r="23" spans="1:7" ht="15.75" thickBot="1" x14ac:dyDescent="0.3">
      <c r="A23" t="s">
        <v>371</v>
      </c>
      <c r="B23" s="1" t="s">
        <v>372</v>
      </c>
      <c r="C23" s="1" t="s">
        <v>7</v>
      </c>
      <c r="D23" s="1" t="s">
        <v>325</v>
      </c>
      <c r="E23" s="9">
        <v>10684</v>
      </c>
      <c r="F23" s="1" t="str">
        <f>VLOOKUP(D23,Table12[[Name]:[Native]],3,FALSE)</f>
        <v>阳高县</v>
      </c>
      <c r="G23" s="12" t="str">
        <f ca="1">VLOOKUP(F23,Table12[[Native]:[Population4]],5,FALSE)</f>
        <v>大同市</v>
      </c>
    </row>
    <row r="24" spans="1:7" ht="15.75" thickBot="1" x14ac:dyDescent="0.3">
      <c r="A24" t="s">
        <v>373</v>
      </c>
      <c r="B24" s="1" t="s">
        <v>374</v>
      </c>
      <c r="C24" s="1" t="s">
        <v>17</v>
      </c>
      <c r="D24" s="1" t="s">
        <v>331</v>
      </c>
      <c r="E24" s="9">
        <v>7838</v>
      </c>
      <c r="F24" s="1" t="str">
        <f>VLOOKUP(D24,Table12[[Name]:[Native]],3,FALSE)</f>
        <v>灵丘县</v>
      </c>
      <c r="G24" s="12" t="str">
        <f ca="1">VLOOKUP(F24,Table12[[Native]:[Population4]],5,FALSE)</f>
        <v>大同市</v>
      </c>
    </row>
    <row r="25" spans="1:7" ht="15.75" thickBot="1" x14ac:dyDescent="0.3">
      <c r="A25" t="s">
        <v>375</v>
      </c>
      <c r="B25" s="1" t="s">
        <v>376</v>
      </c>
      <c r="C25" s="1" t="s">
        <v>17</v>
      </c>
      <c r="D25" s="1" t="s">
        <v>340</v>
      </c>
      <c r="E25" s="9">
        <v>11836</v>
      </c>
      <c r="F25" s="1" t="str">
        <f>VLOOKUP(D25,Table12[[Name]:[Native]],3,FALSE)</f>
        <v>云州区</v>
      </c>
      <c r="G25" s="12" t="str">
        <f ca="1">VLOOKUP(F25,Table12[[Native]:[Population4]],5,FALSE)</f>
        <v>大同市</v>
      </c>
    </row>
    <row r="26" spans="1:7" ht="15.75" thickBot="1" x14ac:dyDescent="0.3">
      <c r="A26" t="s">
        <v>377</v>
      </c>
      <c r="B26" s="1" t="s">
        <v>378</v>
      </c>
      <c r="C26" s="1" t="s">
        <v>17</v>
      </c>
      <c r="D26" s="1" t="s">
        <v>340</v>
      </c>
      <c r="E26" s="9">
        <v>7325</v>
      </c>
      <c r="F26" s="1" t="str">
        <f>VLOOKUP(D26,Table12[[Name]:[Native]],3,FALSE)</f>
        <v>云州区</v>
      </c>
      <c r="G26" s="12" t="str">
        <f ca="1">VLOOKUP(F26,Table12[[Native]:[Population4]],5,FALSE)</f>
        <v>大同市</v>
      </c>
    </row>
    <row r="27" spans="1:7" ht="15.75" thickBot="1" x14ac:dyDescent="0.3">
      <c r="A27" t="s">
        <v>379</v>
      </c>
      <c r="B27" s="1" t="s">
        <v>380</v>
      </c>
      <c r="C27" s="1" t="s">
        <v>7</v>
      </c>
      <c r="D27" s="1" t="s">
        <v>328</v>
      </c>
      <c r="E27" s="9">
        <v>13887</v>
      </c>
      <c r="F27" s="1" t="str">
        <f>VLOOKUP(D27,Table12[[Name]:[Native]],3,FALSE)</f>
        <v>云冈区</v>
      </c>
      <c r="G27" s="12" t="str">
        <f ca="1">VLOOKUP(F27,Table12[[Native]:[Population4]],5,FALSE)</f>
        <v>大同市</v>
      </c>
    </row>
    <row r="28" spans="1:7" ht="15.75" thickBot="1" x14ac:dyDescent="0.3">
      <c r="A28" t="s">
        <v>381</v>
      </c>
      <c r="B28" s="1" t="s">
        <v>382</v>
      </c>
      <c r="C28" s="1" t="s">
        <v>17</v>
      </c>
      <c r="D28" s="1" t="s">
        <v>347</v>
      </c>
      <c r="E28" s="9">
        <v>10909</v>
      </c>
      <c r="F28" s="1" t="str">
        <f>VLOOKUP(D28,Table12[[Name]:[Native]],3,FALSE)</f>
        <v>浑源县</v>
      </c>
      <c r="G28" s="12" t="str">
        <f ca="1">VLOOKUP(F28,Table12[[Native]:[Population4]],5,FALSE)</f>
        <v>大同市</v>
      </c>
    </row>
    <row r="29" spans="1:7" ht="15.75" thickBot="1" x14ac:dyDescent="0.3">
      <c r="A29" t="s">
        <v>383</v>
      </c>
      <c r="B29" s="1" t="s">
        <v>384</v>
      </c>
      <c r="C29" s="1" t="s">
        <v>17</v>
      </c>
      <c r="D29" s="1" t="s">
        <v>364</v>
      </c>
      <c r="E29" s="9">
        <v>8774</v>
      </c>
      <c r="F29" s="1" t="str">
        <f>VLOOKUP(D29,Table12[[Name]:[Native]],3,FALSE)</f>
        <v>左云县</v>
      </c>
      <c r="G29" s="12" t="str">
        <f ca="1">VLOOKUP(F29,Table12[[Native]:[Population4]],5,FALSE)</f>
        <v>大同市</v>
      </c>
    </row>
    <row r="30" spans="1:7" ht="15.75" thickBot="1" x14ac:dyDescent="0.3">
      <c r="A30" t="s">
        <v>385</v>
      </c>
      <c r="B30" s="1" t="s">
        <v>386</v>
      </c>
      <c r="C30" s="1" t="s">
        <v>17</v>
      </c>
      <c r="D30" s="1" t="s">
        <v>340</v>
      </c>
      <c r="E30" s="9">
        <v>6834</v>
      </c>
      <c r="F30" s="1" t="str">
        <f>VLOOKUP(D30,Table12[[Name]:[Native]],3,FALSE)</f>
        <v>云州区</v>
      </c>
      <c r="G30" s="12" t="str">
        <f ca="1">VLOOKUP(F30,Table12[[Native]:[Population4]],5,FALSE)</f>
        <v>大同市</v>
      </c>
    </row>
    <row r="31" spans="1:7" ht="15.75" thickBot="1" x14ac:dyDescent="0.3">
      <c r="A31" t="s">
        <v>387</v>
      </c>
      <c r="B31" s="1" t="s">
        <v>388</v>
      </c>
      <c r="C31" s="1" t="s">
        <v>7</v>
      </c>
      <c r="D31" s="1" t="s">
        <v>325</v>
      </c>
      <c r="E31" s="9">
        <v>17664</v>
      </c>
      <c r="F31" s="1" t="str">
        <f>VLOOKUP(D31,Table12[[Name]:[Native]],3,FALSE)</f>
        <v>阳高县</v>
      </c>
      <c r="G31" s="12" t="str">
        <f ca="1">VLOOKUP(F31,Table12[[Native]:[Population4]],5,FALSE)</f>
        <v>大同市</v>
      </c>
    </row>
    <row r="32" spans="1:7" ht="15.75" thickBot="1" x14ac:dyDescent="0.3">
      <c r="A32" t="s">
        <v>389</v>
      </c>
      <c r="B32" s="1" t="s">
        <v>390</v>
      </c>
      <c r="C32" s="1" t="s">
        <v>7</v>
      </c>
      <c r="D32" s="1" t="s">
        <v>334</v>
      </c>
      <c r="E32" s="9">
        <v>15444</v>
      </c>
      <c r="F32" s="1" t="str">
        <f>VLOOKUP(D32,Table12[[Name]:[Native]],3,FALSE)</f>
        <v>新荣区</v>
      </c>
      <c r="G32" s="12" t="str">
        <f ca="1">VLOOKUP(F32,Table12[[Native]:[Population4]],5,FALSE)</f>
        <v>大同市</v>
      </c>
    </row>
    <row r="33" spans="1:7" ht="15.75" thickBot="1" x14ac:dyDescent="0.3">
      <c r="A33" t="s">
        <v>391</v>
      </c>
      <c r="B33" s="1" t="s">
        <v>392</v>
      </c>
      <c r="C33" s="1" t="s">
        <v>17</v>
      </c>
      <c r="D33" s="1" t="s">
        <v>334</v>
      </c>
      <c r="E33" s="9">
        <v>12084</v>
      </c>
      <c r="F33" s="1" t="str">
        <f>VLOOKUP(D33,Table12[[Name]:[Native]],3,FALSE)</f>
        <v>新荣区</v>
      </c>
      <c r="G33" s="12" t="str">
        <f ca="1">VLOOKUP(F33,Table12[[Native]:[Population4]],5,FALSE)</f>
        <v>大同市</v>
      </c>
    </row>
    <row r="34" spans="1:7" ht="15.75" thickBot="1" x14ac:dyDescent="0.3">
      <c r="A34" t="s">
        <v>393</v>
      </c>
      <c r="B34" s="1" t="s">
        <v>394</v>
      </c>
      <c r="C34" s="1" t="s">
        <v>7</v>
      </c>
      <c r="D34" s="1" t="s">
        <v>395</v>
      </c>
      <c r="E34" s="9">
        <v>19421</v>
      </c>
      <c r="F34" s="1" t="str">
        <f>VLOOKUP(D34,Table12[[Name]:[Native]],3,FALSE)</f>
        <v>天镇县</v>
      </c>
      <c r="G34" s="12" t="str">
        <f ca="1">VLOOKUP(F34,Table12[[Native]:[Population4]],5,FALSE)</f>
        <v>大同市</v>
      </c>
    </row>
    <row r="35" spans="1:7" ht="15.75" thickBot="1" x14ac:dyDescent="0.3">
      <c r="A35" t="s">
        <v>396</v>
      </c>
      <c r="B35" s="1" t="s">
        <v>397</v>
      </c>
      <c r="C35" s="1" t="s">
        <v>31</v>
      </c>
      <c r="D35" s="1" t="s">
        <v>328</v>
      </c>
      <c r="E35" s="9">
        <v>52081</v>
      </c>
      <c r="F35" s="1" t="str">
        <f>VLOOKUP(D35,Table12[[Name]:[Native]],3,FALSE)</f>
        <v>云冈区</v>
      </c>
      <c r="G35" s="12" t="str">
        <f ca="1">VLOOKUP(F35,Table12[[Native]:[Population4]],5,FALSE)</f>
        <v>大同市</v>
      </c>
    </row>
    <row r="36" spans="1:7" ht="15.75" thickBot="1" x14ac:dyDescent="0.3">
      <c r="A36" s="1" t="s">
        <v>398</v>
      </c>
      <c r="B36" s="1" t="s">
        <v>399</v>
      </c>
      <c r="C36" s="1" t="s">
        <v>31</v>
      </c>
      <c r="D36" s="1" t="s">
        <v>328</v>
      </c>
      <c r="E36" s="9">
        <v>44800</v>
      </c>
      <c r="F36" s="1" t="str">
        <f>VLOOKUP(D36,Table12[[Name]:[Native]],3,FALSE)</f>
        <v>云冈区</v>
      </c>
      <c r="G36" s="12" t="str">
        <f ca="1">VLOOKUP(F36,Table12[[Native]:[Population4]],5,FALSE)</f>
        <v>大同市</v>
      </c>
    </row>
    <row r="37" spans="1:7" ht="15.75" thickBot="1" x14ac:dyDescent="0.3">
      <c r="A37" t="s">
        <v>400</v>
      </c>
      <c r="B37" s="1" t="s">
        <v>401</v>
      </c>
      <c r="C37" s="1" t="s">
        <v>17</v>
      </c>
      <c r="D37" s="1" t="s">
        <v>331</v>
      </c>
      <c r="E37" s="9">
        <v>3286</v>
      </c>
      <c r="F37" s="1" t="str">
        <f>VLOOKUP(D37,Table12[[Name]:[Native]],3,FALSE)</f>
        <v>灵丘县</v>
      </c>
      <c r="G37" s="12" t="str">
        <f ca="1">VLOOKUP(F37,Table12[[Native]:[Population4]],5,FALSE)</f>
        <v>大同市</v>
      </c>
    </row>
    <row r="38" spans="1:7" ht="15.75" thickBot="1" x14ac:dyDescent="0.3">
      <c r="A38" t="s">
        <v>402</v>
      </c>
      <c r="B38" s="1" t="s">
        <v>403</v>
      </c>
      <c r="C38" s="1" t="s">
        <v>17</v>
      </c>
      <c r="D38" s="1" t="s">
        <v>347</v>
      </c>
      <c r="E38" s="9">
        <v>10260</v>
      </c>
      <c r="F38" s="1" t="str">
        <f>VLOOKUP(D38,Table12[[Name]:[Native]],3,FALSE)</f>
        <v>浑源县</v>
      </c>
      <c r="G38" s="12" t="str">
        <f ca="1">VLOOKUP(F38,Table12[[Native]:[Population4]],5,FALSE)</f>
        <v>大同市</v>
      </c>
    </row>
    <row r="39" spans="1:7" ht="15.75" thickBot="1" x14ac:dyDescent="0.3">
      <c r="A39" t="s">
        <v>404</v>
      </c>
      <c r="B39" s="1" t="s">
        <v>405</v>
      </c>
      <c r="C39" s="1" t="s">
        <v>17</v>
      </c>
      <c r="D39" s="1" t="s">
        <v>334</v>
      </c>
      <c r="E39" s="9">
        <v>15110</v>
      </c>
      <c r="F39" s="1" t="str">
        <f>VLOOKUP(D39,Table12[[Name]:[Native]],3,FALSE)</f>
        <v>新荣区</v>
      </c>
      <c r="G39" s="12" t="str">
        <f ca="1">VLOOKUP(F39,Table12[[Native]:[Population4]],5,FALSE)</f>
        <v>大同市</v>
      </c>
    </row>
    <row r="40" spans="1:7" ht="15.75" thickBot="1" x14ac:dyDescent="0.3">
      <c r="A40" t="s">
        <v>406</v>
      </c>
      <c r="B40" s="1" t="s">
        <v>407</v>
      </c>
      <c r="C40" s="1" t="s">
        <v>35</v>
      </c>
      <c r="D40" s="1" t="s">
        <v>340</v>
      </c>
      <c r="E40" s="9">
        <v>2974</v>
      </c>
      <c r="F40" s="1" t="str">
        <f>VLOOKUP(D40,Table12[[Name]:[Native]],3,FALSE)</f>
        <v>云州区</v>
      </c>
      <c r="G40" s="12" t="str">
        <f ca="1">VLOOKUP(F40,Table12[[Native]:[Population4]],5,FALSE)</f>
        <v>大同市</v>
      </c>
    </row>
    <row r="41" spans="1:7" ht="15.75" thickBot="1" x14ac:dyDescent="0.3">
      <c r="A41" t="s">
        <v>408</v>
      </c>
      <c r="B41" s="1" t="s">
        <v>409</v>
      </c>
      <c r="C41" s="1" t="s">
        <v>7</v>
      </c>
      <c r="D41" s="1" t="s">
        <v>410</v>
      </c>
      <c r="E41" s="9">
        <v>66271</v>
      </c>
      <c r="F41" s="1" t="str">
        <f>VLOOKUP(D41,Table12[[Name]:[Native]],3,FALSE)</f>
        <v>广灵县</v>
      </c>
      <c r="G41" s="12" t="str">
        <f ca="1">VLOOKUP(F41,Table12[[Native]:[Population4]],5,FALSE)</f>
        <v>大同市</v>
      </c>
    </row>
    <row r="42" spans="1:7" ht="15.75" thickBot="1" x14ac:dyDescent="0.3">
      <c r="A42" t="s">
        <v>411</v>
      </c>
      <c r="B42" s="1" t="s">
        <v>412</v>
      </c>
      <c r="C42" s="1" t="s">
        <v>17</v>
      </c>
      <c r="D42" s="1" t="s">
        <v>410</v>
      </c>
      <c r="E42" s="9">
        <v>16548</v>
      </c>
      <c r="F42" s="1" t="str">
        <f>VLOOKUP(D42,Table12[[Name]:[Native]],3,FALSE)</f>
        <v>广灵县</v>
      </c>
      <c r="G42" s="12" t="str">
        <f ca="1">VLOOKUP(F42,Table12[[Native]:[Population4]],5,FALSE)</f>
        <v>大同市</v>
      </c>
    </row>
    <row r="43" spans="1:7" ht="15.75" thickBot="1" x14ac:dyDescent="0.3">
      <c r="A43" t="s">
        <v>413</v>
      </c>
      <c r="B43" s="1" t="s">
        <v>414</v>
      </c>
      <c r="C43" s="1" t="s">
        <v>17</v>
      </c>
      <c r="D43" s="1" t="s">
        <v>395</v>
      </c>
      <c r="E43" s="9">
        <v>8768</v>
      </c>
      <c r="F43" s="1" t="str">
        <f>VLOOKUP(D43,Table12[[Name]:[Native]],3,FALSE)</f>
        <v>天镇县</v>
      </c>
      <c r="G43" s="12" t="str">
        <f ca="1">VLOOKUP(F43,Table12[[Native]:[Population4]],5,FALSE)</f>
        <v>大同市</v>
      </c>
    </row>
    <row r="44" spans="1:7" ht="15.75" thickBot="1" x14ac:dyDescent="0.3">
      <c r="A44" t="s">
        <v>415</v>
      </c>
      <c r="B44" s="1" t="s">
        <v>416</v>
      </c>
      <c r="C44" s="1" t="s">
        <v>31</v>
      </c>
      <c r="D44" s="1" t="s">
        <v>328</v>
      </c>
      <c r="E44" s="9">
        <v>21880</v>
      </c>
      <c r="F44" s="1" t="str">
        <f>VLOOKUP(D44,Table12[[Name]:[Native]],3,FALSE)</f>
        <v>云冈区</v>
      </c>
      <c r="G44" s="12" t="str">
        <f ca="1">VLOOKUP(F44,Table12[[Native]:[Population4]],5,FALSE)</f>
        <v>大同市</v>
      </c>
    </row>
    <row r="45" spans="1:7" ht="15.75" thickBot="1" x14ac:dyDescent="0.3">
      <c r="A45" t="s">
        <v>417</v>
      </c>
      <c r="B45" s="1" t="s">
        <v>418</v>
      </c>
      <c r="C45" s="1" t="s">
        <v>17</v>
      </c>
      <c r="D45" s="1" t="s">
        <v>410</v>
      </c>
      <c r="E45" s="9">
        <v>16999</v>
      </c>
      <c r="F45" s="1" t="str">
        <f>VLOOKUP(D45,Table12[[Name]:[Native]],3,FALSE)</f>
        <v>广灵县</v>
      </c>
      <c r="G45" s="12" t="str">
        <f ca="1">VLOOKUP(F45,Table12[[Native]:[Population4]],5,FALSE)</f>
        <v>大同市</v>
      </c>
    </row>
    <row r="46" spans="1:7" ht="15.75" thickBot="1" x14ac:dyDescent="0.3">
      <c r="A46" t="s">
        <v>419</v>
      </c>
      <c r="B46" s="1" t="s">
        <v>420</v>
      </c>
      <c r="C46" s="1" t="s">
        <v>17</v>
      </c>
      <c r="D46" s="1" t="s">
        <v>340</v>
      </c>
      <c r="E46" s="9">
        <v>7306</v>
      </c>
      <c r="F46" s="1" t="str">
        <f>VLOOKUP(D46,Table12[[Name]:[Native]],3,FALSE)</f>
        <v>云州区</v>
      </c>
      <c r="G46" s="12" t="str">
        <f ca="1">VLOOKUP(F46,Table12[[Native]:[Population4]],5,FALSE)</f>
        <v>大同市</v>
      </c>
    </row>
    <row r="47" spans="1:7" ht="15.75" thickBot="1" x14ac:dyDescent="0.3">
      <c r="A47" t="s">
        <v>421</v>
      </c>
      <c r="B47" s="1" t="s">
        <v>422</v>
      </c>
      <c r="C47" s="1" t="s">
        <v>35</v>
      </c>
      <c r="D47" s="1" t="s">
        <v>340</v>
      </c>
      <c r="E47" s="9">
        <v>16161</v>
      </c>
      <c r="F47" s="1" t="str">
        <f>VLOOKUP(D47,Table12[[Name]:[Native]],3,FALSE)</f>
        <v>云州区</v>
      </c>
      <c r="G47" s="12" t="str">
        <f ca="1">VLOOKUP(F47,Table12[[Native]:[Population4]],5,FALSE)</f>
        <v>大同市</v>
      </c>
    </row>
    <row r="48" spans="1:7" ht="15.75" thickBot="1" x14ac:dyDescent="0.3">
      <c r="A48" t="s">
        <v>423</v>
      </c>
      <c r="B48" s="1" t="s">
        <v>424</v>
      </c>
      <c r="C48" s="1" t="s">
        <v>31</v>
      </c>
      <c r="D48" s="1" t="s">
        <v>328</v>
      </c>
      <c r="E48" s="9">
        <v>20406</v>
      </c>
      <c r="F48" s="1" t="str">
        <f>VLOOKUP(D48,Table12[[Name]:[Native]],3,FALSE)</f>
        <v>云冈区</v>
      </c>
      <c r="G48" s="12" t="str">
        <f ca="1">VLOOKUP(F48,Table12[[Native]:[Population4]],5,FALSE)</f>
        <v>大同市</v>
      </c>
    </row>
    <row r="49" spans="1:7" ht="15.75" thickBot="1" x14ac:dyDescent="0.3">
      <c r="A49" t="s">
        <v>425</v>
      </c>
      <c r="B49" s="1" t="s">
        <v>426</v>
      </c>
      <c r="C49" s="1" t="s">
        <v>17</v>
      </c>
      <c r="D49" s="1" t="s">
        <v>340</v>
      </c>
      <c r="E49" s="9">
        <v>6832</v>
      </c>
      <c r="F49" s="1" t="str">
        <f>VLOOKUP(D49,Table12[[Name]:[Native]],3,FALSE)</f>
        <v>云州区</v>
      </c>
      <c r="G49" s="12" t="str">
        <f ca="1">VLOOKUP(F49,Table12[[Native]:[Population4]],5,FALSE)</f>
        <v>大同市</v>
      </c>
    </row>
    <row r="50" spans="1:7" ht="15.75" thickBot="1" x14ac:dyDescent="0.3">
      <c r="A50" t="s">
        <v>427</v>
      </c>
      <c r="B50" s="1" t="s">
        <v>428</v>
      </c>
      <c r="C50" s="1" t="s">
        <v>31</v>
      </c>
      <c r="D50" s="1" t="s">
        <v>328</v>
      </c>
      <c r="E50" s="9">
        <v>32012</v>
      </c>
      <c r="F50" s="1" t="str">
        <f>VLOOKUP(D50,Table12[[Name]:[Native]],3,FALSE)</f>
        <v>云冈区</v>
      </c>
      <c r="G50" s="12" t="str">
        <f ca="1">VLOOKUP(F50,Table12[[Native]:[Population4]],5,FALSE)</f>
        <v>大同市</v>
      </c>
    </row>
    <row r="51" spans="1:7" ht="15.75" thickBot="1" x14ac:dyDescent="0.3">
      <c r="A51" t="s">
        <v>429</v>
      </c>
      <c r="B51" s="1" t="s">
        <v>430</v>
      </c>
      <c r="C51" s="1" t="s">
        <v>17</v>
      </c>
      <c r="D51" s="1" t="s">
        <v>328</v>
      </c>
      <c r="E51" s="9">
        <v>57048</v>
      </c>
      <c r="F51" s="1" t="str">
        <f>VLOOKUP(D51,Table12[[Name]:[Native]],3,FALSE)</f>
        <v>云冈区</v>
      </c>
      <c r="G51" s="12" t="str">
        <f ca="1">VLOOKUP(F51,Table12[[Native]:[Population4]],5,FALSE)</f>
        <v>大同市</v>
      </c>
    </row>
    <row r="52" spans="1:7" ht="15.75" thickBot="1" x14ac:dyDescent="0.3">
      <c r="A52" t="s">
        <v>431</v>
      </c>
      <c r="B52" s="1" t="s">
        <v>432</v>
      </c>
      <c r="C52" s="1" t="s">
        <v>31</v>
      </c>
      <c r="D52" s="1" t="s">
        <v>337</v>
      </c>
      <c r="E52" s="9">
        <v>15905</v>
      </c>
      <c r="F52" s="1" t="str">
        <f>VLOOKUP(D52,Table12[[Name]:[Native]],3,FALSE)</f>
        <v>平城区</v>
      </c>
      <c r="G52" s="12" t="str">
        <f ca="1">VLOOKUP(F52,Table12[[Native]:[Population4]],5,FALSE)</f>
        <v>大同市</v>
      </c>
    </row>
    <row r="53" spans="1:7" ht="15.75" thickBot="1" x14ac:dyDescent="0.3">
      <c r="A53" t="s">
        <v>433</v>
      </c>
      <c r="B53" s="1" t="s">
        <v>434</v>
      </c>
      <c r="C53" s="1" t="s">
        <v>17</v>
      </c>
      <c r="D53" s="1" t="s">
        <v>410</v>
      </c>
      <c r="E53" s="9">
        <v>10767</v>
      </c>
      <c r="F53" s="1" t="str">
        <f>VLOOKUP(D53,Table12[[Name]:[Native]],3,FALSE)</f>
        <v>广灵县</v>
      </c>
      <c r="G53" s="12" t="str">
        <f ca="1">VLOOKUP(F53,Table12[[Native]:[Population4]],5,FALSE)</f>
        <v>大同市</v>
      </c>
    </row>
    <row r="54" spans="1:7" ht="15.75" thickBot="1" x14ac:dyDescent="0.3">
      <c r="A54" t="s">
        <v>435</v>
      </c>
      <c r="B54" s="1" t="s">
        <v>436</v>
      </c>
      <c r="C54" s="1" t="s">
        <v>17</v>
      </c>
      <c r="D54" s="1" t="s">
        <v>331</v>
      </c>
      <c r="E54" s="9">
        <v>5712</v>
      </c>
      <c r="F54" s="1" t="str">
        <f>VLOOKUP(D54,Table12[[Name]:[Native]],3,FALSE)</f>
        <v>灵丘县</v>
      </c>
      <c r="G54" s="12" t="str">
        <f ca="1">VLOOKUP(F54,Table12[[Native]:[Population4]],5,FALSE)</f>
        <v>大同市</v>
      </c>
    </row>
    <row r="55" spans="1:7" ht="15.75" thickBot="1" x14ac:dyDescent="0.3">
      <c r="A55" t="s">
        <v>171</v>
      </c>
      <c r="B55" s="1" t="s">
        <v>172</v>
      </c>
      <c r="C55" s="1" t="s">
        <v>7</v>
      </c>
      <c r="D55" s="1" t="s">
        <v>325</v>
      </c>
      <c r="E55" s="9">
        <v>95849</v>
      </c>
      <c r="F55" s="1" t="str">
        <f>VLOOKUP(D55,Table12[[Name]:[Native]],3,FALSE)</f>
        <v>阳高县</v>
      </c>
      <c r="G55" s="12" t="str">
        <f ca="1">VLOOKUP(F55,Table12[[Native]:[Population4]],5,FALSE)</f>
        <v>大同市</v>
      </c>
    </row>
    <row r="56" spans="1:7" ht="15.75" thickBot="1" x14ac:dyDescent="0.3">
      <c r="A56" t="s">
        <v>437</v>
      </c>
      <c r="B56" s="1" t="s">
        <v>438</v>
      </c>
      <c r="C56" s="1" t="s">
        <v>7</v>
      </c>
      <c r="D56" s="1" t="s">
        <v>395</v>
      </c>
      <c r="E56" s="9">
        <v>12899</v>
      </c>
      <c r="F56" s="1" t="str">
        <f>VLOOKUP(D56,Table12[[Name]:[Native]],3,FALSE)</f>
        <v>天镇县</v>
      </c>
      <c r="G56" s="12" t="str">
        <f ca="1">VLOOKUP(F56,Table12[[Native]:[Population4]],5,FALSE)</f>
        <v>大同市</v>
      </c>
    </row>
    <row r="57" spans="1:7" ht="15.75" thickBot="1" x14ac:dyDescent="0.3">
      <c r="A57" t="s">
        <v>439</v>
      </c>
      <c r="B57" s="1" t="s">
        <v>440</v>
      </c>
      <c r="C57" s="1" t="s">
        <v>17</v>
      </c>
      <c r="D57" s="1" t="s">
        <v>331</v>
      </c>
      <c r="E57" s="9">
        <v>21371</v>
      </c>
      <c r="F57" s="1" t="str">
        <f>VLOOKUP(D57,Table12[[Name]:[Native]],3,FALSE)</f>
        <v>灵丘县</v>
      </c>
      <c r="G57" s="12" t="str">
        <f ca="1">VLOOKUP(F57,Table12[[Native]:[Population4]],5,FALSE)</f>
        <v>大同市</v>
      </c>
    </row>
    <row r="58" spans="1:7" ht="15.75" thickBot="1" x14ac:dyDescent="0.3">
      <c r="A58" t="s">
        <v>441</v>
      </c>
      <c r="B58" s="1" t="s">
        <v>442</v>
      </c>
      <c r="C58" s="1" t="s">
        <v>7</v>
      </c>
      <c r="D58" s="1" t="s">
        <v>325</v>
      </c>
      <c r="E58" s="9">
        <v>27042</v>
      </c>
      <c r="F58" s="1" t="str">
        <f>VLOOKUP(D58,Table12[[Name]:[Native]],3,FALSE)</f>
        <v>阳高县</v>
      </c>
      <c r="G58" s="12" t="str">
        <f ca="1">VLOOKUP(F58,Table12[[Native]:[Population4]],5,FALSE)</f>
        <v>大同市</v>
      </c>
    </row>
    <row r="59" spans="1:7" ht="15.75" thickBot="1" x14ac:dyDescent="0.3">
      <c r="A59" t="s">
        <v>443</v>
      </c>
      <c r="B59" s="1" t="s">
        <v>444</v>
      </c>
      <c r="C59" s="1" t="s">
        <v>17</v>
      </c>
      <c r="D59" s="1" t="s">
        <v>364</v>
      </c>
      <c r="E59" s="9">
        <v>10087</v>
      </c>
      <c r="F59" s="1" t="str">
        <f>VLOOKUP(D59,Table12[[Name]:[Native]],3,FALSE)</f>
        <v>左云县</v>
      </c>
      <c r="G59" s="12" t="str">
        <f ca="1">VLOOKUP(F59,Table12[[Native]:[Population4]],5,FALSE)</f>
        <v>大同市</v>
      </c>
    </row>
    <row r="60" spans="1:7" ht="15.75" thickBot="1" x14ac:dyDescent="0.3">
      <c r="A60" t="s">
        <v>445</v>
      </c>
      <c r="B60" s="1" t="s">
        <v>446</v>
      </c>
      <c r="C60" s="1" t="s">
        <v>17</v>
      </c>
      <c r="D60" s="1" t="s">
        <v>395</v>
      </c>
      <c r="E60" s="9">
        <v>14211</v>
      </c>
      <c r="F60" s="1" t="str">
        <f>VLOOKUP(D60,Table12[[Name]:[Native]],3,FALSE)</f>
        <v>天镇县</v>
      </c>
      <c r="G60" s="12" t="str">
        <f ca="1">VLOOKUP(F60,Table12[[Native]:[Population4]],5,FALSE)</f>
        <v>大同市</v>
      </c>
    </row>
    <row r="61" spans="1:7" ht="15.75" thickBot="1" x14ac:dyDescent="0.3">
      <c r="A61" t="s">
        <v>447</v>
      </c>
      <c r="B61" s="1" t="s">
        <v>448</v>
      </c>
      <c r="C61" s="1" t="s">
        <v>31</v>
      </c>
      <c r="D61" s="1" t="s">
        <v>328</v>
      </c>
      <c r="E61" s="9">
        <v>9614</v>
      </c>
      <c r="F61" s="1" t="str">
        <f>VLOOKUP(D61,Table12[[Name]:[Native]],3,FALSE)</f>
        <v>云冈区</v>
      </c>
      <c r="G61" s="12" t="str">
        <f ca="1">VLOOKUP(F61,Table12[[Native]:[Population4]],5,FALSE)</f>
        <v>大同市</v>
      </c>
    </row>
    <row r="62" spans="1:7" ht="15.75" thickBot="1" x14ac:dyDescent="0.3">
      <c r="A62" t="s">
        <v>449</v>
      </c>
      <c r="B62" s="1" t="s">
        <v>450</v>
      </c>
      <c r="C62" s="1" t="s">
        <v>17</v>
      </c>
      <c r="D62" s="1" t="s">
        <v>337</v>
      </c>
      <c r="E62" s="9">
        <v>95867</v>
      </c>
      <c r="F62" s="1" t="str">
        <f>VLOOKUP(D62,Table12[[Name]:[Native]],3,FALSE)</f>
        <v>平城区</v>
      </c>
      <c r="G62" s="12" t="str">
        <f ca="1">VLOOKUP(F62,Table12[[Native]:[Population4]],5,FALSE)</f>
        <v>大同市</v>
      </c>
    </row>
    <row r="63" spans="1:7" ht="15.75" thickBot="1" x14ac:dyDescent="0.3">
      <c r="A63" t="s">
        <v>451</v>
      </c>
      <c r="B63" s="1" t="s">
        <v>452</v>
      </c>
      <c r="C63" s="1" t="s">
        <v>31</v>
      </c>
      <c r="D63" s="1" t="s">
        <v>328</v>
      </c>
      <c r="E63" s="9">
        <v>3951</v>
      </c>
      <c r="F63" s="1" t="str">
        <f>VLOOKUP(D63,Table12[[Name]:[Native]],3,FALSE)</f>
        <v>云冈区</v>
      </c>
      <c r="G63" s="12" t="str">
        <f ca="1">VLOOKUP(F63,Table12[[Native]:[Population4]],5,FALSE)</f>
        <v>大同市</v>
      </c>
    </row>
    <row r="64" spans="1:7" ht="15.75" thickBot="1" x14ac:dyDescent="0.3">
      <c r="A64" t="s">
        <v>453</v>
      </c>
      <c r="B64" s="1" t="s">
        <v>454</v>
      </c>
      <c r="C64" s="1" t="s">
        <v>31</v>
      </c>
      <c r="D64" s="1" t="s">
        <v>328</v>
      </c>
      <c r="E64" s="9">
        <v>10528</v>
      </c>
      <c r="F64" s="1" t="str">
        <f>VLOOKUP(D64,Table12[[Name]:[Native]],3,FALSE)</f>
        <v>云冈区</v>
      </c>
      <c r="G64" s="12" t="str">
        <f ca="1">VLOOKUP(F64,Table12[[Native]:[Population4]],5,FALSE)</f>
        <v>大同市</v>
      </c>
    </row>
    <row r="65" spans="1:7" ht="15.75" thickBot="1" x14ac:dyDescent="0.3">
      <c r="A65" t="s">
        <v>455</v>
      </c>
      <c r="B65" s="1" t="s">
        <v>456</v>
      </c>
      <c r="C65" s="1" t="s">
        <v>31</v>
      </c>
      <c r="D65" s="1" t="s">
        <v>328</v>
      </c>
      <c r="E65" s="9">
        <v>18496</v>
      </c>
      <c r="F65" s="1" t="str">
        <f>VLOOKUP(D65,Table12[[Name]:[Native]],3,FALSE)</f>
        <v>云冈区</v>
      </c>
      <c r="G65" s="12" t="str">
        <f ca="1">VLOOKUP(F65,Table12[[Native]:[Population4]],5,FALSE)</f>
        <v>大同市</v>
      </c>
    </row>
    <row r="66" spans="1:7" ht="15.75" thickBot="1" x14ac:dyDescent="0.3">
      <c r="A66" t="s">
        <v>457</v>
      </c>
      <c r="B66" s="1" t="s">
        <v>458</v>
      </c>
      <c r="C66" s="1" t="s">
        <v>7</v>
      </c>
      <c r="D66" s="1" t="s">
        <v>395</v>
      </c>
      <c r="E66" s="9">
        <v>17379</v>
      </c>
      <c r="F66" s="1" t="str">
        <f>VLOOKUP(D66,Table12[[Name]:[Native]],3,FALSE)</f>
        <v>天镇县</v>
      </c>
      <c r="G66" s="12" t="str">
        <f ca="1">VLOOKUP(F66,Table12[[Native]:[Population4]],5,FALSE)</f>
        <v>大同市</v>
      </c>
    </row>
    <row r="67" spans="1:7" ht="15.75" thickBot="1" x14ac:dyDescent="0.3">
      <c r="A67" t="s">
        <v>459</v>
      </c>
      <c r="B67" s="1" t="s">
        <v>460</v>
      </c>
      <c r="C67" s="1" t="s">
        <v>7</v>
      </c>
      <c r="D67" s="1" t="s">
        <v>410</v>
      </c>
      <c r="E67" s="9">
        <v>25710</v>
      </c>
      <c r="F67" s="1" t="str">
        <f>VLOOKUP(D67,Table12[[Name]:[Native]],3,FALSE)</f>
        <v>广灵县</v>
      </c>
      <c r="G67" s="12" t="str">
        <f ca="1">VLOOKUP(F67,Table12[[Native]:[Population4]],5,FALSE)</f>
        <v>大同市</v>
      </c>
    </row>
    <row r="68" spans="1:7" ht="15.75" thickBot="1" x14ac:dyDescent="0.3">
      <c r="A68" t="s">
        <v>461</v>
      </c>
      <c r="B68" s="1" t="s">
        <v>462</v>
      </c>
      <c r="C68" s="1" t="s">
        <v>17</v>
      </c>
      <c r="D68" s="1" t="s">
        <v>395</v>
      </c>
      <c r="E68" s="9">
        <v>6588</v>
      </c>
      <c r="F68" s="1" t="str">
        <f>VLOOKUP(D68,Table12[[Name]:[Native]],3,FALSE)</f>
        <v>天镇县</v>
      </c>
      <c r="G68" s="12" t="str">
        <f ca="1">VLOOKUP(F68,Table12[[Native]:[Population4]],5,FALSE)</f>
        <v>大同市</v>
      </c>
    </row>
    <row r="69" spans="1:7" ht="15.75" thickBot="1" x14ac:dyDescent="0.3">
      <c r="A69" t="s">
        <v>463</v>
      </c>
      <c r="B69" s="1" t="s">
        <v>464</v>
      </c>
      <c r="C69" s="1" t="s">
        <v>31</v>
      </c>
      <c r="D69" s="1" t="s">
        <v>337</v>
      </c>
      <c r="E69" s="9">
        <v>109250</v>
      </c>
      <c r="F69" s="1" t="str">
        <f>VLOOKUP(D69,Table12[[Name]:[Native]],3,FALSE)</f>
        <v>平城区</v>
      </c>
      <c r="G69" s="12" t="str">
        <f ca="1">VLOOKUP(F69,Table12[[Native]:[Population4]],5,FALSE)</f>
        <v>大同市</v>
      </c>
    </row>
    <row r="70" spans="1:7" ht="15.75" thickBot="1" x14ac:dyDescent="0.3">
      <c r="A70" t="s">
        <v>465</v>
      </c>
      <c r="B70" s="1" t="s">
        <v>466</v>
      </c>
      <c r="C70" s="1" t="s">
        <v>17</v>
      </c>
      <c r="D70" s="1" t="s">
        <v>395</v>
      </c>
      <c r="E70" s="9">
        <v>22182</v>
      </c>
      <c r="F70" s="1" t="str">
        <f>VLOOKUP(D70,Table12[[Name]:[Native]],3,FALSE)</f>
        <v>天镇县</v>
      </c>
      <c r="G70" s="12" t="str">
        <f ca="1">VLOOKUP(F70,Table12[[Native]:[Population4]],5,FALSE)</f>
        <v>大同市</v>
      </c>
    </row>
    <row r="71" spans="1:7" ht="15.75" thickBot="1" x14ac:dyDescent="0.3">
      <c r="A71" t="s">
        <v>467</v>
      </c>
      <c r="B71" s="1" t="s">
        <v>468</v>
      </c>
      <c r="C71" s="1" t="s">
        <v>31</v>
      </c>
      <c r="D71" s="1" t="s">
        <v>337</v>
      </c>
      <c r="E71" s="9">
        <v>18113</v>
      </c>
      <c r="F71" s="1" t="str">
        <f>VLOOKUP(D71,Table12[[Name]:[Native]],3,FALSE)</f>
        <v>平城区</v>
      </c>
      <c r="G71" s="12" t="str">
        <f ca="1">VLOOKUP(F71,Table12[[Native]:[Population4]],5,FALSE)</f>
        <v>大同市</v>
      </c>
    </row>
    <row r="72" spans="1:7" ht="15.75" thickBot="1" x14ac:dyDescent="0.3">
      <c r="A72" t="s">
        <v>469</v>
      </c>
      <c r="B72" s="1" t="s">
        <v>470</v>
      </c>
      <c r="C72" s="1" t="s">
        <v>17</v>
      </c>
      <c r="D72" s="1" t="s">
        <v>347</v>
      </c>
      <c r="E72" s="9">
        <v>9444</v>
      </c>
      <c r="F72" s="1" t="str">
        <f>VLOOKUP(D72,Table12[[Name]:[Native]],3,FALSE)</f>
        <v>浑源县</v>
      </c>
      <c r="G72" s="12" t="str">
        <f ca="1">VLOOKUP(F72,Table12[[Native]:[Population4]],5,FALSE)</f>
        <v>大同市</v>
      </c>
    </row>
    <row r="73" spans="1:7" ht="15.75" thickBot="1" x14ac:dyDescent="0.3">
      <c r="A73" t="s">
        <v>471</v>
      </c>
      <c r="B73" s="1" t="s">
        <v>472</v>
      </c>
      <c r="C73" s="1" t="s">
        <v>17</v>
      </c>
      <c r="D73" s="1" t="s">
        <v>347</v>
      </c>
      <c r="E73" s="9">
        <v>15729</v>
      </c>
      <c r="F73" s="1" t="str">
        <f>VLOOKUP(D73,Table12[[Name]:[Native]],3,FALSE)</f>
        <v>浑源县</v>
      </c>
      <c r="G73" s="12" t="str">
        <f ca="1">VLOOKUP(F73,Table12[[Native]:[Population4]],5,FALSE)</f>
        <v>大同市</v>
      </c>
    </row>
    <row r="74" spans="1:7" ht="15.75" thickBot="1" x14ac:dyDescent="0.3">
      <c r="A74" t="s">
        <v>473</v>
      </c>
      <c r="B74" s="1" t="s">
        <v>474</v>
      </c>
      <c r="C74" s="1" t="s">
        <v>31</v>
      </c>
      <c r="D74" s="1" t="s">
        <v>328</v>
      </c>
      <c r="E74" s="9">
        <v>63918</v>
      </c>
      <c r="F74" s="1" t="str">
        <f>VLOOKUP(D74,Table12[[Name]:[Native]],3,FALSE)</f>
        <v>云冈区</v>
      </c>
      <c r="G74" s="12" t="str">
        <f ca="1">VLOOKUP(F74,Table12[[Native]:[Population4]],5,FALSE)</f>
        <v>大同市</v>
      </c>
    </row>
    <row r="75" spans="1:7" ht="15.75" thickBot="1" x14ac:dyDescent="0.3">
      <c r="A75" t="s">
        <v>475</v>
      </c>
      <c r="B75" s="1" t="s">
        <v>476</v>
      </c>
      <c r="C75" s="1" t="s">
        <v>17</v>
      </c>
      <c r="D75" s="1" t="s">
        <v>328</v>
      </c>
      <c r="E75" s="9">
        <v>42220</v>
      </c>
      <c r="F75" s="1" t="str">
        <f>VLOOKUP(D75,Table12[[Name]:[Native]],3,FALSE)</f>
        <v>云冈区</v>
      </c>
      <c r="G75" s="12" t="str">
        <f ca="1">VLOOKUP(F75,Table12[[Native]:[Population4]],5,FALSE)</f>
        <v>大同市</v>
      </c>
    </row>
    <row r="76" spans="1:7" ht="15.75" thickBot="1" x14ac:dyDescent="0.3">
      <c r="A76" t="s">
        <v>477</v>
      </c>
      <c r="B76" s="1" t="s">
        <v>478</v>
      </c>
      <c r="C76" s="1" t="s">
        <v>17</v>
      </c>
      <c r="D76" s="1" t="s">
        <v>334</v>
      </c>
      <c r="E76" s="9">
        <v>9255</v>
      </c>
      <c r="F76" s="1" t="str">
        <f>VLOOKUP(D76,Table12[[Name]:[Native]],3,FALSE)</f>
        <v>新荣区</v>
      </c>
      <c r="G76" s="12" t="str">
        <f ca="1">VLOOKUP(F76,Table12[[Native]:[Population4]],5,FALSE)</f>
        <v>大同市</v>
      </c>
    </row>
    <row r="77" spans="1:7" ht="15.75" thickBot="1" x14ac:dyDescent="0.3">
      <c r="A77" t="s">
        <v>479</v>
      </c>
      <c r="B77" s="1" t="s">
        <v>480</v>
      </c>
      <c r="C77" s="1" t="s">
        <v>17</v>
      </c>
      <c r="D77" s="1" t="s">
        <v>347</v>
      </c>
      <c r="E77" s="9">
        <v>16614</v>
      </c>
      <c r="F77" s="1" t="str">
        <f>VLOOKUP(D77,Table12[[Name]:[Native]],3,FALSE)</f>
        <v>浑源县</v>
      </c>
      <c r="G77" s="12" t="str">
        <f ca="1">VLOOKUP(F77,Table12[[Native]:[Population4]],5,FALSE)</f>
        <v>大同市</v>
      </c>
    </row>
    <row r="78" spans="1:7" ht="15.75" thickBot="1" x14ac:dyDescent="0.3">
      <c r="A78" t="s">
        <v>481</v>
      </c>
      <c r="B78" s="1" t="s">
        <v>482</v>
      </c>
      <c r="C78" s="1" t="s">
        <v>31</v>
      </c>
      <c r="D78" s="1" t="s">
        <v>328</v>
      </c>
      <c r="E78" s="9">
        <v>7577</v>
      </c>
      <c r="F78" s="1" t="str">
        <f>VLOOKUP(D78,Table12[[Name]:[Native]],3,FALSE)</f>
        <v>云冈区</v>
      </c>
      <c r="G78" s="12" t="str">
        <f ca="1">VLOOKUP(F78,Table12[[Native]:[Population4]],5,FALSE)</f>
        <v>大同市</v>
      </c>
    </row>
    <row r="79" spans="1:7" ht="15.75" thickBot="1" x14ac:dyDescent="0.3">
      <c r="A79" t="s">
        <v>483</v>
      </c>
      <c r="B79" s="1" t="s">
        <v>484</v>
      </c>
      <c r="C79" s="1" t="s">
        <v>17</v>
      </c>
      <c r="D79" s="1" t="s">
        <v>347</v>
      </c>
      <c r="E79" s="9">
        <v>9798</v>
      </c>
      <c r="F79" s="1" t="str">
        <f>VLOOKUP(D79,Table12[[Name]:[Native]],3,FALSE)</f>
        <v>浑源县</v>
      </c>
      <c r="G79" s="12" t="str">
        <f ca="1">VLOOKUP(F79,Table12[[Native]:[Population4]],5,FALSE)</f>
        <v>大同市</v>
      </c>
    </row>
    <row r="80" spans="1:7" ht="15.75" thickBot="1" x14ac:dyDescent="0.3">
      <c r="A80" t="s">
        <v>485</v>
      </c>
      <c r="B80" s="1" t="s">
        <v>486</v>
      </c>
      <c r="C80" s="1" t="s">
        <v>7</v>
      </c>
      <c r="D80" s="1" t="s">
        <v>364</v>
      </c>
      <c r="E80" s="9">
        <v>11948</v>
      </c>
      <c r="F80" s="1" t="str">
        <f>VLOOKUP(D80,Table12[[Name]:[Native]],3,FALSE)</f>
        <v>左云县</v>
      </c>
      <c r="G80" s="12" t="str">
        <f ca="1">VLOOKUP(F80,Table12[[Native]:[Population4]],5,FALSE)</f>
        <v>大同市</v>
      </c>
    </row>
    <row r="81" spans="1:7" ht="15.75" thickBot="1" x14ac:dyDescent="0.3">
      <c r="A81" t="s">
        <v>487</v>
      </c>
      <c r="B81" s="1" t="s">
        <v>488</v>
      </c>
      <c r="C81" s="1" t="s">
        <v>17</v>
      </c>
      <c r="D81" s="1" t="s">
        <v>395</v>
      </c>
      <c r="E81" s="9">
        <v>21546</v>
      </c>
      <c r="F81" s="1" t="str">
        <f>VLOOKUP(D81,Table12[[Name]:[Native]],3,FALSE)</f>
        <v>天镇县</v>
      </c>
      <c r="G81" s="12" t="str">
        <f ca="1">VLOOKUP(F81,Table12[[Native]:[Population4]],5,FALSE)</f>
        <v>大同市</v>
      </c>
    </row>
    <row r="82" spans="1:7" ht="15.75" thickBot="1" x14ac:dyDescent="0.3">
      <c r="A82" t="s">
        <v>489</v>
      </c>
      <c r="B82" s="1" t="s">
        <v>490</v>
      </c>
      <c r="C82" s="1" t="s">
        <v>17</v>
      </c>
      <c r="D82" s="1" t="s">
        <v>364</v>
      </c>
      <c r="E82" s="9">
        <v>11800</v>
      </c>
      <c r="F82" s="1" t="str">
        <f>VLOOKUP(D82,Table12[[Name]:[Native]],3,FALSE)</f>
        <v>左云县</v>
      </c>
      <c r="G82" s="12" t="str">
        <f ca="1">VLOOKUP(F82,Table12[[Native]:[Population4]],5,FALSE)</f>
        <v>大同市</v>
      </c>
    </row>
    <row r="83" spans="1:7" ht="15.75" thickBot="1" x14ac:dyDescent="0.3">
      <c r="A83" t="s">
        <v>491</v>
      </c>
      <c r="B83" s="1" t="s">
        <v>492</v>
      </c>
      <c r="C83" s="1" t="s">
        <v>7</v>
      </c>
      <c r="D83" s="1" t="s">
        <v>347</v>
      </c>
      <c r="E83" s="9">
        <v>24233</v>
      </c>
      <c r="F83" s="1" t="str">
        <f>VLOOKUP(D83,Table12[[Name]:[Native]],3,FALSE)</f>
        <v>浑源县</v>
      </c>
      <c r="G83" s="12" t="str">
        <f ca="1">VLOOKUP(F83,Table12[[Native]:[Population4]],5,FALSE)</f>
        <v>大同市</v>
      </c>
    </row>
    <row r="84" spans="1:7" ht="15.75" thickBot="1" x14ac:dyDescent="0.3">
      <c r="A84" t="s">
        <v>493</v>
      </c>
      <c r="B84" s="1" t="s">
        <v>494</v>
      </c>
      <c r="C84" s="1" t="s">
        <v>17</v>
      </c>
      <c r="D84" s="1" t="s">
        <v>334</v>
      </c>
      <c r="E84" s="9">
        <v>11270</v>
      </c>
      <c r="F84" s="1" t="str">
        <f>VLOOKUP(D84,Table12[[Name]:[Native]],3,FALSE)</f>
        <v>新荣区</v>
      </c>
      <c r="G84" s="12" t="str">
        <f ca="1">VLOOKUP(F84,Table12[[Native]:[Population4]],5,FALSE)</f>
        <v>大同市</v>
      </c>
    </row>
    <row r="85" spans="1:7" ht="15.75" thickBot="1" x14ac:dyDescent="0.3">
      <c r="A85" t="s">
        <v>495</v>
      </c>
      <c r="B85" s="1" t="s">
        <v>496</v>
      </c>
      <c r="C85" s="1" t="s">
        <v>7</v>
      </c>
      <c r="D85" s="1" t="s">
        <v>331</v>
      </c>
      <c r="E85" s="9">
        <v>14792</v>
      </c>
      <c r="F85" s="1" t="str">
        <f>VLOOKUP(D85,Table12[[Name]:[Native]],3,FALSE)</f>
        <v>灵丘县</v>
      </c>
      <c r="G85" s="12" t="str">
        <f ca="1">VLOOKUP(F85,Table12[[Native]:[Population4]],5,FALSE)</f>
        <v>大同市</v>
      </c>
    </row>
    <row r="86" spans="1:7" ht="15.75" thickBot="1" x14ac:dyDescent="0.3">
      <c r="A86" t="s">
        <v>497</v>
      </c>
      <c r="B86" s="1" t="s">
        <v>498</v>
      </c>
      <c r="C86" s="1" t="s">
        <v>17</v>
      </c>
      <c r="D86" s="1" t="s">
        <v>331</v>
      </c>
      <c r="E86" s="9">
        <v>7091</v>
      </c>
      <c r="F86" s="1" t="str">
        <f>VLOOKUP(D86,Table12[[Name]:[Native]],3,FALSE)</f>
        <v>灵丘县</v>
      </c>
      <c r="G86" s="12" t="str">
        <f ca="1">VLOOKUP(F86,Table12[[Native]:[Population4]],5,FALSE)</f>
        <v>大同市</v>
      </c>
    </row>
    <row r="87" spans="1:7" ht="15.75" thickBot="1" x14ac:dyDescent="0.3">
      <c r="A87" t="s">
        <v>499</v>
      </c>
      <c r="B87" s="1" t="s">
        <v>500</v>
      </c>
      <c r="C87" s="1" t="s">
        <v>17</v>
      </c>
      <c r="D87" s="1" t="s">
        <v>331</v>
      </c>
      <c r="E87" s="9">
        <v>4915</v>
      </c>
      <c r="F87" s="1" t="str">
        <f>VLOOKUP(D87,Table12[[Name]:[Native]],3,FALSE)</f>
        <v>灵丘县</v>
      </c>
      <c r="G87" s="12" t="str">
        <f ca="1">VLOOKUP(F87,Table12[[Native]:[Population4]],5,FALSE)</f>
        <v>大同市</v>
      </c>
    </row>
    <row r="88" spans="1:7" ht="15.75" thickBot="1" x14ac:dyDescent="0.3">
      <c r="A88" t="s">
        <v>501</v>
      </c>
      <c r="B88" s="1" t="s">
        <v>502</v>
      </c>
      <c r="C88" s="1" t="s">
        <v>17</v>
      </c>
      <c r="D88" s="1" t="s">
        <v>325</v>
      </c>
      <c r="E88" s="9">
        <v>14200</v>
      </c>
      <c r="F88" s="1" t="str">
        <f>VLOOKUP(D88,Table12[[Name]:[Native]],3,FALSE)</f>
        <v>阳高县</v>
      </c>
      <c r="G88" s="12" t="str">
        <f ca="1">VLOOKUP(F88,Table12[[Native]:[Population4]],5,FALSE)</f>
        <v>大同市</v>
      </c>
    </row>
    <row r="89" spans="1:7" ht="15.75" thickBot="1" x14ac:dyDescent="0.3">
      <c r="A89" t="s">
        <v>503</v>
      </c>
      <c r="B89" s="1" t="s">
        <v>504</v>
      </c>
      <c r="C89" s="1" t="s">
        <v>17</v>
      </c>
      <c r="D89" s="1" t="s">
        <v>337</v>
      </c>
      <c r="E89" s="9">
        <v>82358</v>
      </c>
      <c r="F89" s="1" t="str">
        <f>VLOOKUP(D89,Table12[[Name]:[Native]],3,FALSE)</f>
        <v>平城区</v>
      </c>
      <c r="G89" s="12" t="str">
        <f ca="1">VLOOKUP(F89,Table12[[Native]:[Population4]],5,FALSE)</f>
        <v>大同市</v>
      </c>
    </row>
    <row r="90" spans="1:7" ht="15.75" thickBot="1" x14ac:dyDescent="0.3">
      <c r="A90" t="s">
        <v>505</v>
      </c>
      <c r="B90" s="1" t="s">
        <v>506</v>
      </c>
      <c r="C90" s="1" t="s">
        <v>17</v>
      </c>
      <c r="D90" s="1" t="s">
        <v>364</v>
      </c>
      <c r="E90" s="9">
        <v>5373</v>
      </c>
      <c r="F90" s="1" t="str">
        <f>VLOOKUP(D90,Table12[[Name]:[Native]],3,FALSE)</f>
        <v>左云县</v>
      </c>
      <c r="G90" s="12" t="str">
        <f ca="1">VLOOKUP(F90,Table12[[Native]:[Population4]],5,FALSE)</f>
        <v>大同市</v>
      </c>
    </row>
    <row r="91" spans="1:7" ht="15.75" thickBot="1" x14ac:dyDescent="0.3">
      <c r="A91" t="s">
        <v>507</v>
      </c>
      <c r="B91" s="1" t="s">
        <v>508</v>
      </c>
      <c r="C91" s="1" t="s">
        <v>31</v>
      </c>
      <c r="D91" s="1" t="s">
        <v>328</v>
      </c>
      <c r="E91" s="9">
        <v>8046</v>
      </c>
      <c r="F91" s="1" t="str">
        <f>VLOOKUP(D91,Table12[[Name]:[Native]],3,FALSE)</f>
        <v>云冈区</v>
      </c>
      <c r="G91" s="12" t="str">
        <f ca="1">VLOOKUP(F91,Table12[[Native]:[Population4]],5,FALSE)</f>
        <v>大同市</v>
      </c>
    </row>
    <row r="92" spans="1:7" ht="15.75" thickBot="1" x14ac:dyDescent="0.3">
      <c r="A92" t="s">
        <v>509</v>
      </c>
      <c r="B92" s="1" t="s">
        <v>510</v>
      </c>
      <c r="C92" s="1" t="s">
        <v>31</v>
      </c>
      <c r="D92" s="1" t="s">
        <v>328</v>
      </c>
      <c r="E92" s="9">
        <v>8813</v>
      </c>
      <c r="F92" s="1" t="str">
        <f>VLOOKUP(D92,Table12[[Name]:[Native]],3,FALSE)</f>
        <v>云冈区</v>
      </c>
      <c r="G92" s="12" t="str">
        <f ca="1">VLOOKUP(F92,Table12[[Native]:[Population4]],5,FALSE)</f>
        <v>大同市</v>
      </c>
    </row>
    <row r="93" spans="1:7" ht="15.75" thickBot="1" x14ac:dyDescent="0.3">
      <c r="A93" t="s">
        <v>511</v>
      </c>
      <c r="B93" s="1" t="s">
        <v>512</v>
      </c>
      <c r="C93" s="1" t="s">
        <v>31</v>
      </c>
      <c r="D93" s="1" t="s">
        <v>328</v>
      </c>
      <c r="E93" s="9">
        <v>9411</v>
      </c>
      <c r="F93" s="1" t="str">
        <f>VLOOKUP(D93,Table12[[Name]:[Native]],3,FALSE)</f>
        <v>云冈区</v>
      </c>
      <c r="G93" s="12" t="str">
        <f ca="1">VLOOKUP(F93,Table12[[Native]:[Population4]],5,FALSE)</f>
        <v>大同市</v>
      </c>
    </row>
    <row r="94" spans="1:7" ht="15.75" thickBot="1" x14ac:dyDescent="0.3">
      <c r="A94" t="s">
        <v>513</v>
      </c>
      <c r="B94" s="1" t="s">
        <v>514</v>
      </c>
      <c r="C94" s="1" t="s">
        <v>17</v>
      </c>
      <c r="D94" s="1" t="s">
        <v>347</v>
      </c>
      <c r="E94" s="9">
        <v>10398</v>
      </c>
      <c r="F94" s="1" t="str">
        <f>VLOOKUP(D94,Table12[[Name]:[Native]],3,FALSE)</f>
        <v>浑源县</v>
      </c>
      <c r="G94" s="12" t="str">
        <f ca="1">VLOOKUP(F94,Table12[[Native]:[Population4]],5,FALSE)</f>
        <v>大同市</v>
      </c>
    </row>
    <row r="95" spans="1:7" ht="15.75" thickBot="1" x14ac:dyDescent="0.3">
      <c r="A95" t="s">
        <v>515</v>
      </c>
      <c r="B95" s="1" t="s">
        <v>516</v>
      </c>
      <c r="C95" s="1" t="s">
        <v>31</v>
      </c>
      <c r="D95" s="1" t="s">
        <v>328</v>
      </c>
      <c r="E95" s="9">
        <v>667</v>
      </c>
      <c r="F95" s="1" t="str">
        <f>VLOOKUP(D95,Table12[[Name]:[Native]],3,FALSE)</f>
        <v>云冈区</v>
      </c>
      <c r="G95" s="12" t="str">
        <f ca="1">VLOOKUP(F95,Table12[[Native]:[Population4]],5,FALSE)</f>
        <v>大同市</v>
      </c>
    </row>
    <row r="96" spans="1:7" ht="15.75" thickBot="1" x14ac:dyDescent="0.3">
      <c r="A96" t="s">
        <v>517</v>
      </c>
      <c r="B96" s="1" t="s">
        <v>518</v>
      </c>
      <c r="C96" s="1" t="s">
        <v>31</v>
      </c>
      <c r="D96" s="1" t="s">
        <v>328</v>
      </c>
      <c r="E96" s="9">
        <v>3361</v>
      </c>
      <c r="F96" s="1" t="str">
        <f>VLOOKUP(D96,Table12[[Name]:[Native]],3,FALSE)</f>
        <v>云冈区</v>
      </c>
      <c r="G96" s="12" t="str">
        <f ca="1">VLOOKUP(F96,Table12[[Native]:[Population4]],5,FALSE)</f>
        <v>大同市</v>
      </c>
    </row>
    <row r="97" spans="1:7" ht="15.75" thickBot="1" x14ac:dyDescent="0.3">
      <c r="A97" t="s">
        <v>519</v>
      </c>
      <c r="B97" s="1" t="s">
        <v>520</v>
      </c>
      <c r="C97" s="1" t="s">
        <v>7</v>
      </c>
      <c r="D97" s="1" t="s">
        <v>325</v>
      </c>
      <c r="E97" s="9">
        <v>20488</v>
      </c>
      <c r="F97" s="1" t="str">
        <f>VLOOKUP(D97,Table12[[Name]:[Native]],3,FALSE)</f>
        <v>阳高县</v>
      </c>
      <c r="G97" s="12" t="str">
        <f ca="1">VLOOKUP(F97,Table12[[Native]:[Population4]],5,FALSE)</f>
        <v>大同市</v>
      </c>
    </row>
    <row r="98" spans="1:7" ht="15.75" thickBot="1" x14ac:dyDescent="0.3">
      <c r="A98" t="s">
        <v>521</v>
      </c>
      <c r="B98" s="1" t="s">
        <v>522</v>
      </c>
      <c r="C98" s="1" t="s">
        <v>17</v>
      </c>
      <c r="D98" s="1" t="s">
        <v>410</v>
      </c>
      <c r="E98" s="9">
        <v>5911</v>
      </c>
      <c r="F98" s="1" t="str">
        <f>VLOOKUP(D98,Table12[[Name]:[Native]],3,FALSE)</f>
        <v>广灵县</v>
      </c>
      <c r="G98" s="12" t="str">
        <f ca="1">VLOOKUP(F98,Table12[[Native]:[Population4]],5,FALSE)</f>
        <v>大同市</v>
      </c>
    </row>
    <row r="99" spans="1:7" ht="15.75" thickBot="1" x14ac:dyDescent="0.3">
      <c r="A99" t="s">
        <v>523</v>
      </c>
      <c r="B99" s="1" t="s">
        <v>524</v>
      </c>
      <c r="C99" s="1" t="s">
        <v>7</v>
      </c>
      <c r="D99" s="1" t="s">
        <v>347</v>
      </c>
      <c r="E99" s="9">
        <v>17032</v>
      </c>
      <c r="F99" s="1" t="str">
        <f>VLOOKUP(D99,Table12[[Name]:[Native]],3,FALSE)</f>
        <v>浑源县</v>
      </c>
      <c r="G99" s="12" t="str">
        <f ca="1">VLOOKUP(F99,Table12[[Native]:[Population4]],5,FALSE)</f>
        <v>大同市</v>
      </c>
    </row>
    <row r="100" spans="1:7" ht="15.75" thickBot="1" x14ac:dyDescent="0.3">
      <c r="A100" t="s">
        <v>525</v>
      </c>
      <c r="B100" s="1" t="s">
        <v>526</v>
      </c>
      <c r="C100" s="1" t="s">
        <v>17</v>
      </c>
      <c r="D100" s="1" t="s">
        <v>347</v>
      </c>
      <c r="E100" s="9">
        <v>8009</v>
      </c>
      <c r="F100" s="1" t="str">
        <f>VLOOKUP(D100,Table12[[Name]:[Native]],3,FALSE)</f>
        <v>浑源县</v>
      </c>
      <c r="G100" s="12" t="str">
        <f ca="1">VLOOKUP(F100,Table12[[Native]:[Population4]],5,FALSE)</f>
        <v>大同市</v>
      </c>
    </row>
    <row r="101" spans="1:7" ht="15.75" thickBot="1" x14ac:dyDescent="0.3">
      <c r="A101" t="s">
        <v>527</v>
      </c>
      <c r="B101" s="1" t="s">
        <v>528</v>
      </c>
      <c r="C101" s="1" t="s">
        <v>7</v>
      </c>
      <c r="D101" s="1" t="s">
        <v>331</v>
      </c>
      <c r="E101" s="9">
        <v>121110</v>
      </c>
      <c r="F101" s="1" t="str">
        <f>VLOOKUP(D101,Table12[[Name]:[Native]],3,FALSE)</f>
        <v>灵丘县</v>
      </c>
      <c r="G101" s="12" t="str">
        <f ca="1">VLOOKUP(F101,Table12[[Native]:[Population4]],5,FALSE)</f>
        <v>大同市</v>
      </c>
    </row>
    <row r="102" spans="1:7" ht="15.75" thickBot="1" x14ac:dyDescent="0.3">
      <c r="A102" t="s">
        <v>529</v>
      </c>
      <c r="B102" s="1" t="s">
        <v>530</v>
      </c>
      <c r="C102" s="1" t="s">
        <v>17</v>
      </c>
      <c r="D102" s="1" t="s">
        <v>331</v>
      </c>
      <c r="E102" s="9">
        <v>6778</v>
      </c>
      <c r="F102" s="1" t="str">
        <f>VLOOKUP(D102,Table12[[Name]:[Native]],3,FALSE)</f>
        <v>灵丘县</v>
      </c>
      <c r="G102" s="12" t="str">
        <f ca="1">VLOOKUP(F102,Table12[[Native]:[Population4]],5,FALSE)</f>
        <v>大同市</v>
      </c>
    </row>
    <row r="103" spans="1:7" ht="15.75" thickBot="1" x14ac:dyDescent="0.3">
      <c r="A103" t="s">
        <v>531</v>
      </c>
      <c r="B103" s="1" t="s">
        <v>532</v>
      </c>
      <c r="C103" s="1" t="s">
        <v>17</v>
      </c>
      <c r="D103" s="1" t="s">
        <v>347</v>
      </c>
      <c r="E103" s="9">
        <v>9047</v>
      </c>
      <c r="F103" s="1" t="str">
        <f>VLOOKUP(D103,Table12[[Name]:[Native]],3,FALSE)</f>
        <v>浑源县</v>
      </c>
      <c r="G103" s="12" t="str">
        <f ca="1">VLOOKUP(F103,Table12[[Native]:[Population4]],5,FALSE)</f>
        <v>大同市</v>
      </c>
    </row>
    <row r="104" spans="1:7" ht="15.75" thickBot="1" x14ac:dyDescent="0.3">
      <c r="A104" t="s">
        <v>533</v>
      </c>
      <c r="B104" s="1" t="s">
        <v>534</v>
      </c>
      <c r="C104" s="1" t="s">
        <v>31</v>
      </c>
      <c r="D104" s="1" t="s">
        <v>337</v>
      </c>
      <c r="E104" s="9">
        <v>45063</v>
      </c>
      <c r="F104" s="1" t="str">
        <f>VLOOKUP(D104,Table12[[Name]:[Native]],3,FALSE)</f>
        <v>平城区</v>
      </c>
      <c r="G104" s="12" t="str">
        <f ca="1">VLOOKUP(F104,Table12[[Native]:[Population4]],5,FALSE)</f>
        <v>大同市</v>
      </c>
    </row>
    <row r="105" spans="1:7" ht="15.75" thickBot="1" x14ac:dyDescent="0.3">
      <c r="A105" t="s">
        <v>535</v>
      </c>
      <c r="B105" s="1" t="s">
        <v>536</v>
      </c>
      <c r="C105" s="1" t="s">
        <v>17</v>
      </c>
      <c r="D105" s="1" t="s">
        <v>364</v>
      </c>
      <c r="E105" s="9">
        <v>9870</v>
      </c>
      <c r="F105" s="1" t="str">
        <f>VLOOKUP(D105,Table12[[Name]:[Native]],3,FALSE)</f>
        <v>左云县</v>
      </c>
      <c r="G105" s="12" t="str">
        <f ca="1">VLOOKUP(F105,Table12[[Native]:[Population4]],5,FALSE)</f>
        <v>大同市</v>
      </c>
    </row>
    <row r="106" spans="1:7" ht="15.75" thickBot="1" x14ac:dyDescent="0.3">
      <c r="A106" t="s">
        <v>537</v>
      </c>
      <c r="B106" s="1" t="s">
        <v>538</v>
      </c>
      <c r="C106" s="1" t="s">
        <v>17</v>
      </c>
      <c r="D106" s="1" t="s">
        <v>325</v>
      </c>
      <c r="E106" s="9">
        <v>13226</v>
      </c>
      <c r="F106" s="1" t="str">
        <f>VLOOKUP(D106,Table12[[Name]:[Native]],3,FALSE)</f>
        <v>阳高县</v>
      </c>
      <c r="G106" s="12" t="str">
        <f ca="1">VLOOKUP(F106,Table12[[Native]:[Population4]],5,FALSE)</f>
        <v>大同市</v>
      </c>
    </row>
    <row r="107" spans="1:7" ht="15.75" thickBot="1" x14ac:dyDescent="0.3">
      <c r="A107" t="s">
        <v>539</v>
      </c>
      <c r="B107" s="1" t="s">
        <v>540</v>
      </c>
      <c r="C107" s="1" t="s">
        <v>17</v>
      </c>
      <c r="D107" s="1" t="s">
        <v>334</v>
      </c>
      <c r="E107" s="9">
        <v>10654</v>
      </c>
      <c r="F107" s="1" t="str">
        <f>VLOOKUP(D107,Table12[[Name]:[Native]],3,FALSE)</f>
        <v>新荣区</v>
      </c>
      <c r="G107" s="12" t="str">
        <f ca="1">VLOOKUP(F107,Table12[[Native]:[Population4]],5,FALSE)</f>
        <v>大同市</v>
      </c>
    </row>
    <row r="108" spans="1:7" ht="15.75" thickBot="1" x14ac:dyDescent="0.3">
      <c r="A108" t="s">
        <v>541</v>
      </c>
      <c r="B108" s="1" t="s">
        <v>542</v>
      </c>
      <c r="C108" s="1" t="s">
        <v>7</v>
      </c>
      <c r="D108" s="1" t="s">
        <v>347</v>
      </c>
      <c r="E108" s="9">
        <v>13897</v>
      </c>
      <c r="F108" s="1" t="str">
        <f>VLOOKUP(D108,Table12[[Name]:[Native]],3,FALSE)</f>
        <v>浑源县</v>
      </c>
      <c r="G108" s="12" t="str">
        <f ca="1">VLOOKUP(F108,Table12[[Native]:[Population4]],5,FALSE)</f>
        <v>大同市</v>
      </c>
    </row>
    <row r="109" spans="1:7" ht="15.75" thickBot="1" x14ac:dyDescent="0.3">
      <c r="A109" t="s">
        <v>543</v>
      </c>
      <c r="B109" s="1" t="s">
        <v>544</v>
      </c>
      <c r="C109" s="1" t="s">
        <v>17</v>
      </c>
      <c r="D109" s="1" t="s">
        <v>328</v>
      </c>
      <c r="E109" s="9">
        <v>29833</v>
      </c>
      <c r="F109" s="1" t="str">
        <f>VLOOKUP(D109,Table12[[Name]:[Native]],3,FALSE)</f>
        <v>云冈区</v>
      </c>
      <c r="G109" s="12" t="str">
        <f ca="1">VLOOKUP(F109,Table12[[Native]:[Population4]],5,FALSE)</f>
        <v>大同市</v>
      </c>
    </row>
    <row r="110" spans="1:7" ht="15.75" thickBot="1" x14ac:dyDescent="0.3">
      <c r="A110" t="s">
        <v>545</v>
      </c>
      <c r="B110" s="1" t="s">
        <v>546</v>
      </c>
      <c r="C110" s="1" t="s">
        <v>31</v>
      </c>
      <c r="D110" s="1" t="s">
        <v>337</v>
      </c>
      <c r="E110" s="9">
        <v>26418</v>
      </c>
      <c r="F110" s="1" t="str">
        <f>VLOOKUP(D110,Table12[[Name]:[Native]],3,FALSE)</f>
        <v>平城区</v>
      </c>
      <c r="G110" s="12" t="str">
        <f ca="1">VLOOKUP(F110,Table12[[Native]:[Population4]],5,FALSE)</f>
        <v>大同市</v>
      </c>
    </row>
    <row r="111" spans="1:7" ht="15.75" thickBot="1" x14ac:dyDescent="0.3">
      <c r="A111" t="s">
        <v>547</v>
      </c>
      <c r="B111" s="1" t="s">
        <v>548</v>
      </c>
      <c r="C111" s="1" t="s">
        <v>35</v>
      </c>
      <c r="D111" s="1" t="s">
        <v>340</v>
      </c>
      <c r="E111" s="9">
        <v>10405</v>
      </c>
      <c r="F111" s="1" t="str">
        <f>VLOOKUP(D111,Table12[[Name]:[Native]],3,FALSE)</f>
        <v>云州区</v>
      </c>
      <c r="G111" s="12" t="str">
        <f ca="1">VLOOKUP(F111,Table12[[Native]:[Population4]],5,FALSE)</f>
        <v>大同市</v>
      </c>
    </row>
    <row r="112" spans="1:7" ht="15.75" thickBot="1" x14ac:dyDescent="0.3">
      <c r="A112" t="s">
        <v>275</v>
      </c>
      <c r="B112" s="1" t="s">
        <v>276</v>
      </c>
      <c r="C112" s="1" t="s">
        <v>31</v>
      </c>
      <c r="D112" s="1" t="s">
        <v>337</v>
      </c>
      <c r="E112" s="9">
        <v>27083</v>
      </c>
      <c r="F112" s="1" t="str">
        <f>VLOOKUP(D112,Table12[[Name]:[Native]],3,FALSE)</f>
        <v>平城区</v>
      </c>
      <c r="G112" s="12" t="str">
        <f ca="1">VLOOKUP(F112,Table12[[Native]:[Population4]],5,FALSE)</f>
        <v>大同市</v>
      </c>
    </row>
    <row r="113" spans="1:7" ht="15.75" thickBot="1" x14ac:dyDescent="0.3">
      <c r="A113" t="s">
        <v>549</v>
      </c>
      <c r="B113" s="1" t="s">
        <v>550</v>
      </c>
      <c r="C113" s="1" t="s">
        <v>17</v>
      </c>
      <c r="D113" s="1" t="s">
        <v>347</v>
      </c>
      <c r="E113" s="9">
        <v>11481</v>
      </c>
      <c r="F113" s="1" t="str">
        <f>VLOOKUP(D113,Table12[[Name]:[Native]],3,FALSE)</f>
        <v>浑源县</v>
      </c>
      <c r="G113" s="12" t="str">
        <f ca="1">VLOOKUP(F113,Table12[[Native]:[Population4]],5,FALSE)</f>
        <v>大同市</v>
      </c>
    </row>
    <row r="114" spans="1:7" ht="15.75" thickBot="1" x14ac:dyDescent="0.3">
      <c r="A114" t="s">
        <v>551</v>
      </c>
      <c r="B114" s="1" t="s">
        <v>552</v>
      </c>
      <c r="C114" s="1" t="s">
        <v>31</v>
      </c>
      <c r="D114" s="1" t="s">
        <v>328</v>
      </c>
      <c r="E114" s="9">
        <v>4751</v>
      </c>
      <c r="F114" s="1" t="str">
        <f>VLOOKUP(D114,Table12[[Name]:[Native]],3,FALSE)</f>
        <v>云冈区</v>
      </c>
      <c r="G114" s="12" t="str">
        <f ca="1">VLOOKUP(F114,Table12[[Native]:[Population4]],5,FALSE)</f>
        <v>大同市</v>
      </c>
    </row>
    <row r="115" spans="1:7" ht="15.75" thickBot="1" x14ac:dyDescent="0.3">
      <c r="A115" t="s">
        <v>553</v>
      </c>
      <c r="B115" s="1" t="s">
        <v>554</v>
      </c>
      <c r="C115" s="1" t="s">
        <v>31</v>
      </c>
      <c r="D115" s="1" t="s">
        <v>337</v>
      </c>
      <c r="E115" s="9">
        <v>90687</v>
      </c>
      <c r="F115" s="1" t="str">
        <f>VLOOKUP(D115,Table12[[Name]:[Native]],3,FALSE)</f>
        <v>平城区</v>
      </c>
      <c r="G115" s="12" t="str">
        <f ca="1">VLOOKUP(F115,Table12[[Native]:[Population4]],5,FALSE)</f>
        <v>大同市</v>
      </c>
    </row>
    <row r="116" spans="1:7" ht="15.75" thickBot="1" x14ac:dyDescent="0.3">
      <c r="A116" t="s">
        <v>555</v>
      </c>
      <c r="B116" s="1" t="s">
        <v>556</v>
      </c>
      <c r="C116" s="1" t="s">
        <v>31</v>
      </c>
      <c r="D116" s="1" t="s">
        <v>337</v>
      </c>
      <c r="E116" s="9">
        <v>46175</v>
      </c>
      <c r="F116" s="1" t="str">
        <f>VLOOKUP(D116,Table12[[Name]:[Native]],3,FALSE)</f>
        <v>平城区</v>
      </c>
      <c r="G116" s="12" t="str">
        <f ca="1">VLOOKUP(F116,Table12[[Native]:[Population4]],5,FALSE)</f>
        <v>大同市</v>
      </c>
    </row>
    <row r="117" spans="1:7" ht="15.75" thickBot="1" x14ac:dyDescent="0.3">
      <c r="A117" t="s">
        <v>557</v>
      </c>
      <c r="B117" s="1" t="s">
        <v>558</v>
      </c>
      <c r="C117" s="1" t="s">
        <v>31</v>
      </c>
      <c r="D117" s="1" t="s">
        <v>337</v>
      </c>
      <c r="E117" s="9">
        <v>53799</v>
      </c>
      <c r="F117" s="1" t="str">
        <f>VLOOKUP(D117,Table12[[Name]:[Native]],3,FALSE)</f>
        <v>平城区</v>
      </c>
      <c r="G117" s="12" t="str">
        <f ca="1">VLOOKUP(F117,Table12[[Native]:[Population4]],5,FALSE)</f>
        <v>大同市</v>
      </c>
    </row>
    <row r="118" spans="1:7" ht="15.75" thickBot="1" x14ac:dyDescent="0.3">
      <c r="A118" t="s">
        <v>559</v>
      </c>
      <c r="B118" s="1" t="s">
        <v>560</v>
      </c>
      <c r="C118" s="1" t="s">
        <v>7</v>
      </c>
      <c r="D118" s="1" t="s">
        <v>395</v>
      </c>
      <c r="E118" s="9">
        <v>12108</v>
      </c>
      <c r="F118" s="1" t="str">
        <f>VLOOKUP(D118,Table12[[Name]:[Native]],3,FALSE)</f>
        <v>天镇县</v>
      </c>
      <c r="G118" s="12" t="str">
        <f ca="1">VLOOKUP(F118,Table12[[Native]:[Population4]],5,FALSE)</f>
        <v>大同市</v>
      </c>
    </row>
    <row r="119" spans="1:7" ht="15.75" thickBot="1" x14ac:dyDescent="0.3">
      <c r="A119" t="s">
        <v>561</v>
      </c>
      <c r="B119" s="1" t="s">
        <v>562</v>
      </c>
      <c r="C119" s="1" t="s">
        <v>31</v>
      </c>
      <c r="D119" s="1" t="s">
        <v>328</v>
      </c>
      <c r="E119" s="9">
        <v>54963</v>
      </c>
      <c r="F119" s="1" t="str">
        <f>VLOOKUP(D119,Table12[[Name]:[Native]],3,FALSE)</f>
        <v>云冈区</v>
      </c>
      <c r="G119" s="12" t="str">
        <f ca="1">VLOOKUP(F119,Table12[[Native]:[Population4]],5,FALSE)</f>
        <v>大同市</v>
      </c>
    </row>
    <row r="120" spans="1:7" ht="15.75" thickBot="1" x14ac:dyDescent="0.3">
      <c r="A120" t="s">
        <v>563</v>
      </c>
      <c r="B120" s="1" t="s">
        <v>564</v>
      </c>
      <c r="C120" s="1" t="s">
        <v>31</v>
      </c>
      <c r="D120" s="1" t="s">
        <v>328</v>
      </c>
      <c r="E120" s="9">
        <v>17260</v>
      </c>
      <c r="F120" s="1" t="str">
        <f>VLOOKUP(D120,Table12[[Name]:[Native]],3,FALSE)</f>
        <v>云冈区</v>
      </c>
      <c r="G120" s="12" t="str">
        <f ca="1">VLOOKUP(F120,Table12[[Native]:[Population4]],5,FALSE)</f>
        <v>大同市</v>
      </c>
    </row>
    <row r="121" spans="1:7" ht="15.75" thickBot="1" x14ac:dyDescent="0.3">
      <c r="A121" t="s">
        <v>565</v>
      </c>
      <c r="B121" s="1" t="s">
        <v>566</v>
      </c>
      <c r="C121" s="1" t="s">
        <v>35</v>
      </c>
      <c r="D121" s="1" t="s">
        <v>334</v>
      </c>
      <c r="E121" s="9">
        <v>22520</v>
      </c>
      <c r="F121" s="1" t="str">
        <f>VLOOKUP(D121,Table12[[Name]:[Native]],3,FALSE)</f>
        <v>新荣区</v>
      </c>
      <c r="G121" s="12" t="str">
        <f ca="1">VLOOKUP(F121,Table12[[Native]:[Population4]],5,FALSE)</f>
        <v>大同市</v>
      </c>
    </row>
    <row r="122" spans="1:7" ht="15.75" thickBot="1" x14ac:dyDescent="0.3">
      <c r="A122" t="s">
        <v>567</v>
      </c>
      <c r="B122" s="1" t="s">
        <v>568</v>
      </c>
      <c r="C122" s="1" t="s">
        <v>7</v>
      </c>
      <c r="D122" s="1" t="s">
        <v>334</v>
      </c>
      <c r="E122" s="9">
        <v>12819</v>
      </c>
      <c r="F122" s="1" t="str">
        <f>VLOOKUP(D122,Table12[[Name]:[Native]],3,FALSE)</f>
        <v>新荣区</v>
      </c>
      <c r="G122" s="12" t="str">
        <f ca="1">VLOOKUP(F122,Table12[[Native]:[Population4]],5,FALSE)</f>
        <v>大同市</v>
      </c>
    </row>
    <row r="123" spans="1:7" ht="15.75" thickBot="1" x14ac:dyDescent="0.3">
      <c r="A123" t="s">
        <v>569</v>
      </c>
      <c r="B123" s="1" t="s">
        <v>570</v>
      </c>
      <c r="C123" s="1" t="s">
        <v>31</v>
      </c>
      <c r="D123" s="1" t="s">
        <v>328</v>
      </c>
      <c r="E123" s="9">
        <v>68388</v>
      </c>
      <c r="F123" s="1" t="str">
        <f>VLOOKUP(D123,Table12[[Name]:[Native]],3,FALSE)</f>
        <v>云冈区</v>
      </c>
      <c r="G123" s="12" t="str">
        <f ca="1">VLOOKUP(F123,Table12[[Native]:[Population4]],5,FALSE)</f>
        <v>大同市</v>
      </c>
    </row>
    <row r="124" spans="1:7" ht="15.75" thickBot="1" x14ac:dyDescent="0.3">
      <c r="A124" t="s">
        <v>571</v>
      </c>
      <c r="B124" s="1" t="s">
        <v>572</v>
      </c>
      <c r="C124" s="1" t="s">
        <v>17</v>
      </c>
      <c r="D124" s="1" t="s">
        <v>337</v>
      </c>
      <c r="E124" s="9">
        <v>40734</v>
      </c>
      <c r="F124" s="1" t="str">
        <f>VLOOKUP(D124,Table12[[Name]:[Native]],3,FALSE)</f>
        <v>平城区</v>
      </c>
      <c r="G124" s="12" t="str">
        <f ca="1">VLOOKUP(F124,Table12[[Native]:[Population4]],5,FALSE)</f>
        <v>大同市</v>
      </c>
    </row>
    <row r="125" spans="1:7" ht="15.75" thickBot="1" x14ac:dyDescent="0.3">
      <c r="A125" t="s">
        <v>573</v>
      </c>
      <c r="B125" s="1" t="s">
        <v>574</v>
      </c>
      <c r="C125" s="1" t="s">
        <v>31</v>
      </c>
      <c r="D125" s="1" t="s">
        <v>328</v>
      </c>
      <c r="E125" s="9">
        <v>5330</v>
      </c>
      <c r="F125" s="1" t="str">
        <f>VLOOKUP(D125,Table12[[Name]:[Native]],3,FALSE)</f>
        <v>云冈区</v>
      </c>
      <c r="G125" s="12" t="str">
        <f ca="1">VLOOKUP(F125,Table12[[Native]:[Population4]],5,FALSE)</f>
        <v>大同市</v>
      </c>
    </row>
    <row r="126" spans="1:7" ht="15.75" thickBot="1" x14ac:dyDescent="0.3">
      <c r="A126" t="s">
        <v>575</v>
      </c>
      <c r="B126" s="1" t="s">
        <v>576</v>
      </c>
      <c r="C126" s="1" t="s">
        <v>7</v>
      </c>
      <c r="D126" s="1" t="s">
        <v>340</v>
      </c>
      <c r="E126" s="9">
        <v>27732</v>
      </c>
      <c r="F126" s="1" t="str">
        <f>VLOOKUP(D126,Table12[[Name]:[Native]],3,FALSE)</f>
        <v>云州区</v>
      </c>
      <c r="G126" s="12" t="str">
        <f ca="1">VLOOKUP(F126,Table12[[Native]:[Population4]],5,FALSE)</f>
        <v>大同市</v>
      </c>
    </row>
    <row r="127" spans="1:7" ht="15.75" thickBot="1" x14ac:dyDescent="0.3">
      <c r="A127" t="s">
        <v>577</v>
      </c>
      <c r="B127" s="1" t="s">
        <v>578</v>
      </c>
      <c r="C127" s="1" t="s">
        <v>17</v>
      </c>
      <c r="D127" s="1" t="s">
        <v>340</v>
      </c>
      <c r="E127" s="9">
        <v>16522</v>
      </c>
      <c r="F127" s="1" t="str">
        <f>VLOOKUP(D127,Table12[[Name]:[Native]],3,FALSE)</f>
        <v>云州区</v>
      </c>
      <c r="G127" s="12" t="str">
        <f ca="1">VLOOKUP(F127,Table12[[Native]:[Population4]],5,FALSE)</f>
        <v>大同市</v>
      </c>
    </row>
    <row r="128" spans="1:7" ht="15.75" thickBot="1" x14ac:dyDescent="0.3">
      <c r="A128" t="s">
        <v>579</v>
      </c>
      <c r="B128" s="1" t="s">
        <v>580</v>
      </c>
      <c r="C128" s="1" t="s">
        <v>17</v>
      </c>
      <c r="D128" s="1" t="s">
        <v>328</v>
      </c>
      <c r="E128" s="9">
        <v>8707</v>
      </c>
      <c r="F128" s="1" t="str">
        <f>VLOOKUP(D128,Table12[[Name]:[Native]],3,FALSE)</f>
        <v>云冈区</v>
      </c>
      <c r="G128" s="12" t="str">
        <f ca="1">VLOOKUP(F128,Table12[[Native]:[Population4]],5,FALSE)</f>
        <v>大同市</v>
      </c>
    </row>
    <row r="129" spans="1:7" ht="15.75" thickBot="1" x14ac:dyDescent="0.3">
      <c r="A129" t="s">
        <v>581</v>
      </c>
      <c r="B129" s="1" t="s">
        <v>582</v>
      </c>
      <c r="C129" s="1" t="s">
        <v>31</v>
      </c>
      <c r="D129" s="1" t="s">
        <v>328</v>
      </c>
      <c r="E129" s="9">
        <v>10131</v>
      </c>
      <c r="F129" s="1" t="str">
        <f>VLOOKUP(D129,Table12[[Name]:[Native]],3,FALSE)</f>
        <v>云冈区</v>
      </c>
      <c r="G129" s="12" t="str">
        <f ca="1">VLOOKUP(F129,Table12[[Native]:[Population4]],5,FALSE)</f>
        <v>大同市</v>
      </c>
    </row>
    <row r="130" spans="1:7" ht="15.75" thickBot="1" x14ac:dyDescent="0.3">
      <c r="A130" t="s">
        <v>583</v>
      </c>
      <c r="B130" s="1" t="s">
        <v>584</v>
      </c>
      <c r="C130" s="1" t="s">
        <v>31</v>
      </c>
      <c r="D130" s="1" t="s">
        <v>328</v>
      </c>
      <c r="E130" s="9">
        <v>13423</v>
      </c>
      <c r="F130" s="1" t="str">
        <f>VLOOKUP(D130,Table12[[Name]:[Native]],3,FALSE)</f>
        <v>云冈区</v>
      </c>
      <c r="G130" s="12" t="str">
        <f ca="1">VLOOKUP(F130,Table12[[Native]:[Population4]],5,FALSE)</f>
        <v>大同市</v>
      </c>
    </row>
    <row r="131" spans="1:7" ht="15.75" thickBot="1" x14ac:dyDescent="0.3">
      <c r="A131" t="s">
        <v>585</v>
      </c>
      <c r="B131" s="1" t="s">
        <v>586</v>
      </c>
      <c r="C131" s="1" t="s">
        <v>17</v>
      </c>
      <c r="D131" s="1" t="s">
        <v>410</v>
      </c>
      <c r="E131" s="9">
        <v>10549</v>
      </c>
      <c r="F131" s="1" t="str">
        <f>VLOOKUP(D131,Table12[[Name]:[Native]],3,FALSE)</f>
        <v>广灵县</v>
      </c>
      <c r="G131" s="12" t="str">
        <f ca="1">VLOOKUP(F131,Table12[[Native]:[Population4]],5,FALSE)</f>
        <v>大同市</v>
      </c>
    </row>
    <row r="132" spans="1:7" ht="15.75" thickBot="1" x14ac:dyDescent="0.3">
      <c r="A132" t="s">
        <v>587</v>
      </c>
      <c r="B132" s="1" t="s">
        <v>588</v>
      </c>
      <c r="C132" s="1" t="s">
        <v>17</v>
      </c>
      <c r="D132" s="1" t="s">
        <v>410</v>
      </c>
      <c r="E132" s="9">
        <v>11195</v>
      </c>
      <c r="F132" s="1" t="str">
        <f>VLOOKUP(D132,Table12[[Name]:[Native]],3,FALSE)</f>
        <v>广灵县</v>
      </c>
      <c r="G132" s="12" t="str">
        <f ca="1">VLOOKUP(F132,Table12[[Native]:[Population4]],5,FALSE)</f>
        <v>大同市</v>
      </c>
    </row>
    <row r="133" spans="1:7" ht="15.75" thickBot="1" x14ac:dyDescent="0.3">
      <c r="A133" t="s">
        <v>589</v>
      </c>
      <c r="B133" s="1" t="s">
        <v>590</v>
      </c>
      <c r="C133" s="1" t="s">
        <v>7</v>
      </c>
      <c r="D133" s="1" t="s">
        <v>347</v>
      </c>
      <c r="E133" s="9">
        <v>122851</v>
      </c>
      <c r="F133" s="1" t="str">
        <f>VLOOKUP(D133,Table12[[Name]:[Native]],3,FALSE)</f>
        <v>浑源县</v>
      </c>
      <c r="G133" s="12" t="str">
        <f ca="1">VLOOKUP(F133,Table12[[Native]:[Population4]],5,FALSE)</f>
        <v>大同市</v>
      </c>
    </row>
    <row r="134" spans="1:7" ht="15.75" thickBot="1" x14ac:dyDescent="0.3">
      <c r="A134" t="s">
        <v>591</v>
      </c>
      <c r="B134" s="1" t="s">
        <v>592</v>
      </c>
      <c r="C134" s="1" t="s">
        <v>31</v>
      </c>
      <c r="D134" s="1" t="s">
        <v>328</v>
      </c>
      <c r="E134" s="9">
        <v>7633</v>
      </c>
      <c r="F134" s="1" t="str">
        <f>VLOOKUP(D134,Table12[[Name]:[Native]],3,FALSE)</f>
        <v>云冈区</v>
      </c>
      <c r="G134" s="12" t="str">
        <f ca="1">VLOOKUP(F134,Table12[[Native]:[Population4]],5,FALSE)</f>
        <v>大同市</v>
      </c>
    </row>
    <row r="135" spans="1:7" ht="15.75" thickBot="1" x14ac:dyDescent="0.3">
      <c r="A135" t="s">
        <v>593</v>
      </c>
      <c r="B135" s="1" t="s">
        <v>594</v>
      </c>
      <c r="C135" s="1" t="s">
        <v>7</v>
      </c>
      <c r="D135" s="1" t="s">
        <v>325</v>
      </c>
      <c r="E135" s="9">
        <v>9017</v>
      </c>
      <c r="F135" s="1" t="str">
        <f>VLOOKUP(D135,Table12[[Name]:[Native]],3,FALSE)</f>
        <v>阳高县</v>
      </c>
      <c r="G135" s="12" t="str">
        <f ca="1">VLOOKUP(F135,Table12[[Native]:[Population4]],5,FALSE)</f>
        <v>大同市</v>
      </c>
    </row>
    <row r="136" spans="1:7" ht="15.75" thickBot="1" x14ac:dyDescent="0.3">
      <c r="A136" t="s">
        <v>595</v>
      </c>
      <c r="B136" s="1" t="s">
        <v>596</v>
      </c>
      <c r="C136" s="1" t="s">
        <v>7</v>
      </c>
      <c r="D136" s="1" t="s">
        <v>328</v>
      </c>
      <c r="E136" s="9">
        <v>19766</v>
      </c>
      <c r="F136" s="1" t="str">
        <f>VLOOKUP(D136,Table12[[Name]:[Native]],3,FALSE)</f>
        <v>云冈区</v>
      </c>
      <c r="G136" s="12" t="str">
        <f ca="1">VLOOKUP(F136,Table12[[Native]:[Population4]],5,FALSE)</f>
        <v>大同市</v>
      </c>
    </row>
    <row r="137" spans="1:7" ht="15.75" thickBot="1" x14ac:dyDescent="0.3">
      <c r="A137" t="s">
        <v>597</v>
      </c>
      <c r="B137" s="1" t="s">
        <v>598</v>
      </c>
      <c r="C137" s="1" t="s">
        <v>7</v>
      </c>
      <c r="D137" s="1" t="s">
        <v>364</v>
      </c>
      <c r="E137" s="9">
        <v>73410</v>
      </c>
      <c r="F137" s="1" t="str">
        <f>VLOOKUP(D137,Table12[[Name]:[Native]],3,FALSE)</f>
        <v>左云县</v>
      </c>
      <c r="G137" s="12" t="str">
        <f ca="1">VLOOKUP(F137,Table12[[Native]:[Population4]],5,FALSE)</f>
        <v>大同市</v>
      </c>
    </row>
    <row r="138" spans="1:7" ht="15.75" thickBot="1" x14ac:dyDescent="0.3">
      <c r="A138" t="s">
        <v>599</v>
      </c>
      <c r="B138" s="1" t="s">
        <v>600</v>
      </c>
      <c r="C138" s="1" t="s">
        <v>7</v>
      </c>
      <c r="D138" s="1" t="s">
        <v>395</v>
      </c>
      <c r="E138" s="9">
        <v>67449</v>
      </c>
      <c r="F138" s="1" t="str">
        <f>VLOOKUP(D138,Table12[[Name]:[Native]],3,FALSE)</f>
        <v>天镇县</v>
      </c>
      <c r="G138" s="12" t="str">
        <f ca="1">VLOOKUP(F138,Table12[[Native]:[Population4]],5,FALSE)</f>
        <v>大同市</v>
      </c>
    </row>
    <row r="139" spans="1:7" ht="15.75" thickBot="1" x14ac:dyDescent="0.3">
      <c r="A139" t="s">
        <v>601</v>
      </c>
      <c r="B139" s="1" t="s">
        <v>602</v>
      </c>
      <c r="C139" s="1" t="s">
        <v>17</v>
      </c>
      <c r="D139" s="1" t="s">
        <v>364</v>
      </c>
      <c r="E139" s="9">
        <v>12122</v>
      </c>
      <c r="F139" s="1" t="str">
        <f>VLOOKUP(D139,Table12[[Name]:[Native]],3,FALSE)</f>
        <v>左云县</v>
      </c>
      <c r="G139" s="12" t="str">
        <f ca="1">VLOOKUP(F139,Table12[[Native]:[Population4]],5,FALSE)</f>
        <v>大同市</v>
      </c>
    </row>
    <row r="140" spans="1:7" ht="15.75" thickBot="1" x14ac:dyDescent="0.3">
      <c r="A140" t="s">
        <v>603</v>
      </c>
      <c r="B140" s="1" t="s">
        <v>604</v>
      </c>
      <c r="C140" s="1" t="s">
        <v>17</v>
      </c>
      <c r="D140" s="1" t="s">
        <v>395</v>
      </c>
      <c r="E140" s="9">
        <v>11706</v>
      </c>
      <c r="F140" s="1" t="str">
        <f>VLOOKUP(D140,Table12[[Name]:[Native]],3,FALSE)</f>
        <v>天镇县</v>
      </c>
      <c r="G140" s="12" t="str">
        <f ca="1">VLOOKUP(F140,Table12[[Native]:[Population4]],5,FALSE)</f>
        <v>大同市</v>
      </c>
    </row>
    <row r="141" spans="1:7" ht="15.75" thickBot="1" x14ac:dyDescent="0.3">
      <c r="A141" t="s">
        <v>605</v>
      </c>
      <c r="B141" s="1" t="s">
        <v>606</v>
      </c>
      <c r="C141" s="1" t="s">
        <v>17</v>
      </c>
      <c r="D141" s="1" t="s">
        <v>331</v>
      </c>
      <c r="E141" s="9">
        <v>11005</v>
      </c>
      <c r="F141" s="1" t="str">
        <f>VLOOKUP(D141,Table12[[Name]:[Native]],3,FALSE)</f>
        <v>灵丘县</v>
      </c>
      <c r="G141" s="12" t="str">
        <f ca="1">VLOOKUP(F141,Table12[[Native]:[Population4]],5,FALSE)</f>
        <v>大同市</v>
      </c>
    </row>
    <row r="142" spans="1:7" ht="15.75" thickBot="1" x14ac:dyDescent="0.3">
      <c r="A142" t="s">
        <v>607</v>
      </c>
      <c r="B142" s="1" t="s">
        <v>608</v>
      </c>
      <c r="C142" s="1" t="s">
        <v>17</v>
      </c>
      <c r="D142" s="1" t="s">
        <v>395</v>
      </c>
      <c r="E142" s="9">
        <v>5963</v>
      </c>
      <c r="F142" s="1" t="str">
        <f>VLOOKUP(D142,Table12[[Name]:[Native]],3,FALSE)</f>
        <v>天镇县</v>
      </c>
      <c r="G142" s="12" t="str">
        <f ca="1">VLOOKUP(F142,Table12[[Native]:[Population4]],5,FALSE)</f>
        <v>大同市</v>
      </c>
    </row>
    <row r="143" spans="1:7" ht="15.75" thickBot="1" x14ac:dyDescent="0.3">
      <c r="A143" t="s">
        <v>609</v>
      </c>
      <c r="B143" s="1" t="s">
        <v>610</v>
      </c>
      <c r="C143" s="1" t="s">
        <v>31</v>
      </c>
      <c r="D143" s="1" t="s">
        <v>337</v>
      </c>
      <c r="E143" s="9">
        <v>74689</v>
      </c>
      <c r="F143" s="1" t="str">
        <f>VLOOKUP(D143,Table12[[Name]:[Native]],3,FALSE)</f>
        <v>平城区</v>
      </c>
      <c r="G143" s="12" t="str">
        <f ca="1">VLOOKUP(F143,Table12[[Native]:[Population4]],5,FALSE)</f>
        <v>大同市</v>
      </c>
    </row>
    <row r="144" spans="1:7" ht="15.75" thickBot="1" x14ac:dyDescent="0.3">
      <c r="A144" t="s">
        <v>611</v>
      </c>
      <c r="B144" s="1" t="s">
        <v>612</v>
      </c>
      <c r="C144" s="1" t="s">
        <v>7</v>
      </c>
      <c r="D144" s="1" t="s">
        <v>340</v>
      </c>
      <c r="E144" s="9">
        <v>17620</v>
      </c>
      <c r="F144" s="1" t="str">
        <f>VLOOKUP(D144,Table12[[Name]:[Native]],3,FALSE)</f>
        <v>云州区</v>
      </c>
      <c r="G144" s="12" t="str">
        <f ca="1">VLOOKUP(F144,Table12[[Native]:[Population4]],5,FALSE)</f>
        <v>大同市</v>
      </c>
    </row>
    <row r="145" spans="1:7" ht="15.75" thickBot="1" x14ac:dyDescent="0.3">
      <c r="A145" t="s">
        <v>613</v>
      </c>
      <c r="B145" s="1" t="s">
        <v>614</v>
      </c>
      <c r="C145" s="1" t="s">
        <v>17</v>
      </c>
      <c r="D145" s="1" t="s">
        <v>410</v>
      </c>
      <c r="E145" s="9">
        <v>18663</v>
      </c>
      <c r="F145" s="8" t="str">
        <f>VLOOKUP(D145,Table12[[Name]:[Native]],3,FALSE)</f>
        <v>广灵县</v>
      </c>
      <c r="G145" s="12" t="str">
        <f ca="1">VLOOKUP(F145,Table12[[Native]:[Population4]],5,FALSE)</f>
        <v>大同市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84436-4F48-4157-8385-02348444770B}">
  <dimension ref="A1:G88"/>
  <sheetViews>
    <sheetView workbookViewId="0">
      <selection activeCell="G2" sqref="A2:G8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615</v>
      </c>
      <c r="B2" s="1" t="s">
        <v>616</v>
      </c>
      <c r="C2" s="1" t="s">
        <v>7</v>
      </c>
      <c r="D2" s="1" t="s">
        <v>617</v>
      </c>
      <c r="E2" s="9">
        <v>62157</v>
      </c>
      <c r="F2" s="7" t="str">
        <f>VLOOKUP(D2,Table12[[Name]:[Native]],3,FALSE)</f>
        <v>泽州县</v>
      </c>
      <c r="G2" s="12" t="str">
        <f ca="1">VLOOKUP(F2,Table12[[Native]:[Population4]],5,FALSE)</f>
        <v>晋城市</v>
      </c>
    </row>
    <row r="3" spans="1:7" ht="15.75" thickBot="1" x14ac:dyDescent="0.3">
      <c r="A3" t="s">
        <v>618</v>
      </c>
      <c r="B3" s="1" t="s">
        <v>619</v>
      </c>
      <c r="C3" s="1" t="s">
        <v>17</v>
      </c>
      <c r="D3" s="1" t="s">
        <v>620</v>
      </c>
      <c r="E3" s="9">
        <v>13732</v>
      </c>
      <c r="F3" s="1" t="str">
        <f>VLOOKUP(D3,Table12[[Name]:[Native]],3,FALSE)</f>
        <v>阳城县</v>
      </c>
      <c r="G3" s="12" t="str">
        <f ca="1">VLOOKUP(F3,Table12[[Native]:[Population4]],5,FALSE)</f>
        <v>晋城市</v>
      </c>
    </row>
    <row r="4" spans="1:7" ht="15.75" thickBot="1" x14ac:dyDescent="0.3">
      <c r="A4" t="s">
        <v>621</v>
      </c>
      <c r="B4" s="1" t="s">
        <v>622</v>
      </c>
      <c r="C4" s="1" t="s">
        <v>31</v>
      </c>
      <c r="D4" s="1" t="s">
        <v>623</v>
      </c>
      <c r="E4" s="9">
        <v>43559</v>
      </c>
      <c r="F4" s="1" t="str">
        <f>VLOOKUP(D4,Table12[[Name]:[Native]],3,FALSE)</f>
        <v>高平市</v>
      </c>
      <c r="G4" s="12" t="str">
        <f ca="1">VLOOKUP(F4,Table12[[Native]:[Population4]],5,FALSE)</f>
        <v>晋城市</v>
      </c>
    </row>
    <row r="5" spans="1:7" ht="15.75" thickBot="1" x14ac:dyDescent="0.3">
      <c r="A5" t="s">
        <v>341</v>
      </c>
      <c r="B5" s="1" t="s">
        <v>342</v>
      </c>
      <c r="C5" s="1" t="s">
        <v>31</v>
      </c>
      <c r="D5" s="1" t="s">
        <v>624</v>
      </c>
      <c r="E5" s="9">
        <v>41923</v>
      </c>
      <c r="F5" s="1" t="str">
        <f>VLOOKUP(D5,Table12[[Name]:[Native]],3,FALSE)</f>
        <v>城区</v>
      </c>
      <c r="G5" s="12" t="str">
        <f ca="1">VLOOKUP(F5,Table12[[Native]:[Population4]],5,FALSE)</f>
        <v>晋城市</v>
      </c>
    </row>
    <row r="6" spans="1:7" ht="15.75" thickBot="1" x14ac:dyDescent="0.3">
      <c r="A6" t="s">
        <v>625</v>
      </c>
      <c r="B6" s="1" t="s">
        <v>626</v>
      </c>
      <c r="C6" s="1" t="s">
        <v>7</v>
      </c>
      <c r="D6" s="1" t="s">
        <v>620</v>
      </c>
      <c r="E6" s="9">
        <v>37801</v>
      </c>
      <c r="F6" s="1" t="str">
        <f>VLOOKUP(D6,Table12[[Name]:[Native]],3,FALSE)</f>
        <v>阳城县</v>
      </c>
      <c r="G6" s="12" t="str">
        <f ca="1">VLOOKUP(F6,Table12[[Native]:[Population4]],5,FALSE)</f>
        <v>晋城市</v>
      </c>
    </row>
    <row r="7" spans="1:7" ht="15.75" thickBot="1" x14ac:dyDescent="0.3">
      <c r="A7" t="s">
        <v>627</v>
      </c>
      <c r="B7" s="1" t="s">
        <v>628</v>
      </c>
      <c r="C7" s="1" t="s">
        <v>7</v>
      </c>
      <c r="D7" s="1" t="s">
        <v>624</v>
      </c>
      <c r="E7" s="9">
        <v>33407</v>
      </c>
      <c r="F7" s="1" t="str">
        <f>VLOOKUP(D7,Table12[[Name]:[Native]],3,FALSE)</f>
        <v>城区</v>
      </c>
      <c r="G7" s="12" t="str">
        <f ca="1">VLOOKUP(F7,Table12[[Native]:[Population4]],5,FALSE)</f>
        <v>晋城市</v>
      </c>
    </row>
    <row r="8" spans="1:7" ht="15.75" thickBot="1" x14ac:dyDescent="0.3">
      <c r="A8" t="s">
        <v>629</v>
      </c>
      <c r="B8" s="1" t="s">
        <v>630</v>
      </c>
      <c r="C8" s="1" t="s">
        <v>7</v>
      </c>
      <c r="D8" s="1" t="s">
        <v>623</v>
      </c>
      <c r="E8" s="9">
        <v>28324</v>
      </c>
      <c r="F8" s="1" t="str">
        <f>VLOOKUP(D8,Table12[[Name]:[Native]],3,FALSE)</f>
        <v>高平市</v>
      </c>
      <c r="G8" s="12" t="str">
        <f ca="1">VLOOKUP(F8,Table12[[Native]:[Population4]],5,FALSE)</f>
        <v>晋城市</v>
      </c>
    </row>
    <row r="9" spans="1:7" ht="15.75" thickBot="1" x14ac:dyDescent="0.3">
      <c r="A9" t="s">
        <v>631</v>
      </c>
      <c r="B9" s="1" t="s">
        <v>632</v>
      </c>
      <c r="C9" s="1" t="s">
        <v>7</v>
      </c>
      <c r="D9" s="1" t="s">
        <v>617</v>
      </c>
      <c r="E9" s="9">
        <v>27697</v>
      </c>
      <c r="F9" s="1" t="str">
        <f>VLOOKUP(D9,Table12[[Name]:[Native]],3,FALSE)</f>
        <v>泽州县</v>
      </c>
      <c r="G9" s="12" t="str">
        <f ca="1">VLOOKUP(F9,Table12[[Native]:[Population4]],5,FALSE)</f>
        <v>晋城市</v>
      </c>
    </row>
    <row r="10" spans="1:7" ht="15.75" thickBot="1" x14ac:dyDescent="0.3">
      <c r="A10" t="s">
        <v>633</v>
      </c>
      <c r="B10" s="1" t="s">
        <v>634</v>
      </c>
      <c r="C10" s="1" t="s">
        <v>7</v>
      </c>
      <c r="D10" s="1" t="s">
        <v>623</v>
      </c>
      <c r="E10" s="9">
        <v>28186</v>
      </c>
      <c r="F10" s="1" t="str">
        <f>VLOOKUP(D10,Table12[[Name]:[Native]],3,FALSE)</f>
        <v>高平市</v>
      </c>
      <c r="G10" s="12" t="str">
        <f ca="1">VLOOKUP(F10,Table12[[Native]:[Population4]],5,FALSE)</f>
        <v>晋城市</v>
      </c>
    </row>
    <row r="11" spans="1:7" ht="15.75" thickBot="1" x14ac:dyDescent="0.3">
      <c r="A11" t="s">
        <v>635</v>
      </c>
      <c r="B11" s="1" t="s">
        <v>636</v>
      </c>
      <c r="C11" s="1" t="s">
        <v>7</v>
      </c>
      <c r="D11" s="1" t="s">
        <v>637</v>
      </c>
      <c r="E11" s="9">
        <v>68079</v>
      </c>
      <c r="F11" s="1" t="str">
        <f>VLOOKUP(D11,Table12[[Name]:[Native]],3,FALSE)</f>
        <v>陵川县</v>
      </c>
      <c r="G11" s="12" t="str">
        <f ca="1">VLOOKUP(F11,Table12[[Native]:[Population4]],5,FALSE)</f>
        <v>晋城市</v>
      </c>
    </row>
    <row r="12" spans="1:7" ht="15.75" thickBot="1" x14ac:dyDescent="0.3">
      <c r="A12" t="s">
        <v>638</v>
      </c>
      <c r="B12" s="1" t="s">
        <v>639</v>
      </c>
      <c r="C12" s="1" t="s">
        <v>17</v>
      </c>
      <c r="D12" s="1" t="s">
        <v>617</v>
      </c>
      <c r="E12" s="9">
        <v>21491</v>
      </c>
      <c r="F12" s="1" t="str">
        <f>VLOOKUP(D12,Table12[[Name]:[Native]],3,FALSE)</f>
        <v>泽州县</v>
      </c>
      <c r="G12" s="12" t="str">
        <f ca="1">VLOOKUP(F12,Table12[[Native]:[Population4]],5,FALSE)</f>
        <v>晋城市</v>
      </c>
    </row>
    <row r="13" spans="1:7" ht="15.75" thickBot="1" x14ac:dyDescent="0.3">
      <c r="A13" t="s">
        <v>640</v>
      </c>
      <c r="B13" s="1" t="s">
        <v>641</v>
      </c>
      <c r="C13" s="1" t="s">
        <v>7</v>
      </c>
      <c r="D13" s="1" t="s">
        <v>620</v>
      </c>
      <c r="E13" s="9">
        <v>12595</v>
      </c>
      <c r="F13" s="1" t="str">
        <f>VLOOKUP(D13,Table12[[Name]:[Native]],3,FALSE)</f>
        <v>阳城县</v>
      </c>
      <c r="G13" s="12" t="str">
        <f ca="1">VLOOKUP(F13,Table12[[Native]:[Population4]],5,FALSE)</f>
        <v>晋城市</v>
      </c>
    </row>
    <row r="14" spans="1:7" ht="15.75" thickBot="1" x14ac:dyDescent="0.3">
      <c r="A14" t="s">
        <v>642</v>
      </c>
      <c r="B14" s="1" t="s">
        <v>643</v>
      </c>
      <c r="C14" s="1" t="s">
        <v>7</v>
      </c>
      <c r="D14" s="1" t="s">
        <v>617</v>
      </c>
      <c r="E14" s="9">
        <v>31732</v>
      </c>
      <c r="F14" s="1" t="str">
        <f>VLOOKUP(D14,Table12[[Name]:[Native]],3,FALSE)</f>
        <v>泽州县</v>
      </c>
      <c r="G14" s="12" t="str">
        <f ca="1">VLOOKUP(F14,Table12[[Native]:[Population4]],5,FALSE)</f>
        <v>晋城市</v>
      </c>
    </row>
    <row r="15" spans="1:7" ht="15.75" thickBot="1" x14ac:dyDescent="0.3">
      <c r="A15" t="s">
        <v>644</v>
      </c>
      <c r="B15" s="1" t="s">
        <v>645</v>
      </c>
      <c r="C15" s="1" t="s">
        <v>7</v>
      </c>
      <c r="D15" s="1" t="s">
        <v>617</v>
      </c>
      <c r="E15" s="9">
        <v>17400</v>
      </c>
      <c r="F15" s="1" t="str">
        <f>VLOOKUP(D15,Table12[[Name]:[Native]],3,FALSE)</f>
        <v>泽州县</v>
      </c>
      <c r="G15" s="12" t="str">
        <f ca="1">VLOOKUP(F15,Table12[[Native]:[Population4]],5,FALSE)</f>
        <v>晋城市</v>
      </c>
    </row>
    <row r="16" spans="1:7" ht="15.75" thickBot="1" x14ac:dyDescent="0.3">
      <c r="A16" t="s">
        <v>646</v>
      </c>
      <c r="B16" s="1" t="s">
        <v>647</v>
      </c>
      <c r="C16" s="1" t="s">
        <v>7</v>
      </c>
      <c r="D16" s="1" t="s">
        <v>617</v>
      </c>
      <c r="E16" s="9">
        <v>26285</v>
      </c>
      <c r="F16" s="1" t="str">
        <f>VLOOKUP(D16,Table12[[Name]:[Native]],3,FALSE)</f>
        <v>泽州县</v>
      </c>
      <c r="G16" s="12" t="str">
        <f ca="1">VLOOKUP(F16,Table12[[Native]:[Population4]],5,FALSE)</f>
        <v>晋城市</v>
      </c>
    </row>
    <row r="17" spans="1:7" ht="15.75" thickBot="1" x14ac:dyDescent="0.3">
      <c r="A17" t="s">
        <v>648</v>
      </c>
      <c r="B17" s="1" t="s">
        <v>649</v>
      </c>
      <c r="C17" s="1" t="s">
        <v>7</v>
      </c>
      <c r="D17" s="1" t="s">
        <v>620</v>
      </c>
      <c r="E17" s="9">
        <v>15725</v>
      </c>
      <c r="F17" s="1" t="str">
        <f>VLOOKUP(D17,Table12[[Name]:[Native]],3,FALSE)</f>
        <v>阳城县</v>
      </c>
      <c r="G17" s="12" t="str">
        <f ca="1">VLOOKUP(F17,Table12[[Native]:[Population4]],5,FALSE)</f>
        <v>晋城市</v>
      </c>
    </row>
    <row r="18" spans="1:7" ht="15.75" thickBot="1" x14ac:dyDescent="0.3">
      <c r="A18" t="s">
        <v>650</v>
      </c>
      <c r="B18" s="1" t="s">
        <v>651</v>
      </c>
      <c r="C18" s="1" t="s">
        <v>35</v>
      </c>
      <c r="D18" s="1" t="s">
        <v>620</v>
      </c>
      <c r="E18" s="9">
        <v>16418</v>
      </c>
      <c r="F18" s="1" t="str">
        <f>VLOOKUP(D18,Table12[[Name]:[Native]],3,FALSE)</f>
        <v>阳城县</v>
      </c>
      <c r="G18" s="12" t="str">
        <f ca="1">VLOOKUP(F18,Table12[[Native]:[Population4]],5,FALSE)</f>
        <v>晋城市</v>
      </c>
    </row>
    <row r="19" spans="1:7" ht="15.75" thickBot="1" x14ac:dyDescent="0.3">
      <c r="A19" t="s">
        <v>650</v>
      </c>
      <c r="B19" s="1" t="s">
        <v>652</v>
      </c>
      <c r="C19" s="1" t="s">
        <v>31</v>
      </c>
      <c r="D19" s="1" t="s">
        <v>623</v>
      </c>
      <c r="E19" s="9">
        <v>41948</v>
      </c>
      <c r="F19" s="1" t="str">
        <f>VLOOKUP(D19,Table12[[Name]:[Native]],3,FALSE)</f>
        <v>高平市</v>
      </c>
      <c r="G19" s="12" t="str">
        <f ca="1">VLOOKUP(F19,Table12[[Native]:[Population4]],5,FALSE)</f>
        <v>晋城市</v>
      </c>
    </row>
    <row r="20" spans="1:7" ht="15.75" thickBot="1" x14ac:dyDescent="0.3">
      <c r="A20" t="s">
        <v>653</v>
      </c>
      <c r="B20" s="1" t="s">
        <v>654</v>
      </c>
      <c r="C20" s="1" t="s">
        <v>17</v>
      </c>
      <c r="D20" s="1" t="s">
        <v>620</v>
      </c>
      <c r="E20" s="9">
        <v>6717</v>
      </c>
      <c r="F20" s="1" t="str">
        <f>VLOOKUP(D20,Table12[[Name]:[Native]],3,FALSE)</f>
        <v>阳城县</v>
      </c>
      <c r="G20" s="12" t="str">
        <f ca="1">VLOOKUP(F20,Table12[[Native]:[Population4]],5,FALSE)</f>
        <v>晋城市</v>
      </c>
    </row>
    <row r="21" spans="1:7" ht="15.75" thickBot="1" x14ac:dyDescent="0.3">
      <c r="A21" t="s">
        <v>72</v>
      </c>
      <c r="B21" s="1" t="s">
        <v>73</v>
      </c>
      <c r="C21" s="1" t="s">
        <v>31</v>
      </c>
      <c r="D21" s="1" t="s">
        <v>624</v>
      </c>
      <c r="E21" s="9">
        <v>54671</v>
      </c>
      <c r="F21" s="1" t="str">
        <f>VLOOKUP(D21,Table12[[Name]:[Native]],3,FALSE)</f>
        <v>城区</v>
      </c>
      <c r="G21" s="12" t="str">
        <f ca="1">VLOOKUP(F21,Table12[[Native]:[Population4]],5,FALSE)</f>
        <v>晋城市</v>
      </c>
    </row>
    <row r="22" spans="1:7" ht="15.75" thickBot="1" x14ac:dyDescent="0.3">
      <c r="A22" t="s">
        <v>655</v>
      </c>
      <c r="B22" s="1" t="s">
        <v>656</v>
      </c>
      <c r="C22" s="1" t="s">
        <v>7</v>
      </c>
      <c r="D22" s="1" t="s">
        <v>620</v>
      </c>
      <c r="E22" s="9">
        <v>20531</v>
      </c>
      <c r="F22" s="1" t="str">
        <f>VLOOKUP(D22,Table12[[Name]:[Native]],3,FALSE)</f>
        <v>阳城县</v>
      </c>
      <c r="G22" s="12" t="str">
        <f ca="1">VLOOKUP(F22,Table12[[Native]:[Population4]],5,FALSE)</f>
        <v>晋城市</v>
      </c>
    </row>
    <row r="23" spans="1:7" ht="15.75" thickBot="1" x14ac:dyDescent="0.3">
      <c r="A23" t="s">
        <v>657</v>
      </c>
      <c r="B23" s="1" t="s">
        <v>658</v>
      </c>
      <c r="C23" s="1" t="s">
        <v>7</v>
      </c>
      <c r="D23" s="1" t="s">
        <v>659</v>
      </c>
      <c r="E23" s="9">
        <v>29534</v>
      </c>
      <c r="F23" s="1" t="str">
        <f>VLOOKUP(D23,Table12[[Name]:[Native]],3,FALSE)</f>
        <v>沁水县</v>
      </c>
      <c r="G23" s="12" t="str">
        <f ca="1">VLOOKUP(F23,Table12[[Native]:[Population4]],5,FALSE)</f>
        <v>晋城市</v>
      </c>
    </row>
    <row r="24" spans="1:7" ht="15.75" thickBot="1" x14ac:dyDescent="0.3">
      <c r="A24" t="s">
        <v>660</v>
      </c>
      <c r="B24" s="1" t="s">
        <v>661</v>
      </c>
      <c r="C24" s="1" t="s">
        <v>17</v>
      </c>
      <c r="D24" s="1" t="s">
        <v>637</v>
      </c>
      <c r="E24" s="9">
        <v>3957</v>
      </c>
      <c r="F24" s="1" t="str">
        <f>VLOOKUP(D24,Table12[[Name]:[Native]],3,FALSE)</f>
        <v>陵川县</v>
      </c>
      <c r="G24" s="12" t="str">
        <f ca="1">VLOOKUP(F24,Table12[[Native]:[Population4]],5,FALSE)</f>
        <v>晋城市</v>
      </c>
    </row>
    <row r="25" spans="1:7" ht="15.75" thickBot="1" x14ac:dyDescent="0.3">
      <c r="A25" t="s">
        <v>662</v>
      </c>
      <c r="B25" s="1" t="s">
        <v>663</v>
      </c>
      <c r="C25" s="1" t="s">
        <v>17</v>
      </c>
      <c r="D25" s="1" t="s">
        <v>659</v>
      </c>
      <c r="E25" s="9">
        <v>1153</v>
      </c>
      <c r="F25" s="1" t="str">
        <f>VLOOKUP(D25,Table12[[Name]:[Native]],3,FALSE)</f>
        <v>沁水县</v>
      </c>
      <c r="G25" s="12" t="str">
        <f ca="1">VLOOKUP(F25,Table12[[Native]:[Population4]],5,FALSE)</f>
        <v>晋城市</v>
      </c>
    </row>
    <row r="26" spans="1:7" ht="15.75" thickBot="1" x14ac:dyDescent="0.3">
      <c r="A26" t="s">
        <v>664</v>
      </c>
      <c r="B26" s="1" t="s">
        <v>665</v>
      </c>
      <c r="C26" s="1" t="s">
        <v>7</v>
      </c>
      <c r="D26" s="1" t="s">
        <v>620</v>
      </c>
      <c r="E26" s="9">
        <v>126960</v>
      </c>
      <c r="F26" s="1" t="str">
        <f>VLOOKUP(D26,Table12[[Name]:[Native]],3,FALSE)</f>
        <v>阳城县</v>
      </c>
      <c r="G26" s="12" t="str">
        <f ca="1">VLOOKUP(F26,Table12[[Native]:[Population4]],5,FALSE)</f>
        <v>晋城市</v>
      </c>
    </row>
    <row r="27" spans="1:7" ht="15.75" thickBot="1" x14ac:dyDescent="0.3">
      <c r="A27" t="s">
        <v>666</v>
      </c>
      <c r="B27" s="1" t="s">
        <v>667</v>
      </c>
      <c r="C27" s="1" t="s">
        <v>7</v>
      </c>
      <c r="D27" s="1" t="s">
        <v>637</v>
      </c>
      <c r="E27" s="9">
        <v>26831</v>
      </c>
      <c r="F27" s="1" t="str">
        <f>VLOOKUP(D27,Table12[[Name]:[Native]],3,FALSE)</f>
        <v>陵川县</v>
      </c>
      <c r="G27" s="12" t="str">
        <f ca="1">VLOOKUP(F27,Table12[[Native]:[Population4]],5,FALSE)</f>
        <v>晋城市</v>
      </c>
    </row>
    <row r="28" spans="1:7" ht="15.75" thickBot="1" x14ac:dyDescent="0.3">
      <c r="A28" t="s">
        <v>668</v>
      </c>
      <c r="B28" s="1" t="s">
        <v>669</v>
      </c>
      <c r="C28" s="1" t="s">
        <v>7</v>
      </c>
      <c r="D28" s="1" t="s">
        <v>617</v>
      </c>
      <c r="E28" s="9">
        <v>37018</v>
      </c>
      <c r="F28" s="1" t="str">
        <f>VLOOKUP(D28,Table12[[Name]:[Native]],3,FALSE)</f>
        <v>泽州县</v>
      </c>
      <c r="G28" s="12" t="str">
        <f ca="1">VLOOKUP(F28,Table12[[Native]:[Population4]],5,FALSE)</f>
        <v>晋城市</v>
      </c>
    </row>
    <row r="29" spans="1:7" ht="15.75" thickBot="1" x14ac:dyDescent="0.3">
      <c r="A29" t="s">
        <v>670</v>
      </c>
      <c r="B29" s="1" t="s">
        <v>671</v>
      </c>
      <c r="C29" s="1" t="s">
        <v>17</v>
      </c>
      <c r="D29" s="1" t="s">
        <v>637</v>
      </c>
      <c r="E29" s="9">
        <v>7471</v>
      </c>
      <c r="F29" s="1" t="str">
        <f>VLOOKUP(D29,Table12[[Name]:[Native]],3,FALSE)</f>
        <v>陵川县</v>
      </c>
      <c r="G29" s="12" t="str">
        <f ca="1">VLOOKUP(F29,Table12[[Native]:[Population4]],5,FALSE)</f>
        <v>晋城市</v>
      </c>
    </row>
    <row r="30" spans="1:7" ht="15.75" thickBot="1" x14ac:dyDescent="0.3">
      <c r="A30" t="s">
        <v>672</v>
      </c>
      <c r="B30" s="1" t="s">
        <v>673</v>
      </c>
      <c r="C30" s="1" t="s">
        <v>17</v>
      </c>
      <c r="D30" s="1" t="s">
        <v>620</v>
      </c>
      <c r="E30" s="9">
        <v>7849</v>
      </c>
      <c r="F30" s="1" t="str">
        <f>VLOOKUP(D30,Table12[[Name]:[Native]],3,FALSE)</f>
        <v>阳城县</v>
      </c>
      <c r="G30" s="12" t="str">
        <f ca="1">VLOOKUP(F30,Table12[[Native]:[Population4]],5,FALSE)</f>
        <v>晋城市</v>
      </c>
    </row>
    <row r="31" spans="1:7" ht="15.75" thickBot="1" x14ac:dyDescent="0.3">
      <c r="A31" t="s">
        <v>105</v>
      </c>
      <c r="B31" s="1" t="s">
        <v>674</v>
      </c>
      <c r="C31" s="1" t="s">
        <v>17</v>
      </c>
      <c r="D31" s="1" t="s">
        <v>659</v>
      </c>
      <c r="E31" s="9">
        <v>6214</v>
      </c>
      <c r="F31" s="1" t="str">
        <f>VLOOKUP(D31,Table12[[Name]:[Native]],3,FALSE)</f>
        <v>沁水县</v>
      </c>
      <c r="G31" s="12" t="str">
        <f ca="1">VLOOKUP(F31,Table12[[Native]:[Population4]],5,FALSE)</f>
        <v>晋城市</v>
      </c>
    </row>
    <row r="32" spans="1:7" ht="15.75" thickBot="1" x14ac:dyDescent="0.3">
      <c r="A32" t="s">
        <v>675</v>
      </c>
      <c r="B32" s="1" t="s">
        <v>676</v>
      </c>
      <c r="C32" s="1" t="s">
        <v>7</v>
      </c>
      <c r="D32" s="1" t="s">
        <v>620</v>
      </c>
      <c r="E32" s="9">
        <v>12116</v>
      </c>
      <c r="F32" s="1" t="str">
        <f>VLOOKUP(D32,Table12[[Name]:[Native]],3,FALSE)</f>
        <v>阳城县</v>
      </c>
      <c r="G32" s="12" t="str">
        <f ca="1">VLOOKUP(F32,Table12[[Native]:[Population4]],5,FALSE)</f>
        <v>晋城市</v>
      </c>
    </row>
    <row r="33" spans="1:7" ht="15.75" thickBot="1" x14ac:dyDescent="0.3">
      <c r="A33" t="s">
        <v>677</v>
      </c>
      <c r="B33" s="1" t="s">
        <v>678</v>
      </c>
      <c r="C33" s="1" t="s">
        <v>7</v>
      </c>
      <c r="D33" s="1" t="s">
        <v>620</v>
      </c>
      <c r="E33" s="9">
        <v>3826</v>
      </c>
      <c r="F33" s="1" t="str">
        <f>VLOOKUP(D33,Table12[[Name]:[Native]],3,FALSE)</f>
        <v>阳城县</v>
      </c>
      <c r="G33" s="12" t="str">
        <f ca="1">VLOOKUP(F33,Table12[[Native]:[Population4]],5,FALSE)</f>
        <v>晋城市</v>
      </c>
    </row>
    <row r="34" spans="1:7" ht="15.75" thickBot="1" x14ac:dyDescent="0.3">
      <c r="A34" t="s">
        <v>679</v>
      </c>
      <c r="B34" s="1" t="s">
        <v>680</v>
      </c>
      <c r="C34" s="1" t="s">
        <v>7</v>
      </c>
      <c r="D34" s="1" t="s">
        <v>623</v>
      </c>
      <c r="E34" s="9">
        <v>43539</v>
      </c>
      <c r="F34" s="1" t="str">
        <f>VLOOKUP(D34,Table12[[Name]:[Native]],3,FALSE)</f>
        <v>高平市</v>
      </c>
      <c r="G34" s="12" t="str">
        <f ca="1">VLOOKUP(F34,Table12[[Native]:[Population4]],5,FALSE)</f>
        <v>晋城市</v>
      </c>
    </row>
    <row r="35" spans="1:7" ht="15.75" thickBot="1" x14ac:dyDescent="0.3">
      <c r="A35" t="s">
        <v>681</v>
      </c>
      <c r="B35" s="1" t="s">
        <v>682</v>
      </c>
      <c r="C35" s="1" t="s">
        <v>17</v>
      </c>
      <c r="D35" s="1" t="s">
        <v>659</v>
      </c>
      <c r="E35" s="9">
        <v>8935</v>
      </c>
      <c r="F35" s="1" t="str">
        <f>VLOOKUP(D35,Table12[[Name]:[Native]],3,FALSE)</f>
        <v>沁水县</v>
      </c>
      <c r="G35" s="12" t="str">
        <f ca="1">VLOOKUP(F35,Table12[[Native]:[Population4]],5,FALSE)</f>
        <v>晋城市</v>
      </c>
    </row>
    <row r="36" spans="1:7" ht="15.75" thickBot="1" x14ac:dyDescent="0.3">
      <c r="A36" t="s">
        <v>683</v>
      </c>
      <c r="B36" s="1" t="s">
        <v>684</v>
      </c>
      <c r="C36" s="1" t="s">
        <v>7</v>
      </c>
      <c r="D36" s="1" t="s">
        <v>659</v>
      </c>
      <c r="E36" s="9">
        <v>38076</v>
      </c>
      <c r="F36" s="1" t="str">
        <f>VLOOKUP(D36,Table12[[Name]:[Native]],3,FALSE)</f>
        <v>沁水县</v>
      </c>
      <c r="G36" s="12" t="str">
        <f ca="1">VLOOKUP(F36,Table12[[Native]:[Population4]],5,FALSE)</f>
        <v>晋城市</v>
      </c>
    </row>
    <row r="37" spans="1:7" ht="15.75" thickBot="1" x14ac:dyDescent="0.3">
      <c r="A37" t="s">
        <v>685</v>
      </c>
      <c r="B37" s="1" t="s">
        <v>686</v>
      </c>
      <c r="C37" s="1" t="s">
        <v>17</v>
      </c>
      <c r="D37" s="1" t="s">
        <v>620</v>
      </c>
      <c r="E37" s="9">
        <v>7743</v>
      </c>
      <c r="F37" s="1" t="str">
        <f>VLOOKUP(D37,Table12[[Name]:[Native]],3,FALSE)</f>
        <v>阳城县</v>
      </c>
      <c r="G37" s="12" t="str">
        <f ca="1">VLOOKUP(F37,Table12[[Native]:[Population4]],5,FALSE)</f>
        <v>晋城市</v>
      </c>
    </row>
    <row r="38" spans="1:7" ht="15.75" thickBot="1" x14ac:dyDescent="0.3">
      <c r="A38" t="s">
        <v>687</v>
      </c>
      <c r="B38" s="1" t="s">
        <v>688</v>
      </c>
      <c r="C38" s="1" t="s">
        <v>17</v>
      </c>
      <c r="D38" s="1" t="s">
        <v>623</v>
      </c>
      <c r="E38" s="9">
        <v>17778</v>
      </c>
      <c r="F38" s="1" t="str">
        <f>VLOOKUP(D38,Table12[[Name]:[Native]],3,FALSE)</f>
        <v>高平市</v>
      </c>
      <c r="G38" s="12" t="str">
        <f ca="1">VLOOKUP(F38,Table12[[Native]:[Population4]],5,FALSE)</f>
        <v>晋城市</v>
      </c>
    </row>
    <row r="39" spans="1:7" ht="15.75" thickBot="1" x14ac:dyDescent="0.3">
      <c r="A39" t="s">
        <v>689</v>
      </c>
      <c r="B39" s="1" t="s">
        <v>690</v>
      </c>
      <c r="C39" s="1" t="s">
        <v>7</v>
      </c>
      <c r="D39" s="1" t="s">
        <v>617</v>
      </c>
      <c r="E39" s="9">
        <v>51880</v>
      </c>
      <c r="F39" s="1" t="str">
        <f>VLOOKUP(D39,Table12[[Name]:[Native]],3,FALSE)</f>
        <v>泽州县</v>
      </c>
      <c r="G39" s="12" t="str">
        <f ca="1">VLOOKUP(F39,Table12[[Native]:[Population4]],5,FALSE)</f>
        <v>晋城市</v>
      </c>
    </row>
    <row r="40" spans="1:7" ht="15.75" thickBot="1" x14ac:dyDescent="0.3">
      <c r="A40" t="s">
        <v>691</v>
      </c>
      <c r="B40" s="1" t="s">
        <v>692</v>
      </c>
      <c r="C40" s="1" t="s">
        <v>7</v>
      </c>
      <c r="D40" s="1" t="s">
        <v>617</v>
      </c>
      <c r="E40" s="9">
        <v>19107</v>
      </c>
      <c r="F40" s="1" t="str">
        <f>VLOOKUP(D40,Table12[[Name]:[Native]],3,FALSE)</f>
        <v>泽州县</v>
      </c>
      <c r="G40" s="12" t="str">
        <f ca="1">VLOOKUP(F40,Table12[[Native]:[Population4]],5,FALSE)</f>
        <v>晋城市</v>
      </c>
    </row>
    <row r="41" spans="1:7" ht="15.75" thickBot="1" x14ac:dyDescent="0.3">
      <c r="A41" t="s">
        <v>693</v>
      </c>
      <c r="B41" s="1" t="s">
        <v>694</v>
      </c>
      <c r="C41" s="1" t="s">
        <v>31</v>
      </c>
      <c r="D41" s="1" t="s">
        <v>624</v>
      </c>
      <c r="E41" s="9">
        <v>42156</v>
      </c>
      <c r="F41" s="1" t="str">
        <f>VLOOKUP(D41,Table12[[Name]:[Native]],3,FALSE)</f>
        <v>城区</v>
      </c>
      <c r="G41" s="12" t="str">
        <f ca="1">VLOOKUP(F41,Table12[[Native]:[Population4]],5,FALSE)</f>
        <v>晋城市</v>
      </c>
    </row>
    <row r="42" spans="1:7" ht="15.75" thickBot="1" x14ac:dyDescent="0.3">
      <c r="A42" t="s">
        <v>695</v>
      </c>
      <c r="B42" s="1" t="s">
        <v>696</v>
      </c>
      <c r="C42" s="1" t="s">
        <v>31</v>
      </c>
      <c r="D42" s="1" t="s">
        <v>624</v>
      </c>
      <c r="E42" s="9">
        <v>47512</v>
      </c>
      <c r="F42" s="1" t="str">
        <f>VLOOKUP(D42,Table12[[Name]:[Native]],3,FALSE)</f>
        <v>城区</v>
      </c>
      <c r="G42" s="12" t="str">
        <f ca="1">VLOOKUP(F42,Table12[[Native]:[Population4]],5,FALSE)</f>
        <v>晋城市</v>
      </c>
    </row>
    <row r="43" spans="1:7" ht="15.75" thickBot="1" x14ac:dyDescent="0.3">
      <c r="A43" t="s">
        <v>697</v>
      </c>
      <c r="B43" s="1" t="s">
        <v>698</v>
      </c>
      <c r="C43" s="1" t="s">
        <v>7</v>
      </c>
      <c r="D43" s="1" t="s">
        <v>617</v>
      </c>
      <c r="E43" s="9">
        <v>14404</v>
      </c>
      <c r="F43" s="1" t="str">
        <f>VLOOKUP(D43,Table12[[Name]:[Native]],3,FALSE)</f>
        <v>泽州县</v>
      </c>
      <c r="G43" s="12" t="str">
        <f ca="1">VLOOKUP(F43,Table12[[Native]:[Population4]],5,FALSE)</f>
        <v>晋城市</v>
      </c>
    </row>
    <row r="44" spans="1:7" ht="15.75" thickBot="1" x14ac:dyDescent="0.3">
      <c r="A44" t="s">
        <v>699</v>
      </c>
      <c r="B44" s="1" t="s">
        <v>700</v>
      </c>
      <c r="C44" s="1" t="s">
        <v>35</v>
      </c>
      <c r="D44" s="1" t="s">
        <v>620</v>
      </c>
      <c r="E44" s="9">
        <v>124</v>
      </c>
      <c r="F44" s="1" t="str">
        <f>VLOOKUP(D44,Table12[[Name]:[Native]],3,FALSE)</f>
        <v>阳城县</v>
      </c>
      <c r="G44" s="12" t="str">
        <f ca="1">VLOOKUP(F44,Table12[[Native]:[Population4]],5,FALSE)</f>
        <v>晋城市</v>
      </c>
    </row>
    <row r="45" spans="1:7" ht="15.75" thickBot="1" x14ac:dyDescent="0.3">
      <c r="A45" t="s">
        <v>701</v>
      </c>
      <c r="B45" s="1" t="s">
        <v>702</v>
      </c>
      <c r="C45" s="1" t="s">
        <v>17</v>
      </c>
      <c r="D45" s="1" t="s">
        <v>637</v>
      </c>
      <c r="E45" s="9">
        <v>10426</v>
      </c>
      <c r="F45" s="1" t="str">
        <f>VLOOKUP(D45,Table12[[Name]:[Native]],3,FALSE)</f>
        <v>陵川县</v>
      </c>
      <c r="G45" s="12" t="str">
        <f ca="1">VLOOKUP(F45,Table12[[Native]:[Population4]],5,FALSE)</f>
        <v>晋城市</v>
      </c>
    </row>
    <row r="46" spans="1:7" ht="15.75" thickBot="1" x14ac:dyDescent="0.3">
      <c r="A46" t="s">
        <v>703</v>
      </c>
      <c r="B46" s="1" t="s">
        <v>704</v>
      </c>
      <c r="C46" s="1" t="s">
        <v>7</v>
      </c>
      <c r="D46" s="1" t="s">
        <v>617</v>
      </c>
      <c r="E46" s="9">
        <v>14951</v>
      </c>
      <c r="F46" s="1" t="str">
        <f>VLOOKUP(D46,Table12[[Name]:[Native]],3,FALSE)</f>
        <v>泽州县</v>
      </c>
      <c r="G46" s="12" t="str">
        <f ca="1">VLOOKUP(F46,Table12[[Native]:[Population4]],5,FALSE)</f>
        <v>晋城市</v>
      </c>
    </row>
    <row r="47" spans="1:7" ht="15.75" thickBot="1" x14ac:dyDescent="0.3">
      <c r="A47" t="s">
        <v>705</v>
      </c>
      <c r="B47" s="1" t="s">
        <v>706</v>
      </c>
      <c r="C47" s="1" t="s">
        <v>7</v>
      </c>
      <c r="D47" s="1" t="s">
        <v>637</v>
      </c>
      <c r="E47" s="9">
        <v>28408</v>
      </c>
      <c r="F47" s="1" t="str">
        <f>VLOOKUP(D47,Table12[[Name]:[Native]],3,FALSE)</f>
        <v>陵川县</v>
      </c>
      <c r="G47" s="12" t="str">
        <f ca="1">VLOOKUP(F47,Table12[[Native]:[Population4]],5,FALSE)</f>
        <v>晋城市</v>
      </c>
    </row>
    <row r="48" spans="1:7" ht="15.75" thickBot="1" x14ac:dyDescent="0.3">
      <c r="A48" t="s">
        <v>707</v>
      </c>
      <c r="B48" s="1" t="s">
        <v>708</v>
      </c>
      <c r="C48" s="1" t="s">
        <v>17</v>
      </c>
      <c r="D48" s="1" t="s">
        <v>617</v>
      </c>
      <c r="E48" s="9">
        <v>12093</v>
      </c>
      <c r="F48" s="1" t="str">
        <f>VLOOKUP(D48,Table12[[Name]:[Native]],3,FALSE)</f>
        <v>泽州县</v>
      </c>
      <c r="G48" s="12" t="str">
        <f ca="1">VLOOKUP(F48,Table12[[Native]:[Population4]],5,FALSE)</f>
        <v>晋城市</v>
      </c>
    </row>
    <row r="49" spans="1:7" ht="15.75" thickBot="1" x14ac:dyDescent="0.3">
      <c r="A49" t="s">
        <v>709</v>
      </c>
      <c r="B49" s="1" t="s">
        <v>710</v>
      </c>
      <c r="C49" s="1" t="s">
        <v>7</v>
      </c>
      <c r="D49" s="1" t="s">
        <v>659</v>
      </c>
      <c r="E49" s="9">
        <v>58660</v>
      </c>
      <c r="F49" s="1" t="str">
        <f>VLOOKUP(D49,Table12[[Name]:[Native]],3,FALSE)</f>
        <v>沁水县</v>
      </c>
      <c r="G49" s="12" t="str">
        <f ca="1">VLOOKUP(F49,Table12[[Native]:[Population4]],5,FALSE)</f>
        <v>晋城市</v>
      </c>
    </row>
    <row r="50" spans="1:7" ht="15.75" thickBot="1" x14ac:dyDescent="0.3">
      <c r="A50" t="s">
        <v>711</v>
      </c>
      <c r="B50" s="1" t="s">
        <v>712</v>
      </c>
      <c r="C50" s="1" t="s">
        <v>7</v>
      </c>
      <c r="D50" s="1" t="s">
        <v>637</v>
      </c>
      <c r="E50" s="9">
        <v>14308</v>
      </c>
      <c r="F50" s="1" t="str">
        <f>VLOOKUP(D50,Table12[[Name]:[Native]],3,FALSE)</f>
        <v>陵川县</v>
      </c>
      <c r="G50" s="12" t="str">
        <f ca="1">VLOOKUP(F50,Table12[[Native]:[Population4]],5,FALSE)</f>
        <v>晋城市</v>
      </c>
    </row>
    <row r="51" spans="1:7" ht="15.75" thickBot="1" x14ac:dyDescent="0.3">
      <c r="A51" t="s">
        <v>713</v>
      </c>
      <c r="B51" s="1" t="s">
        <v>714</v>
      </c>
      <c r="C51" s="1" t="s">
        <v>7</v>
      </c>
      <c r="D51" s="1" t="s">
        <v>623</v>
      </c>
      <c r="E51" s="9">
        <v>31569</v>
      </c>
      <c r="F51" s="1" t="str">
        <f>VLOOKUP(D51,Table12[[Name]:[Native]],3,FALSE)</f>
        <v>高平市</v>
      </c>
      <c r="G51" s="12" t="str">
        <f ca="1">VLOOKUP(F51,Table12[[Native]:[Population4]],5,FALSE)</f>
        <v>晋城市</v>
      </c>
    </row>
    <row r="52" spans="1:7" ht="15.75" thickBot="1" x14ac:dyDescent="0.3">
      <c r="A52" t="s">
        <v>715</v>
      </c>
      <c r="B52" s="1" t="s">
        <v>716</v>
      </c>
      <c r="C52" s="1" t="s">
        <v>17</v>
      </c>
      <c r="D52" s="1" t="s">
        <v>637</v>
      </c>
      <c r="E52" s="9">
        <v>5438</v>
      </c>
      <c r="F52" s="1" t="str">
        <f>VLOOKUP(D52,Table12[[Name]:[Native]],3,FALSE)</f>
        <v>陵川县</v>
      </c>
      <c r="G52" s="12" t="str">
        <f ca="1">VLOOKUP(F52,Table12[[Native]:[Population4]],5,FALSE)</f>
        <v>晋城市</v>
      </c>
    </row>
    <row r="53" spans="1:7" ht="15.75" thickBot="1" x14ac:dyDescent="0.3">
      <c r="A53" t="s">
        <v>717</v>
      </c>
      <c r="B53" s="1" t="s">
        <v>718</v>
      </c>
      <c r="C53" s="1" t="s">
        <v>7</v>
      </c>
      <c r="D53" s="1" t="s">
        <v>620</v>
      </c>
      <c r="E53" s="9">
        <v>19646</v>
      </c>
      <c r="F53" s="1" t="str">
        <f>VLOOKUP(D53,Table12[[Name]:[Native]],3,FALSE)</f>
        <v>阳城县</v>
      </c>
      <c r="G53" s="12" t="str">
        <f ca="1">VLOOKUP(F53,Table12[[Native]:[Population4]],5,FALSE)</f>
        <v>晋城市</v>
      </c>
    </row>
    <row r="54" spans="1:7" ht="15.75" thickBot="1" x14ac:dyDescent="0.3">
      <c r="A54" t="s">
        <v>719</v>
      </c>
      <c r="B54" s="1" t="s">
        <v>720</v>
      </c>
      <c r="C54" s="1" t="s">
        <v>7</v>
      </c>
      <c r="D54" s="1" t="s">
        <v>623</v>
      </c>
      <c r="E54" s="9">
        <v>29906</v>
      </c>
      <c r="F54" s="1" t="str">
        <f>VLOOKUP(D54,Table12[[Name]:[Native]],3,FALSE)</f>
        <v>高平市</v>
      </c>
      <c r="G54" s="12" t="str">
        <f ca="1">VLOOKUP(F54,Table12[[Native]:[Population4]],5,FALSE)</f>
        <v>晋城市</v>
      </c>
    </row>
    <row r="55" spans="1:7" ht="15.75" thickBot="1" x14ac:dyDescent="0.3">
      <c r="A55" t="s">
        <v>721</v>
      </c>
      <c r="B55" s="1" t="s">
        <v>722</v>
      </c>
      <c r="C55" s="1" t="s">
        <v>31</v>
      </c>
      <c r="D55" s="1" t="s">
        <v>623</v>
      </c>
      <c r="E55" s="9">
        <v>66032</v>
      </c>
      <c r="F55" s="1" t="str">
        <f>VLOOKUP(D55,Table12[[Name]:[Native]],3,FALSE)</f>
        <v>高平市</v>
      </c>
      <c r="G55" s="12" t="str">
        <f ca="1">VLOOKUP(F55,Table12[[Native]:[Population4]],5,FALSE)</f>
        <v>晋城市</v>
      </c>
    </row>
    <row r="56" spans="1:7" ht="15.75" thickBot="1" x14ac:dyDescent="0.3">
      <c r="A56" t="s">
        <v>459</v>
      </c>
      <c r="B56" s="1" t="s">
        <v>460</v>
      </c>
      <c r="C56" s="1" t="s">
        <v>7</v>
      </c>
      <c r="D56" s="1" t="s">
        <v>617</v>
      </c>
      <c r="E56" s="9">
        <v>48926</v>
      </c>
      <c r="F56" s="1" t="str">
        <f>VLOOKUP(D56,Table12[[Name]:[Native]],3,FALSE)</f>
        <v>泽州县</v>
      </c>
      <c r="G56" s="12" t="str">
        <f ca="1">VLOOKUP(F56,Table12[[Native]:[Population4]],5,FALSE)</f>
        <v>晋城市</v>
      </c>
    </row>
    <row r="57" spans="1:7" ht="15.75" thickBot="1" x14ac:dyDescent="0.3">
      <c r="A57" t="s">
        <v>467</v>
      </c>
      <c r="B57" s="1" t="s">
        <v>468</v>
      </c>
      <c r="C57" s="1" t="s">
        <v>31</v>
      </c>
      <c r="D57" s="1" t="s">
        <v>624</v>
      </c>
      <c r="E57" s="9">
        <v>51947</v>
      </c>
      <c r="F57" s="1" t="str">
        <f>VLOOKUP(D57,Table12[[Name]:[Native]],3,FALSE)</f>
        <v>城区</v>
      </c>
      <c r="G57" s="12" t="str">
        <f ca="1">VLOOKUP(F57,Table12[[Native]:[Population4]],5,FALSE)</f>
        <v>晋城市</v>
      </c>
    </row>
    <row r="58" spans="1:7" ht="15.75" thickBot="1" x14ac:dyDescent="0.3">
      <c r="A58" t="s">
        <v>723</v>
      </c>
      <c r="B58" s="1" t="s">
        <v>724</v>
      </c>
      <c r="C58" s="1" t="s">
        <v>17</v>
      </c>
      <c r="D58" s="1" t="s">
        <v>617</v>
      </c>
      <c r="E58" s="9">
        <v>6224</v>
      </c>
      <c r="F58" s="1" t="str">
        <f>VLOOKUP(D58,Table12[[Name]:[Native]],3,FALSE)</f>
        <v>泽州县</v>
      </c>
      <c r="G58" s="12" t="str">
        <f ca="1">VLOOKUP(F58,Table12[[Native]:[Population4]],5,FALSE)</f>
        <v>晋城市</v>
      </c>
    </row>
    <row r="59" spans="1:7" ht="15.75" thickBot="1" x14ac:dyDescent="0.3">
      <c r="A59" t="s">
        <v>725</v>
      </c>
      <c r="B59" s="1" t="s">
        <v>726</v>
      </c>
      <c r="C59" s="1" t="s">
        <v>7</v>
      </c>
      <c r="D59" s="1" t="s">
        <v>637</v>
      </c>
      <c r="E59" s="9">
        <v>21742</v>
      </c>
      <c r="F59" s="1" t="str">
        <f>VLOOKUP(D59,Table12[[Name]:[Native]],3,FALSE)</f>
        <v>陵川县</v>
      </c>
      <c r="G59" s="12" t="str">
        <f ca="1">VLOOKUP(F59,Table12[[Native]:[Population4]],5,FALSE)</f>
        <v>晋城市</v>
      </c>
    </row>
    <row r="60" spans="1:7" ht="15.75" thickBot="1" x14ac:dyDescent="0.3">
      <c r="A60" t="s">
        <v>727</v>
      </c>
      <c r="B60" s="1" t="s">
        <v>728</v>
      </c>
      <c r="C60" s="1" t="s">
        <v>7</v>
      </c>
      <c r="D60" s="1" t="s">
        <v>620</v>
      </c>
      <c r="E60" s="9">
        <v>15502</v>
      </c>
      <c r="F60" s="1" t="str">
        <f>VLOOKUP(D60,Table12[[Name]:[Native]],3,FALSE)</f>
        <v>阳城县</v>
      </c>
      <c r="G60" s="12" t="str">
        <f ca="1">VLOOKUP(F60,Table12[[Native]:[Population4]],5,FALSE)</f>
        <v>晋城市</v>
      </c>
    </row>
    <row r="61" spans="1:7" ht="15.75" thickBot="1" x14ac:dyDescent="0.3">
      <c r="A61" t="s">
        <v>729</v>
      </c>
      <c r="B61" s="1" t="s">
        <v>730</v>
      </c>
      <c r="C61" s="1" t="s">
        <v>17</v>
      </c>
      <c r="D61" s="1" t="s">
        <v>637</v>
      </c>
      <c r="E61" s="9">
        <v>11077</v>
      </c>
      <c r="F61" s="1" t="str">
        <f>VLOOKUP(D61,Table12[[Name]:[Native]],3,FALSE)</f>
        <v>陵川县</v>
      </c>
      <c r="G61" s="12" t="str">
        <f ca="1">VLOOKUP(F61,Table12[[Native]:[Population4]],5,FALSE)</f>
        <v>晋城市</v>
      </c>
    </row>
    <row r="62" spans="1:7" ht="15.75" thickBot="1" x14ac:dyDescent="0.3">
      <c r="A62" t="s">
        <v>731</v>
      </c>
      <c r="B62" s="1" t="s">
        <v>732</v>
      </c>
      <c r="C62" s="1" t="s">
        <v>7</v>
      </c>
      <c r="D62" s="1" t="s">
        <v>620</v>
      </c>
      <c r="E62" s="9">
        <v>34051</v>
      </c>
      <c r="F62" s="1" t="str">
        <f>VLOOKUP(D62,Table12[[Name]:[Native]],3,FALSE)</f>
        <v>阳城县</v>
      </c>
      <c r="G62" s="12" t="str">
        <f ca="1">VLOOKUP(F62,Table12[[Native]:[Population4]],5,FALSE)</f>
        <v>晋城市</v>
      </c>
    </row>
    <row r="63" spans="1:7" ht="15.75" thickBot="1" x14ac:dyDescent="0.3">
      <c r="A63" t="s">
        <v>733</v>
      </c>
      <c r="B63" s="1" t="s">
        <v>734</v>
      </c>
      <c r="C63" s="1" t="s">
        <v>7</v>
      </c>
      <c r="D63" s="1" t="s">
        <v>623</v>
      </c>
      <c r="E63" s="9">
        <v>22916</v>
      </c>
      <c r="F63" s="1" t="str">
        <f>VLOOKUP(D63,Table12[[Name]:[Native]],3,FALSE)</f>
        <v>高平市</v>
      </c>
      <c r="G63" s="12" t="str">
        <f ca="1">VLOOKUP(F63,Table12[[Native]:[Population4]],5,FALSE)</f>
        <v>晋城市</v>
      </c>
    </row>
    <row r="64" spans="1:7" ht="15.75" thickBot="1" x14ac:dyDescent="0.3">
      <c r="A64" t="s">
        <v>735</v>
      </c>
      <c r="B64" s="1" t="s">
        <v>736</v>
      </c>
      <c r="C64" s="1" t="s">
        <v>7</v>
      </c>
      <c r="D64" s="1" t="s">
        <v>617</v>
      </c>
      <c r="E64" s="9">
        <v>22400</v>
      </c>
      <c r="F64" s="1" t="str">
        <f>VLOOKUP(D64,Table12[[Name]:[Native]],3,FALSE)</f>
        <v>泽州县</v>
      </c>
      <c r="G64" s="12" t="str">
        <f ca="1">VLOOKUP(F64,Table12[[Native]:[Population4]],5,FALSE)</f>
        <v>晋城市</v>
      </c>
    </row>
    <row r="65" spans="1:7" ht="15.75" thickBot="1" x14ac:dyDescent="0.3">
      <c r="A65" t="s">
        <v>737</v>
      </c>
      <c r="B65" s="1" t="s">
        <v>738</v>
      </c>
      <c r="C65" s="1" t="s">
        <v>7</v>
      </c>
      <c r="D65" s="1" t="s">
        <v>623</v>
      </c>
      <c r="E65" s="9">
        <v>21020</v>
      </c>
      <c r="F65" s="1" t="str">
        <f>VLOOKUP(D65,Table12[[Name]:[Native]],3,FALSE)</f>
        <v>高平市</v>
      </c>
      <c r="G65" s="12" t="str">
        <f ca="1">VLOOKUP(F65,Table12[[Native]:[Population4]],5,FALSE)</f>
        <v>晋城市</v>
      </c>
    </row>
    <row r="66" spans="1:7" ht="15.75" thickBot="1" x14ac:dyDescent="0.3">
      <c r="A66" t="s">
        <v>739</v>
      </c>
      <c r="B66" s="1" t="s">
        <v>740</v>
      </c>
      <c r="C66" s="1" t="s">
        <v>17</v>
      </c>
      <c r="D66" s="1" t="s">
        <v>659</v>
      </c>
      <c r="E66" s="9">
        <v>7307</v>
      </c>
      <c r="F66" s="1" t="str">
        <f>VLOOKUP(D66,Table12[[Name]:[Native]],3,FALSE)</f>
        <v>沁水县</v>
      </c>
      <c r="G66" s="12" t="str">
        <f ca="1">VLOOKUP(F66,Table12[[Native]:[Population4]],5,FALSE)</f>
        <v>晋城市</v>
      </c>
    </row>
    <row r="67" spans="1:7" ht="15.75" thickBot="1" x14ac:dyDescent="0.3">
      <c r="A67" t="s">
        <v>741</v>
      </c>
      <c r="B67" s="1" t="s">
        <v>742</v>
      </c>
      <c r="C67" s="1" t="s">
        <v>17</v>
      </c>
      <c r="D67" s="1" t="s">
        <v>623</v>
      </c>
      <c r="E67" s="9">
        <v>15293</v>
      </c>
      <c r="F67" s="1" t="str">
        <f>VLOOKUP(D67,Table12[[Name]:[Native]],3,FALSE)</f>
        <v>高平市</v>
      </c>
      <c r="G67" s="12" t="str">
        <f ca="1">VLOOKUP(F67,Table12[[Native]:[Population4]],5,FALSE)</f>
        <v>晋城市</v>
      </c>
    </row>
    <row r="68" spans="1:7" ht="15.75" thickBot="1" x14ac:dyDescent="0.3">
      <c r="A68" t="s">
        <v>743</v>
      </c>
      <c r="B68" s="1" t="s">
        <v>744</v>
      </c>
      <c r="C68" s="1" t="s">
        <v>7</v>
      </c>
      <c r="D68" s="1" t="s">
        <v>659</v>
      </c>
      <c r="E68" s="9">
        <v>9568</v>
      </c>
      <c r="F68" s="1" t="str">
        <f>VLOOKUP(D68,Table12[[Name]:[Native]],3,FALSE)</f>
        <v>沁水县</v>
      </c>
      <c r="G68" s="12" t="str">
        <f ca="1">VLOOKUP(F68,Table12[[Native]:[Population4]],5,FALSE)</f>
        <v>晋城市</v>
      </c>
    </row>
    <row r="69" spans="1:7" ht="15.75" thickBot="1" x14ac:dyDescent="0.3">
      <c r="A69" t="s">
        <v>745</v>
      </c>
      <c r="B69" s="1" t="s">
        <v>746</v>
      </c>
      <c r="C69" s="1" t="s">
        <v>17</v>
      </c>
      <c r="D69" s="1" t="s">
        <v>620</v>
      </c>
      <c r="E69" s="9">
        <v>8786</v>
      </c>
      <c r="F69" s="1" t="str">
        <f>VLOOKUP(D69,Table12[[Name]:[Native]],3,FALSE)</f>
        <v>阳城县</v>
      </c>
      <c r="G69" s="12" t="str">
        <f ca="1">VLOOKUP(F69,Table12[[Native]:[Population4]],5,FALSE)</f>
        <v>晋城市</v>
      </c>
    </row>
    <row r="70" spans="1:7" ht="15.75" thickBot="1" x14ac:dyDescent="0.3">
      <c r="A70" t="s">
        <v>747</v>
      </c>
      <c r="B70" s="1" t="s">
        <v>748</v>
      </c>
      <c r="C70" s="1" t="s">
        <v>7</v>
      </c>
      <c r="D70" s="1" t="s">
        <v>623</v>
      </c>
      <c r="E70" s="9">
        <v>42936</v>
      </c>
      <c r="F70" s="1" t="str">
        <f>VLOOKUP(D70,Table12[[Name]:[Native]],3,FALSE)</f>
        <v>高平市</v>
      </c>
      <c r="G70" s="12" t="str">
        <f ca="1">VLOOKUP(F70,Table12[[Native]:[Population4]],5,FALSE)</f>
        <v>晋城市</v>
      </c>
    </row>
    <row r="71" spans="1:7" ht="15.75" thickBot="1" x14ac:dyDescent="0.3">
      <c r="A71" t="s">
        <v>749</v>
      </c>
      <c r="B71" s="1" t="s">
        <v>750</v>
      </c>
      <c r="C71" s="1" t="s">
        <v>17</v>
      </c>
      <c r="D71" s="1" t="s">
        <v>659</v>
      </c>
      <c r="E71" s="9">
        <v>1421</v>
      </c>
      <c r="F71" s="1" t="str">
        <f>VLOOKUP(D71,Table12[[Name]:[Native]],3,FALSE)</f>
        <v>沁水县</v>
      </c>
      <c r="G71" s="12" t="str">
        <f ca="1">VLOOKUP(F71,Table12[[Native]:[Population4]],5,FALSE)</f>
        <v>晋城市</v>
      </c>
    </row>
    <row r="72" spans="1:7" ht="15.75" thickBot="1" x14ac:dyDescent="0.3">
      <c r="A72" t="s">
        <v>751</v>
      </c>
      <c r="B72" s="1" t="s">
        <v>752</v>
      </c>
      <c r="C72" s="1" t="s">
        <v>17</v>
      </c>
      <c r="D72" s="1" t="s">
        <v>659</v>
      </c>
      <c r="E72" s="9">
        <v>4886</v>
      </c>
      <c r="F72" s="1" t="str">
        <f>VLOOKUP(D72,Table12[[Name]:[Native]],3,FALSE)</f>
        <v>沁水县</v>
      </c>
      <c r="G72" s="12" t="str">
        <f ca="1">VLOOKUP(F72,Table12[[Native]:[Population4]],5,FALSE)</f>
        <v>晋城市</v>
      </c>
    </row>
    <row r="73" spans="1:7" ht="15.75" thickBot="1" x14ac:dyDescent="0.3">
      <c r="A73" t="s">
        <v>753</v>
      </c>
      <c r="B73" s="1" t="s">
        <v>754</v>
      </c>
      <c r="C73" s="1" t="s">
        <v>7</v>
      </c>
      <c r="D73" s="1" t="s">
        <v>617</v>
      </c>
      <c r="E73" s="9">
        <v>46926</v>
      </c>
      <c r="F73" s="1" t="str">
        <f>VLOOKUP(D73,Table12[[Name]:[Native]],3,FALSE)</f>
        <v>泽州县</v>
      </c>
      <c r="G73" s="12" t="str">
        <f ca="1">VLOOKUP(F73,Table12[[Native]:[Population4]],5,FALSE)</f>
        <v>晋城市</v>
      </c>
    </row>
    <row r="74" spans="1:7" ht="15.75" thickBot="1" x14ac:dyDescent="0.3">
      <c r="A74" t="s">
        <v>755</v>
      </c>
      <c r="B74" s="1" t="s">
        <v>756</v>
      </c>
      <c r="C74" s="1" t="s">
        <v>7</v>
      </c>
      <c r="D74" s="1" t="s">
        <v>637</v>
      </c>
      <c r="E74" s="9">
        <v>17400</v>
      </c>
      <c r="F74" s="1" t="str">
        <f>VLOOKUP(D74,Table12[[Name]:[Native]],3,FALSE)</f>
        <v>陵川县</v>
      </c>
      <c r="G74" s="12" t="str">
        <f ca="1">VLOOKUP(F74,Table12[[Native]:[Population4]],5,FALSE)</f>
        <v>晋城市</v>
      </c>
    </row>
    <row r="75" spans="1:7" ht="15.75" thickBot="1" x14ac:dyDescent="0.3">
      <c r="A75" t="s">
        <v>757</v>
      </c>
      <c r="B75" s="1" t="s">
        <v>758</v>
      </c>
      <c r="C75" s="1" t="s">
        <v>17</v>
      </c>
      <c r="D75" s="1" t="s">
        <v>620</v>
      </c>
      <c r="E75" s="9">
        <v>15941</v>
      </c>
      <c r="F75" s="1" t="str">
        <f>VLOOKUP(D75,Table12[[Name]:[Native]],3,FALSE)</f>
        <v>阳城县</v>
      </c>
      <c r="G75" s="12" t="str">
        <f ca="1">VLOOKUP(F75,Table12[[Native]:[Population4]],5,FALSE)</f>
        <v>晋城市</v>
      </c>
    </row>
    <row r="76" spans="1:7" ht="15.75" thickBot="1" x14ac:dyDescent="0.3">
      <c r="A76" t="s">
        <v>275</v>
      </c>
      <c r="B76" s="1" t="s">
        <v>276</v>
      </c>
      <c r="C76" s="1" t="s">
        <v>31</v>
      </c>
      <c r="D76" s="1" t="s">
        <v>624</v>
      </c>
      <c r="E76" s="9">
        <v>57791</v>
      </c>
      <c r="F76" s="1" t="str">
        <f>VLOOKUP(D76,Table12[[Name]:[Native]],3,FALSE)</f>
        <v>城区</v>
      </c>
      <c r="G76" s="12" t="str">
        <f ca="1">VLOOKUP(F76,Table12[[Native]:[Population4]],5,FALSE)</f>
        <v>晋城市</v>
      </c>
    </row>
    <row r="77" spans="1:7" ht="15.75" thickBot="1" x14ac:dyDescent="0.3">
      <c r="A77" t="s">
        <v>759</v>
      </c>
      <c r="B77" s="1" t="s">
        <v>760</v>
      </c>
      <c r="C77" s="1" t="s">
        <v>31</v>
      </c>
      <c r="D77" s="1" t="s">
        <v>624</v>
      </c>
      <c r="E77" s="9">
        <v>36460</v>
      </c>
      <c r="F77" s="1" t="str">
        <f>VLOOKUP(D77,Table12[[Name]:[Native]],3,FALSE)</f>
        <v>城区</v>
      </c>
      <c r="G77" s="12" t="str">
        <f ca="1">VLOOKUP(F77,Table12[[Native]:[Population4]],5,FALSE)</f>
        <v>晋城市</v>
      </c>
    </row>
    <row r="78" spans="1:7" ht="15.75" thickBot="1" x14ac:dyDescent="0.3">
      <c r="A78" t="s">
        <v>761</v>
      </c>
      <c r="B78" s="1" t="s">
        <v>762</v>
      </c>
      <c r="C78" s="1" t="s">
        <v>7</v>
      </c>
      <c r="D78" s="1" t="s">
        <v>637</v>
      </c>
      <c r="E78" s="9">
        <v>16223</v>
      </c>
      <c r="F78" s="1" t="str">
        <f>VLOOKUP(D78,Table12[[Name]:[Native]],3,FALSE)</f>
        <v>陵川县</v>
      </c>
      <c r="G78" s="12" t="str">
        <f ca="1">VLOOKUP(F78,Table12[[Native]:[Population4]],5,FALSE)</f>
        <v>晋城市</v>
      </c>
    </row>
    <row r="79" spans="1:7" ht="15.75" thickBot="1" x14ac:dyDescent="0.3">
      <c r="A79" t="s">
        <v>763</v>
      </c>
      <c r="B79" s="1" t="s">
        <v>764</v>
      </c>
      <c r="C79" s="1" t="s">
        <v>17</v>
      </c>
      <c r="D79" s="1" t="s">
        <v>620</v>
      </c>
      <c r="E79" s="9">
        <v>12726</v>
      </c>
      <c r="F79" s="1" t="str">
        <f>VLOOKUP(D79,Table12[[Name]:[Native]],3,FALSE)</f>
        <v>阳城县</v>
      </c>
      <c r="G79" s="12" t="str">
        <f ca="1">VLOOKUP(F79,Table12[[Native]:[Population4]],5,FALSE)</f>
        <v>晋城市</v>
      </c>
    </row>
    <row r="80" spans="1:7" ht="15.75" thickBot="1" x14ac:dyDescent="0.3">
      <c r="A80" t="s">
        <v>765</v>
      </c>
      <c r="B80" s="1" t="s">
        <v>766</v>
      </c>
      <c r="C80" s="1" t="s">
        <v>7</v>
      </c>
      <c r="D80" s="1" t="s">
        <v>623</v>
      </c>
      <c r="E80" s="9">
        <v>21027</v>
      </c>
      <c r="F80" s="1" t="str">
        <f>VLOOKUP(D80,Table12[[Name]:[Native]],3,FALSE)</f>
        <v>高平市</v>
      </c>
      <c r="G80" s="12" t="str">
        <f ca="1">VLOOKUP(F80,Table12[[Native]:[Population4]],5,FALSE)</f>
        <v>晋城市</v>
      </c>
    </row>
    <row r="81" spans="1:7" ht="15.75" thickBot="1" x14ac:dyDescent="0.3">
      <c r="A81" t="s">
        <v>767</v>
      </c>
      <c r="B81" s="1" t="s">
        <v>768</v>
      </c>
      <c r="C81" s="1" t="s">
        <v>17</v>
      </c>
      <c r="D81" s="1" t="s">
        <v>623</v>
      </c>
      <c r="E81" s="9">
        <v>11605</v>
      </c>
      <c r="F81" s="1" t="str">
        <f>VLOOKUP(D81,Table12[[Name]:[Native]],3,FALSE)</f>
        <v>高平市</v>
      </c>
      <c r="G81" s="12" t="str">
        <f ca="1">VLOOKUP(F81,Table12[[Native]:[Population4]],5,FALSE)</f>
        <v>晋城市</v>
      </c>
    </row>
    <row r="82" spans="1:7" ht="15.75" thickBot="1" x14ac:dyDescent="0.3">
      <c r="A82" t="s">
        <v>769</v>
      </c>
      <c r="B82" s="1" t="s">
        <v>770</v>
      </c>
      <c r="C82" s="1" t="s">
        <v>17</v>
      </c>
      <c r="D82" s="1" t="s">
        <v>623</v>
      </c>
      <c r="E82" s="9">
        <v>19224</v>
      </c>
      <c r="F82" s="1" t="str">
        <f>VLOOKUP(D82,Table12[[Name]:[Native]],3,FALSE)</f>
        <v>高平市</v>
      </c>
      <c r="G82" s="12" t="str">
        <f ca="1">VLOOKUP(F82,Table12[[Native]:[Population4]],5,FALSE)</f>
        <v>晋城市</v>
      </c>
    </row>
    <row r="83" spans="1:7" ht="15.75" thickBot="1" x14ac:dyDescent="0.3">
      <c r="A83" t="s">
        <v>771</v>
      </c>
      <c r="B83" s="1" t="s">
        <v>772</v>
      </c>
      <c r="C83" s="1" t="s">
        <v>17</v>
      </c>
      <c r="D83" s="1" t="s">
        <v>659</v>
      </c>
      <c r="E83" s="9">
        <v>3825</v>
      </c>
      <c r="F83" s="1" t="str">
        <f>VLOOKUP(D83,Table12[[Name]:[Native]],3,FALSE)</f>
        <v>沁水县</v>
      </c>
      <c r="G83" s="12" t="str">
        <f ca="1">VLOOKUP(F83,Table12[[Native]:[Population4]],5,FALSE)</f>
        <v>晋城市</v>
      </c>
    </row>
    <row r="84" spans="1:7" ht="15.75" thickBot="1" x14ac:dyDescent="0.3">
      <c r="A84" t="s">
        <v>773</v>
      </c>
      <c r="B84" s="1" t="s">
        <v>774</v>
      </c>
      <c r="C84" s="1" t="s">
        <v>7</v>
      </c>
      <c r="D84" s="1" t="s">
        <v>659</v>
      </c>
      <c r="E84" s="9">
        <v>15992</v>
      </c>
      <c r="F84" s="1" t="str">
        <f>VLOOKUP(D84,Table12[[Name]:[Native]],3,FALSE)</f>
        <v>沁水县</v>
      </c>
      <c r="G84" s="12" t="str">
        <f ca="1">VLOOKUP(F84,Table12[[Native]:[Population4]],5,FALSE)</f>
        <v>晋城市</v>
      </c>
    </row>
    <row r="85" spans="1:7" ht="15.75" thickBot="1" x14ac:dyDescent="0.3">
      <c r="A85" t="s">
        <v>775</v>
      </c>
      <c r="B85" s="1" t="s">
        <v>776</v>
      </c>
      <c r="C85" s="1" t="s">
        <v>7</v>
      </c>
      <c r="D85" s="1" t="s">
        <v>659</v>
      </c>
      <c r="E85" s="9">
        <v>14392</v>
      </c>
      <c r="F85" s="1" t="str">
        <f>VLOOKUP(D85,Table12[[Name]:[Native]],3,FALSE)</f>
        <v>沁水县</v>
      </c>
      <c r="G85" s="12" t="str">
        <f ca="1">VLOOKUP(F85,Table12[[Native]:[Population4]],5,FALSE)</f>
        <v>晋城市</v>
      </c>
    </row>
    <row r="86" spans="1:7" ht="15.75" thickBot="1" x14ac:dyDescent="0.3">
      <c r="A86" t="s">
        <v>777</v>
      </c>
      <c r="B86" s="1" t="s">
        <v>778</v>
      </c>
      <c r="C86" s="1" t="s">
        <v>7</v>
      </c>
      <c r="D86" s="1" t="s">
        <v>659</v>
      </c>
      <c r="E86" s="9">
        <v>13053</v>
      </c>
      <c r="F86" s="1" t="str">
        <f>VLOOKUP(D86,Table12[[Name]:[Native]],3,FALSE)</f>
        <v>沁水县</v>
      </c>
      <c r="G86" s="12" t="str">
        <f ca="1">VLOOKUP(F86,Table12[[Native]:[Population4]],5,FALSE)</f>
        <v>晋城市</v>
      </c>
    </row>
    <row r="87" spans="1:7" ht="15.75" thickBot="1" x14ac:dyDescent="0.3">
      <c r="A87" t="s">
        <v>779</v>
      </c>
      <c r="B87" s="1" t="s">
        <v>780</v>
      </c>
      <c r="C87" s="1" t="s">
        <v>31</v>
      </c>
      <c r="D87" s="1" t="s">
        <v>624</v>
      </c>
      <c r="E87" s="9">
        <v>111078</v>
      </c>
      <c r="F87" s="1" t="str">
        <f>VLOOKUP(D87,Table12[[Name]:[Native]],3,FALSE)</f>
        <v>城区</v>
      </c>
      <c r="G87" s="12" t="str">
        <f ca="1">VLOOKUP(F87,Table12[[Native]:[Population4]],5,FALSE)</f>
        <v>晋城市</v>
      </c>
    </row>
    <row r="88" spans="1:7" ht="15.75" thickBot="1" x14ac:dyDescent="0.3">
      <c r="A88" t="s">
        <v>781</v>
      </c>
      <c r="B88" s="1" t="s">
        <v>782</v>
      </c>
      <c r="C88" s="1" t="s">
        <v>7</v>
      </c>
      <c r="D88" s="1" t="s">
        <v>617</v>
      </c>
      <c r="E88" s="9">
        <v>23483</v>
      </c>
      <c r="F88" s="8" t="str">
        <f>VLOOKUP(D88,Table12[[Name]:[Native]],3,FALSE)</f>
        <v>泽州县</v>
      </c>
      <c r="G88" s="12" t="str">
        <f ca="1">VLOOKUP(F88,Table12[[Native]:[Population4]],5,FALSE)</f>
        <v>晋城市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D7892-8B8A-4674-9199-C2A616F58FFA}">
  <dimension ref="A1:G142"/>
  <sheetViews>
    <sheetView topLeftCell="A117" workbookViewId="0">
      <selection activeCell="G2" sqref="A2:G142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783</v>
      </c>
      <c r="B2" s="1" t="s">
        <v>784</v>
      </c>
      <c r="C2" s="1" t="s">
        <v>31</v>
      </c>
      <c r="D2" s="1" t="s">
        <v>785</v>
      </c>
      <c r="E2" s="9">
        <v>68045</v>
      </c>
      <c r="F2" s="7" t="str">
        <f>VLOOKUP(D2,Table12[[Name]:[Native]],3,FALSE)</f>
        <v>榆次区</v>
      </c>
      <c r="G2" s="12" t="str">
        <f ca="1">VLOOKUP(F2,Table12[[Native]:[Population4]],5,FALSE)</f>
        <v>晋中市</v>
      </c>
    </row>
    <row r="3" spans="1:7" ht="15.75" thickBot="1" x14ac:dyDescent="0.3">
      <c r="A3" t="s">
        <v>786</v>
      </c>
      <c r="B3" s="1" t="s">
        <v>787</v>
      </c>
      <c r="C3" s="1" t="s">
        <v>31</v>
      </c>
      <c r="D3" s="1" t="s">
        <v>788</v>
      </c>
      <c r="E3" s="9">
        <v>14632</v>
      </c>
      <c r="F3" s="1" t="str">
        <f>VLOOKUP(D3,Table12[[Name]:[Native]],3,FALSE)</f>
        <v>灵石县</v>
      </c>
      <c r="G3" s="12" t="str">
        <f ca="1">VLOOKUP(F3,Table12[[Native]:[Population4]],5,FALSE)</f>
        <v>晋中市</v>
      </c>
    </row>
    <row r="4" spans="1:7" ht="15.75" thickBot="1" x14ac:dyDescent="0.3">
      <c r="A4" t="s">
        <v>335</v>
      </c>
      <c r="B4" s="1" t="s">
        <v>336</v>
      </c>
      <c r="C4" s="1" t="s">
        <v>31</v>
      </c>
      <c r="D4" s="1" t="s">
        <v>785</v>
      </c>
      <c r="E4" s="9">
        <v>24165</v>
      </c>
      <c r="F4" s="1" t="str">
        <f>VLOOKUP(D4,Table12[[Name]:[Native]],3,FALSE)</f>
        <v>榆次区</v>
      </c>
      <c r="G4" s="12" t="str">
        <f ca="1">VLOOKUP(F4,Table12[[Native]:[Population4]],5,FALSE)</f>
        <v>晋中市</v>
      </c>
    </row>
    <row r="5" spans="1:7" ht="15.75" thickBot="1" x14ac:dyDescent="0.3">
      <c r="A5" t="s">
        <v>335</v>
      </c>
      <c r="B5" s="1" t="s">
        <v>336</v>
      </c>
      <c r="C5" s="1" t="s">
        <v>31</v>
      </c>
      <c r="D5" s="1" t="s">
        <v>789</v>
      </c>
      <c r="E5" s="9">
        <v>21048</v>
      </c>
      <c r="F5" s="1" t="str">
        <f>VLOOKUP(D5,Table12[[Name]:[Native]],3,FALSE)</f>
        <v>介休市</v>
      </c>
      <c r="G5" s="12" t="str">
        <f ca="1">VLOOKUP(F5,Table12[[Native]:[Population4]],5,FALSE)</f>
        <v>晋中市</v>
      </c>
    </row>
    <row r="6" spans="1:7" ht="15.75" thickBot="1" x14ac:dyDescent="0.3">
      <c r="A6" t="s">
        <v>790</v>
      </c>
      <c r="B6" s="1" t="s">
        <v>791</v>
      </c>
      <c r="C6" s="1" t="s">
        <v>31</v>
      </c>
      <c r="D6" s="1" t="s">
        <v>789</v>
      </c>
      <c r="E6" s="9">
        <v>16635</v>
      </c>
      <c r="F6" s="1" t="str">
        <f>VLOOKUP(D6,Table12[[Name]:[Native]],3,FALSE)</f>
        <v>介休市</v>
      </c>
      <c r="G6" s="12" t="str">
        <f ca="1">VLOOKUP(F6,Table12[[Native]:[Population4]],5,FALSE)</f>
        <v>晋中市</v>
      </c>
    </row>
    <row r="7" spans="1:7" ht="15.75" thickBot="1" x14ac:dyDescent="0.3">
      <c r="A7" t="s">
        <v>792</v>
      </c>
      <c r="B7" s="1" t="s">
        <v>793</v>
      </c>
      <c r="C7" s="1" t="s">
        <v>7</v>
      </c>
      <c r="D7" s="1" t="s">
        <v>785</v>
      </c>
      <c r="E7" s="9">
        <v>20250</v>
      </c>
      <c r="F7" s="1" t="str">
        <f>VLOOKUP(D7,Table12[[Name]:[Native]],3,FALSE)</f>
        <v>榆次区</v>
      </c>
      <c r="G7" s="12" t="str">
        <f ca="1">VLOOKUP(F7,Table12[[Native]:[Population4]],5,FALSE)</f>
        <v>晋中市</v>
      </c>
    </row>
    <row r="8" spans="1:7" ht="15.75" thickBot="1" x14ac:dyDescent="0.3">
      <c r="A8" t="s">
        <v>794</v>
      </c>
      <c r="B8" s="1" t="s">
        <v>795</v>
      </c>
      <c r="C8" s="1" t="s">
        <v>17</v>
      </c>
      <c r="D8" s="1" t="s">
        <v>796</v>
      </c>
      <c r="E8" s="9">
        <v>22690</v>
      </c>
      <c r="F8" s="1" t="str">
        <f>VLOOKUP(D8,Table12[[Name]:[Native]],3,FALSE)</f>
        <v>太谷区</v>
      </c>
      <c r="G8" s="12" t="str">
        <f ca="1">VLOOKUP(F8,Table12[[Native]:[Population4]],5,FALSE)</f>
        <v>晋中市</v>
      </c>
    </row>
    <row r="9" spans="1:7" ht="15.75" thickBot="1" x14ac:dyDescent="0.3">
      <c r="A9" t="s">
        <v>797</v>
      </c>
      <c r="B9" s="1" t="s">
        <v>798</v>
      </c>
      <c r="C9" s="1" t="s">
        <v>17</v>
      </c>
      <c r="D9" s="1" t="s">
        <v>799</v>
      </c>
      <c r="E9" s="9">
        <v>6656</v>
      </c>
      <c r="F9" s="1" t="str">
        <f>VLOOKUP(D9,Table12[[Name]:[Native]],3,FALSE)</f>
        <v>榆社县</v>
      </c>
      <c r="G9" s="12" t="str">
        <f ca="1">VLOOKUP(F9,Table12[[Native]:[Population4]],5,FALSE)</f>
        <v>晋中市</v>
      </c>
    </row>
    <row r="10" spans="1:7" ht="15.75" thickBot="1" x14ac:dyDescent="0.3">
      <c r="A10" t="s">
        <v>800</v>
      </c>
      <c r="B10" s="1" t="s">
        <v>801</v>
      </c>
      <c r="C10" s="1" t="s">
        <v>17</v>
      </c>
      <c r="D10" s="1" t="s">
        <v>802</v>
      </c>
      <c r="E10" s="9">
        <v>33596</v>
      </c>
      <c r="F10" s="1" t="str">
        <f>VLOOKUP(D10,Table12[[Name]:[Native]],3,FALSE)</f>
        <v>平遥县</v>
      </c>
      <c r="G10" s="12" t="str">
        <f ca="1">VLOOKUP(F10,Table12[[Native]:[Population4]],5,FALSE)</f>
        <v>晋中市</v>
      </c>
    </row>
    <row r="11" spans="1:7" ht="15.75" thickBot="1" x14ac:dyDescent="0.3">
      <c r="A11" t="s">
        <v>803</v>
      </c>
      <c r="B11" s="1" t="s">
        <v>804</v>
      </c>
      <c r="C11" s="1" t="s">
        <v>7</v>
      </c>
      <c r="D11" s="1" t="s">
        <v>785</v>
      </c>
      <c r="E11" s="9">
        <v>9477</v>
      </c>
      <c r="F11" s="1" t="str">
        <f>VLOOKUP(D11,Table12[[Name]:[Native]],3,FALSE)</f>
        <v>榆次区</v>
      </c>
      <c r="G11" s="12" t="str">
        <f ca="1">VLOOKUP(F11,Table12[[Native]:[Population4]],5,FALSE)</f>
        <v>晋中市</v>
      </c>
    </row>
    <row r="12" spans="1:7" ht="15.75" thickBot="1" x14ac:dyDescent="0.3">
      <c r="A12" t="s">
        <v>805</v>
      </c>
      <c r="B12" s="1" t="s">
        <v>806</v>
      </c>
      <c r="C12" s="1" t="s">
        <v>31</v>
      </c>
      <c r="D12" s="1" t="s">
        <v>807</v>
      </c>
      <c r="E12" s="9">
        <v>19871</v>
      </c>
      <c r="F12" s="1" t="str">
        <f>VLOOKUP(D12,Table12[[Name]:[Native]],3,FALSE)</f>
        <v>祁县</v>
      </c>
      <c r="G12" s="12" t="str">
        <f ca="1">VLOOKUP(F12,Table12[[Native]:[Population4]],5,FALSE)</f>
        <v>晋中市</v>
      </c>
    </row>
    <row r="13" spans="1:7" ht="15.75" thickBot="1" x14ac:dyDescent="0.3">
      <c r="A13" t="s">
        <v>808</v>
      </c>
      <c r="B13" s="1" t="s">
        <v>809</v>
      </c>
      <c r="C13" s="1" t="s">
        <v>7</v>
      </c>
      <c r="D13" s="1" t="s">
        <v>810</v>
      </c>
      <c r="E13" s="9">
        <v>89216</v>
      </c>
      <c r="F13" s="1" t="str">
        <f>VLOOKUP(D13,Table12[[Name]:[Native]],3,FALSE)</f>
        <v>寿阳县</v>
      </c>
      <c r="G13" s="12" t="str">
        <f ca="1">VLOOKUP(F13,Table12[[Native]:[Population4]],5,FALSE)</f>
        <v>晋中市</v>
      </c>
    </row>
    <row r="14" spans="1:7" ht="15.75" thickBot="1" x14ac:dyDescent="0.3">
      <c r="A14" t="s">
        <v>811</v>
      </c>
      <c r="B14" s="1" t="s">
        <v>812</v>
      </c>
      <c r="C14" s="1" t="s">
        <v>17</v>
      </c>
      <c r="D14" s="1" t="s">
        <v>789</v>
      </c>
      <c r="E14" s="9">
        <v>31049</v>
      </c>
      <c r="F14" s="1" t="str">
        <f>VLOOKUP(D14,Table12[[Name]:[Native]],3,FALSE)</f>
        <v>介休市</v>
      </c>
      <c r="G14" s="12" t="str">
        <f ca="1">VLOOKUP(F14,Table12[[Native]:[Population4]],5,FALSE)</f>
        <v>晋中市</v>
      </c>
    </row>
    <row r="15" spans="1:7" ht="15.75" thickBot="1" x14ac:dyDescent="0.3">
      <c r="A15" t="s">
        <v>813</v>
      </c>
      <c r="B15" s="1" t="s">
        <v>814</v>
      </c>
      <c r="C15" s="1" t="s">
        <v>35</v>
      </c>
      <c r="D15" s="1" t="s">
        <v>799</v>
      </c>
      <c r="E15" s="9">
        <v>20681</v>
      </c>
      <c r="F15" s="1" t="str">
        <f>VLOOKUP(D15,Table12[[Name]:[Native]],3,FALSE)</f>
        <v>榆社县</v>
      </c>
      <c r="G15" s="12" t="str">
        <f ca="1">VLOOKUP(F15,Table12[[Native]:[Population4]],5,FALSE)</f>
        <v>晋中市</v>
      </c>
    </row>
    <row r="16" spans="1:7" ht="15.75" thickBot="1" x14ac:dyDescent="0.3">
      <c r="A16" t="s">
        <v>813</v>
      </c>
      <c r="B16" s="1" t="s">
        <v>814</v>
      </c>
      <c r="C16" s="1" t="s">
        <v>31</v>
      </c>
      <c r="D16" s="1" t="s">
        <v>815</v>
      </c>
      <c r="E16" s="9">
        <v>47403</v>
      </c>
      <c r="F16" s="1" t="str">
        <f>VLOOKUP(D16,Table12[[Name]:[Native]],3,FALSE)</f>
        <v>左权县</v>
      </c>
      <c r="G16" s="12" t="str">
        <f ca="1">VLOOKUP(F16,Table12[[Native]:[Population4]],5,FALSE)</f>
        <v>晋中市</v>
      </c>
    </row>
    <row r="17" spans="1:7" ht="15.75" thickBot="1" x14ac:dyDescent="0.3">
      <c r="A17" t="s">
        <v>816</v>
      </c>
      <c r="B17" s="1" t="s">
        <v>817</v>
      </c>
      <c r="C17" s="1" t="s">
        <v>7</v>
      </c>
      <c r="D17" s="1" t="s">
        <v>807</v>
      </c>
      <c r="E17" s="9">
        <v>34888</v>
      </c>
      <c r="F17" s="1" t="str">
        <f>VLOOKUP(D17,Table12[[Name]:[Native]],3,FALSE)</f>
        <v>祁县</v>
      </c>
      <c r="G17" s="12" t="str">
        <f ca="1">VLOOKUP(F17,Table12[[Native]:[Population4]],5,FALSE)</f>
        <v>晋中市</v>
      </c>
    </row>
    <row r="18" spans="1:7" ht="15.75" thickBot="1" x14ac:dyDescent="0.3">
      <c r="A18" t="s">
        <v>818</v>
      </c>
      <c r="B18" s="1" t="s">
        <v>819</v>
      </c>
      <c r="C18" s="1" t="s">
        <v>7</v>
      </c>
      <c r="D18" s="1" t="s">
        <v>788</v>
      </c>
      <c r="E18" s="9">
        <v>38548</v>
      </c>
      <c r="F18" s="1" t="str">
        <f>VLOOKUP(D18,Table12[[Name]:[Native]],3,FALSE)</f>
        <v>灵石县</v>
      </c>
      <c r="G18" s="12" t="str">
        <f ca="1">VLOOKUP(F18,Table12[[Native]:[Population4]],5,FALSE)</f>
        <v>晋中市</v>
      </c>
    </row>
    <row r="19" spans="1:7" ht="15.75" thickBot="1" x14ac:dyDescent="0.3">
      <c r="A19" t="s">
        <v>820</v>
      </c>
      <c r="B19" s="1" t="s">
        <v>821</v>
      </c>
      <c r="C19" s="1" t="s">
        <v>31</v>
      </c>
      <c r="D19" s="1" t="s">
        <v>807</v>
      </c>
      <c r="E19" s="9">
        <v>20816</v>
      </c>
      <c r="F19" s="1" t="str">
        <f>VLOOKUP(D19,Table12[[Name]:[Native]],3,FALSE)</f>
        <v>祁县</v>
      </c>
      <c r="G19" s="12" t="str">
        <f ca="1">VLOOKUP(F19,Table12[[Native]:[Population4]],5,FALSE)</f>
        <v>晋中市</v>
      </c>
    </row>
    <row r="20" spans="1:7" ht="15.75" thickBot="1" x14ac:dyDescent="0.3">
      <c r="A20" t="s">
        <v>822</v>
      </c>
      <c r="B20" s="1" t="s">
        <v>823</v>
      </c>
      <c r="C20" s="1" t="s">
        <v>7</v>
      </c>
      <c r="D20" s="1" t="s">
        <v>824</v>
      </c>
      <c r="E20" s="9">
        <v>32104</v>
      </c>
      <c r="F20" s="1" t="str">
        <f>VLOOKUP(D20,Table12[[Name]:[Native]],3,FALSE)</f>
        <v>昔阳县</v>
      </c>
      <c r="G20" s="12" t="str">
        <f ca="1">VLOOKUP(F20,Table12[[Native]:[Population4]],5,FALSE)</f>
        <v>晋中市</v>
      </c>
    </row>
    <row r="21" spans="1:7" ht="15.75" thickBot="1" x14ac:dyDescent="0.3">
      <c r="A21" t="s">
        <v>825</v>
      </c>
      <c r="B21" s="1" t="s">
        <v>826</v>
      </c>
      <c r="C21" s="1" t="s">
        <v>31</v>
      </c>
      <c r="D21" s="1" t="s">
        <v>788</v>
      </c>
      <c r="E21" s="9">
        <v>24910</v>
      </c>
      <c r="F21" s="1" t="str">
        <f>VLOOKUP(D21,Table12[[Name]:[Native]],3,FALSE)</f>
        <v>灵石县</v>
      </c>
      <c r="G21" s="12" t="str">
        <f ca="1">VLOOKUP(F21,Table12[[Native]:[Population4]],5,FALSE)</f>
        <v>晋中市</v>
      </c>
    </row>
    <row r="22" spans="1:7" ht="15.75" thickBot="1" x14ac:dyDescent="0.3">
      <c r="A22" t="s">
        <v>827</v>
      </c>
      <c r="B22" s="1" t="s">
        <v>828</v>
      </c>
      <c r="C22" s="1" t="s">
        <v>7</v>
      </c>
      <c r="D22" s="1" t="s">
        <v>807</v>
      </c>
      <c r="E22" s="9">
        <v>51558</v>
      </c>
      <c r="F22" s="1" t="str">
        <f>VLOOKUP(D22,Table12[[Name]:[Native]],3,FALSE)</f>
        <v>祁县</v>
      </c>
      <c r="G22" s="12" t="str">
        <f ca="1">VLOOKUP(F22,Table12[[Native]:[Population4]],5,FALSE)</f>
        <v>晋中市</v>
      </c>
    </row>
    <row r="23" spans="1:7" ht="15.75" thickBot="1" x14ac:dyDescent="0.3">
      <c r="A23" t="s">
        <v>829</v>
      </c>
      <c r="B23" s="1" t="s">
        <v>830</v>
      </c>
      <c r="C23" s="1" t="s">
        <v>31</v>
      </c>
      <c r="D23" s="1" t="s">
        <v>789</v>
      </c>
      <c r="E23" s="9">
        <v>24161</v>
      </c>
      <c r="F23" s="1" t="str">
        <f>VLOOKUP(D23,Table12[[Name]:[Native]],3,FALSE)</f>
        <v>介休市</v>
      </c>
      <c r="G23" s="12" t="str">
        <f ca="1">VLOOKUP(F23,Table12[[Native]:[Population4]],5,FALSE)</f>
        <v>晋中市</v>
      </c>
    </row>
    <row r="24" spans="1:7" ht="15.75" thickBot="1" x14ac:dyDescent="0.3">
      <c r="A24" t="s">
        <v>831</v>
      </c>
      <c r="B24" s="1" t="s">
        <v>832</v>
      </c>
      <c r="C24" s="1" t="s">
        <v>7</v>
      </c>
      <c r="D24" s="1" t="s">
        <v>802</v>
      </c>
      <c r="E24" s="9">
        <v>20937</v>
      </c>
      <c r="F24" s="1" t="str">
        <f>VLOOKUP(D24,Table12[[Name]:[Native]],3,FALSE)</f>
        <v>平遥县</v>
      </c>
      <c r="G24" s="12" t="str">
        <f ca="1">VLOOKUP(F24,Table12[[Native]:[Population4]],5,FALSE)</f>
        <v>晋中市</v>
      </c>
    </row>
    <row r="25" spans="1:7" ht="15.75" thickBot="1" x14ac:dyDescent="0.3">
      <c r="A25" t="s">
        <v>833</v>
      </c>
      <c r="B25" s="1" t="s">
        <v>834</v>
      </c>
      <c r="C25" s="1" t="s">
        <v>7</v>
      </c>
      <c r="D25" s="1" t="s">
        <v>785</v>
      </c>
      <c r="E25" s="9">
        <v>25936</v>
      </c>
      <c r="F25" s="1" t="str">
        <f>VLOOKUP(D25,Table12[[Name]:[Native]],3,FALSE)</f>
        <v>榆次区</v>
      </c>
      <c r="G25" s="12" t="str">
        <f ca="1">VLOOKUP(F25,Table12[[Native]:[Population4]],5,FALSE)</f>
        <v>晋中市</v>
      </c>
    </row>
    <row r="26" spans="1:7" ht="15.75" thickBot="1" x14ac:dyDescent="0.3">
      <c r="A26" t="s">
        <v>835</v>
      </c>
      <c r="B26" s="1" t="s">
        <v>836</v>
      </c>
      <c r="C26" s="1" t="s">
        <v>17</v>
      </c>
      <c r="D26" s="1" t="s">
        <v>785</v>
      </c>
      <c r="E26" s="9">
        <v>11184</v>
      </c>
      <c r="F26" s="1" t="str">
        <f>VLOOKUP(D26,Table12[[Name]:[Native]],3,FALSE)</f>
        <v>榆次区</v>
      </c>
      <c r="G26" s="12" t="str">
        <f ca="1">VLOOKUP(F26,Table12[[Native]:[Population4]],5,FALSE)</f>
        <v>晋中市</v>
      </c>
    </row>
    <row r="27" spans="1:7" ht="15.75" thickBot="1" x14ac:dyDescent="0.3">
      <c r="A27" t="s">
        <v>837</v>
      </c>
      <c r="B27" s="1" t="s">
        <v>838</v>
      </c>
      <c r="C27" s="1" t="s">
        <v>7</v>
      </c>
      <c r="D27" s="1" t="s">
        <v>788</v>
      </c>
      <c r="E27" s="9">
        <v>15077</v>
      </c>
      <c r="F27" s="1" t="str">
        <f>VLOOKUP(D27,Table12[[Name]:[Native]],3,FALSE)</f>
        <v>灵石县</v>
      </c>
      <c r="G27" s="12" t="str">
        <f ca="1">VLOOKUP(F27,Table12[[Native]:[Population4]],5,FALSE)</f>
        <v>晋中市</v>
      </c>
    </row>
    <row r="28" spans="1:7" ht="15.75" thickBot="1" x14ac:dyDescent="0.3">
      <c r="A28" t="s">
        <v>839</v>
      </c>
      <c r="B28" s="1" t="s">
        <v>840</v>
      </c>
      <c r="C28" s="1" t="s">
        <v>7</v>
      </c>
      <c r="D28" s="1" t="s">
        <v>802</v>
      </c>
      <c r="E28" s="9">
        <v>31929</v>
      </c>
      <c r="F28" s="1" t="str">
        <f>VLOOKUP(D28,Table12[[Name]:[Native]],3,FALSE)</f>
        <v>平遥县</v>
      </c>
      <c r="G28" s="12" t="str">
        <f ca="1">VLOOKUP(F28,Table12[[Native]:[Population4]],5,FALSE)</f>
        <v>晋中市</v>
      </c>
    </row>
    <row r="29" spans="1:7" ht="15.75" thickBot="1" x14ac:dyDescent="0.3">
      <c r="A29" t="s">
        <v>841</v>
      </c>
      <c r="B29" s="1" t="s">
        <v>842</v>
      </c>
      <c r="C29" s="1" t="s">
        <v>17</v>
      </c>
      <c r="D29" s="1" t="s">
        <v>802</v>
      </c>
      <c r="E29" s="9">
        <v>17070</v>
      </c>
      <c r="F29" s="1" t="str">
        <f>VLOOKUP(D29,Table12[[Name]:[Native]],3,FALSE)</f>
        <v>平遥县</v>
      </c>
      <c r="G29" s="12" t="str">
        <f ca="1">VLOOKUP(F29,Table12[[Native]:[Population4]],5,FALSE)</f>
        <v>晋中市</v>
      </c>
    </row>
    <row r="30" spans="1:7" ht="15.75" thickBot="1" x14ac:dyDescent="0.3">
      <c r="A30" t="s">
        <v>843</v>
      </c>
      <c r="B30" s="1" t="s">
        <v>844</v>
      </c>
      <c r="C30" s="1" t="s">
        <v>7</v>
      </c>
      <c r="D30" s="1" t="s">
        <v>796</v>
      </c>
      <c r="E30" s="9">
        <v>13230</v>
      </c>
      <c r="F30" s="1" t="str">
        <f>VLOOKUP(D30,Table12[[Name]:[Native]],3,FALSE)</f>
        <v>太谷区</v>
      </c>
      <c r="G30" s="12" t="str">
        <f ca="1">VLOOKUP(F30,Table12[[Native]:[Population4]],5,FALSE)</f>
        <v>晋中市</v>
      </c>
    </row>
    <row r="31" spans="1:7" ht="15.75" thickBot="1" x14ac:dyDescent="0.3">
      <c r="A31" t="s">
        <v>845</v>
      </c>
      <c r="B31" s="1" t="s">
        <v>846</v>
      </c>
      <c r="C31" s="1" t="s">
        <v>7</v>
      </c>
      <c r="D31" s="1" t="s">
        <v>824</v>
      </c>
      <c r="E31" s="9">
        <v>11045</v>
      </c>
      <c r="F31" s="1" t="str">
        <f>VLOOKUP(D31,Table12[[Name]:[Native]],3,FALSE)</f>
        <v>昔阳县</v>
      </c>
      <c r="G31" s="12" t="str">
        <f ca="1">VLOOKUP(F31,Table12[[Native]:[Population4]],5,FALSE)</f>
        <v>晋中市</v>
      </c>
    </row>
    <row r="32" spans="1:7" ht="15.75" thickBot="1" x14ac:dyDescent="0.3">
      <c r="A32" t="s">
        <v>847</v>
      </c>
      <c r="B32" s="1" t="s">
        <v>848</v>
      </c>
      <c r="C32" s="1" t="s">
        <v>7</v>
      </c>
      <c r="D32" s="1" t="s">
        <v>815</v>
      </c>
      <c r="E32" s="9">
        <v>9675</v>
      </c>
      <c r="F32" s="1" t="str">
        <f>VLOOKUP(D32,Table12[[Name]:[Native]],3,FALSE)</f>
        <v>左权县</v>
      </c>
      <c r="G32" s="12" t="str">
        <f ca="1">VLOOKUP(F32,Table12[[Native]:[Population4]],5,FALSE)</f>
        <v>晋中市</v>
      </c>
    </row>
    <row r="33" spans="1:7" ht="15.75" thickBot="1" x14ac:dyDescent="0.3">
      <c r="A33" t="s">
        <v>849</v>
      </c>
      <c r="B33" s="1" t="s">
        <v>850</v>
      </c>
      <c r="C33" s="1" t="s">
        <v>17</v>
      </c>
      <c r="D33" s="1" t="s">
        <v>785</v>
      </c>
      <c r="E33" s="9">
        <v>70442</v>
      </c>
      <c r="F33" s="1" t="str">
        <f>VLOOKUP(D33,Table12[[Name]:[Native]],3,FALSE)</f>
        <v>榆次区</v>
      </c>
      <c r="G33" s="12" t="str">
        <f ca="1">VLOOKUP(F33,Table12[[Native]:[Population4]],5,FALSE)</f>
        <v>晋中市</v>
      </c>
    </row>
    <row r="34" spans="1:7" ht="15.75" thickBot="1" x14ac:dyDescent="0.3">
      <c r="A34" t="s">
        <v>851</v>
      </c>
      <c r="B34" s="1" t="s">
        <v>852</v>
      </c>
      <c r="C34" s="1" t="s">
        <v>7</v>
      </c>
      <c r="D34" s="1" t="s">
        <v>802</v>
      </c>
      <c r="E34" s="9">
        <v>133675</v>
      </c>
      <c r="F34" s="1" t="str">
        <f>VLOOKUP(D34,Table12[[Name]:[Native]],3,FALSE)</f>
        <v>平遥县</v>
      </c>
      <c r="G34" s="12" t="str">
        <f ca="1">VLOOKUP(F34,Table12[[Native]:[Population4]],5,FALSE)</f>
        <v>晋中市</v>
      </c>
    </row>
    <row r="35" spans="1:7" ht="15.75" thickBot="1" x14ac:dyDescent="0.3">
      <c r="A35" t="s">
        <v>853</v>
      </c>
      <c r="B35" s="1" t="s">
        <v>854</v>
      </c>
      <c r="C35" s="1" t="s">
        <v>7</v>
      </c>
      <c r="D35" s="1" t="s">
        <v>807</v>
      </c>
      <c r="E35" s="9">
        <v>31538</v>
      </c>
      <c r="F35" s="1" t="str">
        <f>VLOOKUP(D35,Table12[[Name]:[Native]],3,FALSE)</f>
        <v>祁县</v>
      </c>
      <c r="G35" s="12" t="str">
        <f ca="1">VLOOKUP(F35,Table12[[Native]:[Population4]],5,FALSE)</f>
        <v>晋中市</v>
      </c>
    </row>
    <row r="36" spans="1:7" ht="15.75" thickBot="1" x14ac:dyDescent="0.3">
      <c r="A36" t="s">
        <v>855</v>
      </c>
      <c r="B36" s="1" t="s">
        <v>856</v>
      </c>
      <c r="C36" s="1" t="s">
        <v>17</v>
      </c>
      <c r="D36" s="1" t="s">
        <v>815</v>
      </c>
      <c r="E36" s="9">
        <v>12729</v>
      </c>
      <c r="F36" s="1" t="str">
        <f>VLOOKUP(D36,Table12[[Name]:[Native]],3,FALSE)</f>
        <v>左权县</v>
      </c>
      <c r="G36" s="12" t="str">
        <f ca="1">VLOOKUP(F36,Table12[[Native]:[Population4]],5,FALSE)</f>
        <v>晋中市</v>
      </c>
    </row>
    <row r="37" spans="1:7" ht="15.75" thickBot="1" x14ac:dyDescent="0.3">
      <c r="A37" t="s">
        <v>857</v>
      </c>
      <c r="B37" s="1" t="s">
        <v>858</v>
      </c>
      <c r="C37" s="1" t="s">
        <v>7</v>
      </c>
      <c r="D37" s="1" t="s">
        <v>799</v>
      </c>
      <c r="E37" s="9">
        <v>13063</v>
      </c>
      <c r="F37" s="1" t="str">
        <f>VLOOKUP(D37,Table12[[Name]:[Native]],3,FALSE)</f>
        <v>榆社县</v>
      </c>
      <c r="G37" s="12" t="str">
        <f ca="1">VLOOKUP(F37,Table12[[Native]:[Population4]],5,FALSE)</f>
        <v>晋中市</v>
      </c>
    </row>
    <row r="38" spans="1:7" ht="15.75" thickBot="1" x14ac:dyDescent="0.3">
      <c r="A38" t="s">
        <v>859</v>
      </c>
      <c r="B38" s="1" t="s">
        <v>860</v>
      </c>
      <c r="C38" s="1" t="s">
        <v>7</v>
      </c>
      <c r="D38" s="1" t="s">
        <v>861</v>
      </c>
      <c r="E38" s="9">
        <v>4540</v>
      </c>
      <c r="F38" s="1" t="str">
        <f>VLOOKUP(D38,Table12[[Name]:[Native]],3,FALSE)</f>
        <v>和顺县</v>
      </c>
      <c r="G38" s="12" t="str">
        <f ca="1">VLOOKUP(F38,Table12[[Native]:[Population4]],5,FALSE)</f>
        <v>晋中市</v>
      </c>
    </row>
    <row r="39" spans="1:7" ht="15.75" thickBot="1" x14ac:dyDescent="0.3">
      <c r="A39" t="s">
        <v>862</v>
      </c>
      <c r="B39" s="1" t="s">
        <v>863</v>
      </c>
      <c r="C39" s="1" t="s">
        <v>17</v>
      </c>
      <c r="D39" s="1" t="s">
        <v>799</v>
      </c>
      <c r="E39" s="9">
        <v>11141</v>
      </c>
      <c r="F39" s="1" t="str">
        <f>VLOOKUP(D39,Table12[[Name]:[Native]],3,FALSE)</f>
        <v>榆社县</v>
      </c>
      <c r="G39" s="12" t="str">
        <f ca="1">VLOOKUP(F39,Table12[[Native]:[Population4]],5,FALSE)</f>
        <v>晋中市</v>
      </c>
    </row>
    <row r="40" spans="1:7" ht="15.75" thickBot="1" x14ac:dyDescent="0.3">
      <c r="A40" t="s">
        <v>864</v>
      </c>
      <c r="B40" s="1" t="s">
        <v>865</v>
      </c>
      <c r="C40" s="1" t="s">
        <v>7</v>
      </c>
      <c r="D40" s="1" t="s">
        <v>802</v>
      </c>
      <c r="E40" s="9">
        <v>35318</v>
      </c>
      <c r="F40" s="1" t="str">
        <f>VLOOKUP(D40,Table12[[Name]:[Native]],3,FALSE)</f>
        <v>平遥县</v>
      </c>
      <c r="G40" s="12" t="str">
        <f ca="1">VLOOKUP(F40,Table12[[Native]:[Population4]],5,FALSE)</f>
        <v>晋中市</v>
      </c>
    </row>
    <row r="41" spans="1:7" ht="15.75" thickBot="1" x14ac:dyDescent="0.3">
      <c r="A41" t="s">
        <v>866</v>
      </c>
      <c r="B41" s="1" t="s">
        <v>867</v>
      </c>
      <c r="C41" s="1" t="s">
        <v>7</v>
      </c>
      <c r="D41" s="1" t="s">
        <v>789</v>
      </c>
      <c r="E41" s="9">
        <v>11335</v>
      </c>
      <c r="F41" s="1" t="str">
        <f>VLOOKUP(D41,Table12[[Name]:[Native]],3,FALSE)</f>
        <v>介休市</v>
      </c>
      <c r="G41" s="12" t="str">
        <f ca="1">VLOOKUP(F41,Table12[[Native]:[Population4]],5,FALSE)</f>
        <v>晋中市</v>
      </c>
    </row>
    <row r="42" spans="1:7" ht="15.75" thickBot="1" x14ac:dyDescent="0.3">
      <c r="A42" t="s">
        <v>868</v>
      </c>
      <c r="B42" s="1" t="s">
        <v>869</v>
      </c>
      <c r="C42" s="1" t="s">
        <v>17</v>
      </c>
      <c r="D42" s="1" t="s">
        <v>796</v>
      </c>
      <c r="E42" s="9">
        <v>56420</v>
      </c>
      <c r="F42" s="1" t="str">
        <f>VLOOKUP(D42,Table12[[Name]:[Native]],3,FALSE)</f>
        <v>太谷区</v>
      </c>
      <c r="G42" s="12" t="str">
        <f ca="1">VLOOKUP(F42,Table12[[Native]:[Population4]],5,FALSE)</f>
        <v>晋中市</v>
      </c>
    </row>
    <row r="43" spans="1:7" ht="15.75" thickBot="1" x14ac:dyDescent="0.3">
      <c r="A43" t="s">
        <v>870</v>
      </c>
      <c r="B43" s="1" t="s">
        <v>871</v>
      </c>
      <c r="C43" s="1" t="s">
        <v>7</v>
      </c>
      <c r="D43" s="1" t="s">
        <v>796</v>
      </c>
      <c r="E43" s="9">
        <v>45359</v>
      </c>
      <c r="F43" s="1" t="str">
        <f>VLOOKUP(D43,Table12[[Name]:[Native]],3,FALSE)</f>
        <v>太谷区</v>
      </c>
      <c r="G43" s="12" t="str">
        <f ca="1">VLOOKUP(F43,Table12[[Native]:[Population4]],5,FALSE)</f>
        <v>晋中市</v>
      </c>
    </row>
    <row r="44" spans="1:7" ht="15.75" thickBot="1" x14ac:dyDescent="0.3">
      <c r="A44" t="s">
        <v>872</v>
      </c>
      <c r="B44" s="1" t="s">
        <v>873</v>
      </c>
      <c r="C44" s="1" t="s">
        <v>7</v>
      </c>
      <c r="D44" s="1" t="s">
        <v>807</v>
      </c>
      <c r="E44" s="9">
        <v>25942</v>
      </c>
      <c r="F44" s="1" t="str">
        <f>VLOOKUP(D44,Table12[[Name]:[Native]],3,FALSE)</f>
        <v>祁县</v>
      </c>
      <c r="G44" s="12" t="str">
        <f ca="1">VLOOKUP(F44,Table12[[Native]:[Population4]],5,FALSE)</f>
        <v>晋中市</v>
      </c>
    </row>
    <row r="45" spans="1:7" ht="15.75" thickBot="1" x14ac:dyDescent="0.3">
      <c r="A45" t="s">
        <v>874</v>
      </c>
      <c r="B45" s="1" t="s">
        <v>875</v>
      </c>
      <c r="C45" s="1" t="s">
        <v>17</v>
      </c>
      <c r="D45" s="1" t="s">
        <v>799</v>
      </c>
      <c r="E45" s="9">
        <v>2701</v>
      </c>
      <c r="F45" s="1" t="str">
        <f>VLOOKUP(D45,Table12[[Name]:[Native]],3,FALSE)</f>
        <v>榆社县</v>
      </c>
      <c r="G45" s="12" t="str">
        <f ca="1">VLOOKUP(F45,Table12[[Native]:[Population4]],5,FALSE)</f>
        <v>晋中市</v>
      </c>
    </row>
    <row r="46" spans="1:7" ht="15.75" thickBot="1" x14ac:dyDescent="0.3">
      <c r="A46" t="s">
        <v>143</v>
      </c>
      <c r="B46" s="1" t="s">
        <v>144</v>
      </c>
      <c r="C46" s="1" t="s">
        <v>17</v>
      </c>
      <c r="D46" s="1" t="s">
        <v>788</v>
      </c>
      <c r="E46" s="9">
        <v>9399</v>
      </c>
      <c r="F46" s="1" t="str">
        <f>VLOOKUP(D46,Table12[[Name]:[Native]],3,FALSE)</f>
        <v>灵石县</v>
      </c>
      <c r="G46" s="12" t="str">
        <f ca="1">VLOOKUP(F46,Table12[[Native]:[Population4]],5,FALSE)</f>
        <v>晋中市</v>
      </c>
    </row>
    <row r="47" spans="1:7" ht="15.75" thickBot="1" x14ac:dyDescent="0.3">
      <c r="A47" t="s">
        <v>876</v>
      </c>
      <c r="B47" s="1" t="s">
        <v>877</v>
      </c>
      <c r="C47" s="1" t="s">
        <v>7</v>
      </c>
      <c r="D47" s="1" t="s">
        <v>799</v>
      </c>
      <c r="E47" s="9">
        <v>43484</v>
      </c>
      <c r="F47" s="1" t="str">
        <f>VLOOKUP(D47,Table12[[Name]:[Native]],3,FALSE)</f>
        <v>榆社县</v>
      </c>
      <c r="G47" s="12" t="str">
        <f ca="1">VLOOKUP(F47,Table12[[Native]:[Population4]],5,FALSE)</f>
        <v>晋中市</v>
      </c>
    </row>
    <row r="48" spans="1:7" ht="15.75" thickBot="1" x14ac:dyDescent="0.3">
      <c r="A48" t="s">
        <v>878</v>
      </c>
      <c r="B48" s="1" t="s">
        <v>879</v>
      </c>
      <c r="C48" s="1" t="s">
        <v>17</v>
      </c>
      <c r="D48" s="1" t="s">
        <v>810</v>
      </c>
      <c r="E48" s="9">
        <v>9557</v>
      </c>
      <c r="F48" s="1" t="str">
        <f>VLOOKUP(D48,Table12[[Name]:[Native]],3,FALSE)</f>
        <v>寿阳县</v>
      </c>
      <c r="G48" s="12" t="str">
        <f ca="1">VLOOKUP(F48,Table12[[Native]:[Population4]],5,FALSE)</f>
        <v>晋中市</v>
      </c>
    </row>
    <row r="49" spans="1:7" ht="15.75" thickBot="1" x14ac:dyDescent="0.3">
      <c r="A49" t="s">
        <v>880</v>
      </c>
      <c r="B49" s="1" t="s">
        <v>881</v>
      </c>
      <c r="C49" s="1" t="s">
        <v>17</v>
      </c>
      <c r="D49" s="1" t="s">
        <v>824</v>
      </c>
      <c r="E49" s="9">
        <v>11675</v>
      </c>
      <c r="F49" s="1" t="str">
        <f>VLOOKUP(D49,Table12[[Name]:[Native]],3,FALSE)</f>
        <v>昔阳县</v>
      </c>
      <c r="G49" s="12" t="str">
        <f ca="1">VLOOKUP(F49,Table12[[Native]:[Population4]],5,FALSE)</f>
        <v>晋中市</v>
      </c>
    </row>
    <row r="50" spans="1:7" ht="15.75" thickBot="1" x14ac:dyDescent="0.3">
      <c r="A50" t="s">
        <v>882</v>
      </c>
      <c r="B50" s="1" t="s">
        <v>883</v>
      </c>
      <c r="C50" s="1" t="s">
        <v>17</v>
      </c>
      <c r="D50" s="1" t="s">
        <v>810</v>
      </c>
      <c r="E50" s="9">
        <v>4593</v>
      </c>
      <c r="F50" s="1" t="str">
        <f>VLOOKUP(D50,Table12[[Name]:[Native]],3,FALSE)</f>
        <v>寿阳县</v>
      </c>
      <c r="G50" s="12" t="str">
        <f ca="1">VLOOKUP(F50,Table12[[Native]:[Population4]],5,FALSE)</f>
        <v>晋中市</v>
      </c>
    </row>
    <row r="51" spans="1:7" ht="15.75" thickBot="1" x14ac:dyDescent="0.3">
      <c r="A51" t="s">
        <v>884</v>
      </c>
      <c r="B51" s="1" t="s">
        <v>885</v>
      </c>
      <c r="C51" s="1" t="s">
        <v>7</v>
      </c>
      <c r="D51" s="1" t="s">
        <v>788</v>
      </c>
      <c r="E51" s="9">
        <v>28767</v>
      </c>
      <c r="F51" s="1" t="str">
        <f>VLOOKUP(D51,Table12[[Name]:[Native]],3,FALSE)</f>
        <v>灵石县</v>
      </c>
      <c r="G51" s="12" t="str">
        <f ca="1">VLOOKUP(F51,Table12[[Native]:[Population4]],5,FALSE)</f>
        <v>晋中市</v>
      </c>
    </row>
    <row r="52" spans="1:7" ht="15.75" thickBot="1" x14ac:dyDescent="0.3">
      <c r="A52" t="s">
        <v>886</v>
      </c>
      <c r="B52" s="1" t="s">
        <v>887</v>
      </c>
      <c r="C52" s="1" t="s">
        <v>31</v>
      </c>
      <c r="D52" s="1" t="s">
        <v>785</v>
      </c>
      <c r="E52" s="9">
        <v>20037</v>
      </c>
      <c r="F52" s="1" t="str">
        <f>VLOOKUP(D52,Table12[[Name]:[Native]],3,FALSE)</f>
        <v>榆次区</v>
      </c>
      <c r="G52" s="12" t="str">
        <f ca="1">VLOOKUP(F52,Table12[[Native]:[Population4]],5,FALSE)</f>
        <v>晋中市</v>
      </c>
    </row>
    <row r="53" spans="1:7" ht="15.75" thickBot="1" x14ac:dyDescent="0.3">
      <c r="A53" t="s">
        <v>888</v>
      </c>
      <c r="B53" s="1" t="s">
        <v>889</v>
      </c>
      <c r="C53" s="1" t="s">
        <v>31</v>
      </c>
      <c r="D53" s="1" t="s">
        <v>785</v>
      </c>
      <c r="E53" s="9">
        <v>50413</v>
      </c>
      <c r="F53" s="1" t="str">
        <f>VLOOKUP(D53,Table12[[Name]:[Native]],3,FALSE)</f>
        <v>榆次区</v>
      </c>
      <c r="G53" s="12" t="str">
        <f ca="1">VLOOKUP(F53,Table12[[Native]:[Population4]],5,FALSE)</f>
        <v>晋中市</v>
      </c>
    </row>
    <row r="54" spans="1:7" ht="15.75" thickBot="1" x14ac:dyDescent="0.3">
      <c r="A54" t="s">
        <v>890</v>
      </c>
      <c r="B54" s="1" t="s">
        <v>891</v>
      </c>
      <c r="C54" s="1" t="s">
        <v>31</v>
      </c>
      <c r="D54" s="1" t="s">
        <v>785</v>
      </c>
      <c r="E54" s="9">
        <v>41713</v>
      </c>
      <c r="F54" s="1" t="str">
        <f>VLOOKUP(D54,Table12[[Name]:[Native]],3,FALSE)</f>
        <v>榆次区</v>
      </c>
      <c r="G54" s="12" t="str">
        <f ca="1">VLOOKUP(F54,Table12[[Native]:[Population4]],5,FALSE)</f>
        <v>晋中市</v>
      </c>
    </row>
    <row r="55" spans="1:7" ht="15.75" thickBot="1" x14ac:dyDescent="0.3">
      <c r="A55" t="s">
        <v>892</v>
      </c>
      <c r="B55" s="1" t="s">
        <v>893</v>
      </c>
      <c r="C55" s="1" t="s">
        <v>35</v>
      </c>
      <c r="D55" s="1" t="s">
        <v>785</v>
      </c>
      <c r="E55" s="9">
        <v>49720</v>
      </c>
      <c r="F55" s="1" t="str">
        <f>VLOOKUP(D55,Table12[[Name]:[Native]],3,FALSE)</f>
        <v>榆次区</v>
      </c>
      <c r="G55" s="12" t="str">
        <f ca="1">VLOOKUP(F55,Table12[[Native]:[Population4]],5,FALSE)</f>
        <v>晋中市</v>
      </c>
    </row>
    <row r="56" spans="1:7" ht="15.75" thickBot="1" x14ac:dyDescent="0.3">
      <c r="A56" t="s">
        <v>894</v>
      </c>
      <c r="B56" s="1" t="s">
        <v>895</v>
      </c>
      <c r="C56" s="1" t="s">
        <v>17</v>
      </c>
      <c r="D56" s="1" t="s">
        <v>824</v>
      </c>
      <c r="E56" s="9">
        <v>10615</v>
      </c>
      <c r="F56" s="1" t="str">
        <f>VLOOKUP(D56,Table12[[Name]:[Native]],3,FALSE)</f>
        <v>昔阳县</v>
      </c>
      <c r="G56" s="12" t="str">
        <f ca="1">VLOOKUP(F56,Table12[[Native]:[Population4]],5,FALSE)</f>
        <v>晋中市</v>
      </c>
    </row>
    <row r="57" spans="1:7" ht="15.75" thickBot="1" x14ac:dyDescent="0.3">
      <c r="A57" t="s">
        <v>896</v>
      </c>
      <c r="B57" s="1" t="s">
        <v>897</v>
      </c>
      <c r="C57" s="1" t="s">
        <v>7</v>
      </c>
      <c r="D57" s="1" t="s">
        <v>807</v>
      </c>
      <c r="E57" s="9">
        <v>2011</v>
      </c>
      <c r="F57" s="1" t="str">
        <f>VLOOKUP(D57,Table12[[Name]:[Native]],3,FALSE)</f>
        <v>祁县</v>
      </c>
      <c r="G57" s="12" t="str">
        <f ca="1">VLOOKUP(F57,Table12[[Native]:[Population4]],5,FALSE)</f>
        <v>晋中市</v>
      </c>
    </row>
    <row r="58" spans="1:7" ht="15.75" thickBot="1" x14ac:dyDescent="0.3">
      <c r="A58" t="s">
        <v>898</v>
      </c>
      <c r="B58" s="1" t="s">
        <v>899</v>
      </c>
      <c r="C58" s="1" t="s">
        <v>17</v>
      </c>
      <c r="D58" s="1" t="s">
        <v>799</v>
      </c>
      <c r="E58" s="9">
        <v>4032</v>
      </c>
      <c r="F58" s="1" t="str">
        <f>VLOOKUP(D58,Table12[[Name]:[Native]],3,FALSE)</f>
        <v>榆社县</v>
      </c>
      <c r="G58" s="12" t="str">
        <f ca="1">VLOOKUP(F58,Table12[[Native]:[Population4]],5,FALSE)</f>
        <v>晋中市</v>
      </c>
    </row>
    <row r="59" spans="1:7" ht="15.75" thickBot="1" x14ac:dyDescent="0.3">
      <c r="A59" t="s">
        <v>900</v>
      </c>
      <c r="B59" s="1" t="s">
        <v>901</v>
      </c>
      <c r="C59" s="1" t="s">
        <v>7</v>
      </c>
      <c r="D59" s="1" t="s">
        <v>824</v>
      </c>
      <c r="E59" s="9">
        <v>88559</v>
      </c>
      <c r="F59" s="1" t="str">
        <f>VLOOKUP(D59,Table12[[Name]:[Native]],3,FALSE)</f>
        <v>昔阳县</v>
      </c>
      <c r="G59" s="12" t="str">
        <f ca="1">VLOOKUP(F59,Table12[[Native]:[Population4]],5,FALSE)</f>
        <v>晋中市</v>
      </c>
    </row>
    <row r="60" spans="1:7" ht="15.75" thickBot="1" x14ac:dyDescent="0.3">
      <c r="A60" t="s">
        <v>902</v>
      </c>
      <c r="B60" s="1" t="s">
        <v>903</v>
      </c>
      <c r="C60" s="1" t="s">
        <v>7</v>
      </c>
      <c r="D60" s="1" t="s">
        <v>789</v>
      </c>
      <c r="E60" s="9">
        <v>28021</v>
      </c>
      <c r="F60" s="1" t="str">
        <f>VLOOKUP(D60,Table12[[Name]:[Native]],3,FALSE)</f>
        <v>介休市</v>
      </c>
      <c r="G60" s="12" t="str">
        <f ca="1">VLOOKUP(F60,Table12[[Native]:[Population4]],5,FALSE)</f>
        <v>晋中市</v>
      </c>
    </row>
    <row r="61" spans="1:7" ht="15.75" thickBot="1" x14ac:dyDescent="0.3">
      <c r="A61" t="s">
        <v>904</v>
      </c>
      <c r="B61" s="1" t="s">
        <v>905</v>
      </c>
      <c r="C61" s="1" t="s">
        <v>7</v>
      </c>
      <c r="D61" s="1" t="s">
        <v>788</v>
      </c>
      <c r="E61" s="9">
        <v>27669</v>
      </c>
      <c r="F61" s="1" t="str">
        <f>VLOOKUP(D61,Table12[[Name]:[Native]],3,FALSE)</f>
        <v>灵石县</v>
      </c>
      <c r="G61" s="12" t="str">
        <f ca="1">VLOOKUP(F61,Table12[[Native]:[Population4]],5,FALSE)</f>
        <v>晋中市</v>
      </c>
    </row>
    <row r="62" spans="1:7" ht="15.75" thickBot="1" x14ac:dyDescent="0.3">
      <c r="A62" t="s">
        <v>906</v>
      </c>
      <c r="B62" s="1" t="s">
        <v>907</v>
      </c>
      <c r="C62" s="1" t="s">
        <v>17</v>
      </c>
      <c r="D62" s="1" t="s">
        <v>788</v>
      </c>
      <c r="E62" s="9">
        <v>7457</v>
      </c>
      <c r="F62" s="1" t="str">
        <f>VLOOKUP(D62,Table12[[Name]:[Native]],3,FALSE)</f>
        <v>灵石县</v>
      </c>
      <c r="G62" s="12" t="str">
        <f ca="1">VLOOKUP(F62,Table12[[Native]:[Population4]],5,FALSE)</f>
        <v>晋中市</v>
      </c>
    </row>
    <row r="63" spans="1:7" ht="15.75" thickBot="1" x14ac:dyDescent="0.3">
      <c r="A63" t="s">
        <v>908</v>
      </c>
      <c r="B63" s="1" t="s">
        <v>909</v>
      </c>
      <c r="C63" s="1" t="s">
        <v>7</v>
      </c>
      <c r="D63" s="1" t="s">
        <v>815</v>
      </c>
      <c r="E63" s="9">
        <v>18638</v>
      </c>
      <c r="F63" s="1" t="str">
        <f>VLOOKUP(D63,Table12[[Name]:[Native]],3,FALSE)</f>
        <v>左权县</v>
      </c>
      <c r="G63" s="12" t="str">
        <f ca="1">VLOOKUP(F63,Table12[[Native]:[Population4]],5,FALSE)</f>
        <v>晋中市</v>
      </c>
    </row>
    <row r="64" spans="1:7" ht="15.75" thickBot="1" x14ac:dyDescent="0.3">
      <c r="A64" t="s">
        <v>910</v>
      </c>
      <c r="B64" s="1" t="s">
        <v>911</v>
      </c>
      <c r="C64" s="1" t="s">
        <v>17</v>
      </c>
      <c r="D64" s="1" t="s">
        <v>824</v>
      </c>
      <c r="E64" s="9">
        <v>15016</v>
      </c>
      <c r="F64" s="1" t="str">
        <f>VLOOKUP(D64,Table12[[Name]:[Native]],3,FALSE)</f>
        <v>昔阳县</v>
      </c>
      <c r="G64" s="12" t="str">
        <f ca="1">VLOOKUP(F64,Table12[[Native]:[Population4]],5,FALSE)</f>
        <v>晋中市</v>
      </c>
    </row>
    <row r="65" spans="1:7" ht="15.75" thickBot="1" x14ac:dyDescent="0.3">
      <c r="A65" t="s">
        <v>912</v>
      </c>
      <c r="B65" s="1" t="s">
        <v>913</v>
      </c>
      <c r="C65" s="1" t="s">
        <v>7</v>
      </c>
      <c r="D65" s="1" t="s">
        <v>861</v>
      </c>
      <c r="E65" s="9">
        <v>17748</v>
      </c>
      <c r="F65" s="1" t="str">
        <f>VLOOKUP(D65,Table12[[Name]:[Native]],3,FALSE)</f>
        <v>和顺县</v>
      </c>
      <c r="G65" s="12" t="str">
        <f ca="1">VLOOKUP(F65,Table12[[Native]:[Population4]],5,FALSE)</f>
        <v>晋中市</v>
      </c>
    </row>
    <row r="66" spans="1:7" ht="15.75" thickBot="1" x14ac:dyDescent="0.3">
      <c r="A66" t="s">
        <v>914</v>
      </c>
      <c r="B66" s="1" t="s">
        <v>915</v>
      </c>
      <c r="C66" s="1" t="s">
        <v>7</v>
      </c>
      <c r="D66" s="1" t="s">
        <v>789</v>
      </c>
      <c r="E66" s="9">
        <v>12666</v>
      </c>
      <c r="F66" s="1" t="str">
        <f>VLOOKUP(D66,Table12[[Name]:[Native]],3,FALSE)</f>
        <v>介休市</v>
      </c>
      <c r="G66" s="12" t="str">
        <f ca="1">VLOOKUP(F66,Table12[[Native]:[Population4]],5,FALSE)</f>
        <v>晋中市</v>
      </c>
    </row>
    <row r="67" spans="1:7" ht="15.75" thickBot="1" x14ac:dyDescent="0.3">
      <c r="A67" t="s">
        <v>916</v>
      </c>
      <c r="B67" s="1" t="s">
        <v>917</v>
      </c>
      <c r="C67" s="1" t="s">
        <v>17</v>
      </c>
      <c r="D67" s="1" t="s">
        <v>815</v>
      </c>
      <c r="E67" s="9">
        <v>7476</v>
      </c>
      <c r="F67" s="1" t="str">
        <f>VLOOKUP(D67,Table12[[Name]:[Native]],3,FALSE)</f>
        <v>左权县</v>
      </c>
      <c r="G67" s="12" t="str">
        <f ca="1">VLOOKUP(F67,Table12[[Native]:[Population4]],5,FALSE)</f>
        <v>晋中市</v>
      </c>
    </row>
    <row r="68" spans="1:7" ht="15.75" thickBot="1" x14ac:dyDescent="0.3">
      <c r="A68" t="s">
        <v>918</v>
      </c>
      <c r="B68" s="1" t="s">
        <v>919</v>
      </c>
      <c r="C68" s="1" t="s">
        <v>31</v>
      </c>
      <c r="D68" s="1" t="s">
        <v>807</v>
      </c>
      <c r="E68" s="9">
        <v>17163</v>
      </c>
      <c r="F68" s="1" t="str">
        <f>VLOOKUP(D68,Table12[[Name]:[Native]],3,FALSE)</f>
        <v>祁县</v>
      </c>
      <c r="G68" s="12" t="str">
        <f ca="1">VLOOKUP(F68,Table12[[Native]:[Population4]],5,FALSE)</f>
        <v>晋中市</v>
      </c>
    </row>
    <row r="69" spans="1:7" ht="15.75" thickBot="1" x14ac:dyDescent="0.3">
      <c r="A69" t="s">
        <v>920</v>
      </c>
      <c r="B69" s="1" t="s">
        <v>921</v>
      </c>
      <c r="C69" s="1" t="s">
        <v>31</v>
      </c>
      <c r="D69" s="1" t="s">
        <v>785</v>
      </c>
      <c r="E69" s="9">
        <v>24238</v>
      </c>
      <c r="F69" s="1" t="str">
        <f>VLOOKUP(D69,Table12[[Name]:[Native]],3,FALSE)</f>
        <v>榆次区</v>
      </c>
      <c r="G69" s="12" t="str">
        <f ca="1">VLOOKUP(F69,Table12[[Native]:[Population4]],5,FALSE)</f>
        <v>晋中市</v>
      </c>
    </row>
    <row r="70" spans="1:7" ht="15.75" thickBot="1" x14ac:dyDescent="0.3">
      <c r="A70" t="s">
        <v>922</v>
      </c>
      <c r="B70" s="1" t="s">
        <v>923</v>
      </c>
      <c r="C70" s="1" t="s">
        <v>17</v>
      </c>
      <c r="D70" s="1" t="s">
        <v>861</v>
      </c>
      <c r="E70" s="9">
        <v>3898</v>
      </c>
      <c r="F70" s="1" t="str">
        <f>VLOOKUP(D70,Table12[[Name]:[Native]],3,FALSE)</f>
        <v>和顺县</v>
      </c>
      <c r="G70" s="12" t="str">
        <f ca="1">VLOOKUP(F70,Table12[[Native]:[Population4]],5,FALSE)</f>
        <v>晋中市</v>
      </c>
    </row>
    <row r="71" spans="1:7" ht="15.75" thickBot="1" x14ac:dyDescent="0.3">
      <c r="A71" t="s">
        <v>924</v>
      </c>
      <c r="B71" s="1" t="s">
        <v>925</v>
      </c>
      <c r="C71" s="1" t="s">
        <v>17</v>
      </c>
      <c r="D71" s="1" t="s">
        <v>788</v>
      </c>
      <c r="E71" s="9">
        <v>8851</v>
      </c>
      <c r="F71" s="1" t="str">
        <f>VLOOKUP(D71,Table12[[Name]:[Native]],3,FALSE)</f>
        <v>灵石县</v>
      </c>
      <c r="G71" s="12" t="str">
        <f ca="1">VLOOKUP(F71,Table12[[Native]:[Population4]],5,FALSE)</f>
        <v>晋中市</v>
      </c>
    </row>
    <row r="72" spans="1:7" ht="15.75" thickBot="1" x14ac:dyDescent="0.3">
      <c r="A72" t="s">
        <v>926</v>
      </c>
      <c r="B72" s="1" t="s">
        <v>927</v>
      </c>
      <c r="C72" s="1" t="s">
        <v>17</v>
      </c>
      <c r="D72" s="1" t="s">
        <v>810</v>
      </c>
      <c r="E72" s="9">
        <v>4818</v>
      </c>
      <c r="F72" s="1" t="str">
        <f>VLOOKUP(D72,Table12[[Name]:[Native]],3,FALSE)</f>
        <v>寿阳县</v>
      </c>
      <c r="G72" s="12" t="str">
        <f ca="1">VLOOKUP(F72,Table12[[Native]:[Population4]],5,FALSE)</f>
        <v>晋中市</v>
      </c>
    </row>
    <row r="73" spans="1:7" ht="15.75" thickBot="1" x14ac:dyDescent="0.3">
      <c r="A73" t="s">
        <v>928</v>
      </c>
      <c r="B73" s="1" t="s">
        <v>929</v>
      </c>
      <c r="C73" s="1" t="s">
        <v>7</v>
      </c>
      <c r="D73" s="1" t="s">
        <v>815</v>
      </c>
      <c r="E73" s="9">
        <v>18168</v>
      </c>
      <c r="F73" s="1" t="str">
        <f>VLOOKUP(D73,Table12[[Name]:[Native]],3,FALSE)</f>
        <v>左权县</v>
      </c>
      <c r="G73" s="12" t="str">
        <f ca="1">VLOOKUP(F73,Table12[[Native]:[Population4]],5,FALSE)</f>
        <v>晋中市</v>
      </c>
    </row>
    <row r="74" spans="1:7" ht="15.75" thickBot="1" x14ac:dyDescent="0.3">
      <c r="A74" t="s">
        <v>930</v>
      </c>
      <c r="B74" s="1" t="s">
        <v>931</v>
      </c>
      <c r="C74" s="1" t="s">
        <v>17</v>
      </c>
      <c r="D74" s="1" t="s">
        <v>802</v>
      </c>
      <c r="E74" s="9">
        <v>2053</v>
      </c>
      <c r="F74" s="1" t="str">
        <f>VLOOKUP(D74,Table12[[Name]:[Native]],3,FALSE)</f>
        <v>平遥县</v>
      </c>
      <c r="G74" s="12" t="str">
        <f ca="1">VLOOKUP(F74,Table12[[Native]:[Population4]],5,FALSE)</f>
        <v>晋中市</v>
      </c>
    </row>
    <row r="75" spans="1:7" ht="15.75" thickBot="1" x14ac:dyDescent="0.3">
      <c r="A75" t="s">
        <v>932</v>
      </c>
      <c r="B75" s="1" t="s">
        <v>933</v>
      </c>
      <c r="C75" s="1" t="s">
        <v>7</v>
      </c>
      <c r="D75" s="1" t="s">
        <v>789</v>
      </c>
      <c r="E75" s="9">
        <v>29578</v>
      </c>
      <c r="F75" s="1" t="str">
        <f>VLOOKUP(D75,Table12[[Name]:[Native]],3,FALSE)</f>
        <v>介休市</v>
      </c>
      <c r="G75" s="12" t="str">
        <f ca="1">VLOOKUP(F75,Table12[[Native]:[Population4]],5,FALSE)</f>
        <v>晋中市</v>
      </c>
    </row>
    <row r="76" spans="1:7" ht="15.75" thickBot="1" x14ac:dyDescent="0.3">
      <c r="A76" t="s">
        <v>934</v>
      </c>
      <c r="B76" s="1" t="s">
        <v>935</v>
      </c>
      <c r="C76" s="1" t="s">
        <v>7</v>
      </c>
      <c r="D76" s="1" t="s">
        <v>796</v>
      </c>
      <c r="E76" s="9">
        <v>82981</v>
      </c>
      <c r="F76" s="1" t="str">
        <f>VLOOKUP(D76,Table12[[Name]:[Native]],3,FALSE)</f>
        <v>太谷区</v>
      </c>
      <c r="G76" s="12" t="str">
        <f ca="1">VLOOKUP(F76,Table12[[Native]:[Population4]],5,FALSE)</f>
        <v>晋中市</v>
      </c>
    </row>
    <row r="77" spans="1:7" ht="15.75" thickBot="1" x14ac:dyDescent="0.3">
      <c r="A77" t="s">
        <v>936</v>
      </c>
      <c r="B77" s="1" t="s">
        <v>937</v>
      </c>
      <c r="C77" s="1" t="s">
        <v>7</v>
      </c>
      <c r="D77" s="1" t="s">
        <v>788</v>
      </c>
      <c r="E77" s="9">
        <v>34627</v>
      </c>
      <c r="F77" s="1" t="str">
        <f>VLOOKUP(D77,Table12[[Name]:[Native]],3,FALSE)</f>
        <v>灵石县</v>
      </c>
      <c r="G77" s="12" t="str">
        <f ca="1">VLOOKUP(F77,Table12[[Native]:[Population4]],5,FALSE)</f>
        <v>晋中市</v>
      </c>
    </row>
    <row r="78" spans="1:7" ht="15.75" thickBot="1" x14ac:dyDescent="0.3">
      <c r="A78" t="s">
        <v>938</v>
      </c>
      <c r="B78" s="1" t="s">
        <v>939</v>
      </c>
      <c r="C78" s="1" t="s">
        <v>7</v>
      </c>
      <c r="D78" s="1" t="s">
        <v>810</v>
      </c>
      <c r="E78" s="9">
        <v>13691</v>
      </c>
      <c r="F78" s="1" t="str">
        <f>VLOOKUP(D78,Table12[[Name]:[Native]],3,FALSE)</f>
        <v>寿阳县</v>
      </c>
      <c r="G78" s="12" t="str">
        <f ca="1">VLOOKUP(F78,Table12[[Native]:[Population4]],5,FALSE)</f>
        <v>晋中市</v>
      </c>
    </row>
    <row r="79" spans="1:7" ht="15.75" thickBot="1" x14ac:dyDescent="0.3">
      <c r="A79" t="s">
        <v>940</v>
      </c>
      <c r="B79" s="1" t="s">
        <v>941</v>
      </c>
      <c r="C79" s="1" t="s">
        <v>17</v>
      </c>
      <c r="D79" s="1" t="s">
        <v>802</v>
      </c>
      <c r="E79" s="9">
        <v>38365</v>
      </c>
      <c r="F79" s="1" t="str">
        <f>VLOOKUP(D79,Table12[[Name]:[Native]],3,FALSE)</f>
        <v>平遥县</v>
      </c>
      <c r="G79" s="12" t="str">
        <f ca="1">VLOOKUP(F79,Table12[[Native]:[Population4]],5,FALSE)</f>
        <v>晋中市</v>
      </c>
    </row>
    <row r="80" spans="1:7" ht="15.75" thickBot="1" x14ac:dyDescent="0.3">
      <c r="A80" t="s">
        <v>942</v>
      </c>
      <c r="B80" s="1" t="s">
        <v>943</v>
      </c>
      <c r="C80" s="1" t="s">
        <v>7</v>
      </c>
      <c r="D80" s="1" t="s">
        <v>802</v>
      </c>
      <c r="E80" s="9">
        <v>36708</v>
      </c>
      <c r="F80" s="1" t="str">
        <f>VLOOKUP(D80,Table12[[Name]:[Native]],3,FALSE)</f>
        <v>平遥县</v>
      </c>
      <c r="G80" s="12" t="str">
        <f ca="1">VLOOKUP(F80,Table12[[Native]:[Population4]],5,FALSE)</f>
        <v>晋中市</v>
      </c>
    </row>
    <row r="81" spans="1:7" ht="15.75" thickBot="1" x14ac:dyDescent="0.3">
      <c r="A81" t="s">
        <v>944</v>
      </c>
      <c r="B81" s="1" t="s">
        <v>945</v>
      </c>
      <c r="C81" s="1" t="s">
        <v>17</v>
      </c>
      <c r="D81" s="1" t="s">
        <v>861</v>
      </c>
      <c r="E81" s="9">
        <v>7360</v>
      </c>
      <c r="F81" s="1" t="str">
        <f>VLOOKUP(D81,Table12[[Name]:[Native]],3,FALSE)</f>
        <v>和顺县</v>
      </c>
      <c r="G81" s="12" t="str">
        <f ca="1">VLOOKUP(F81,Table12[[Native]:[Population4]],5,FALSE)</f>
        <v>晋中市</v>
      </c>
    </row>
    <row r="82" spans="1:7" ht="15.75" thickBot="1" x14ac:dyDescent="0.3">
      <c r="A82" t="s">
        <v>946</v>
      </c>
      <c r="B82" s="1" t="s">
        <v>947</v>
      </c>
      <c r="C82" s="1" t="s">
        <v>17</v>
      </c>
      <c r="D82" s="1" t="s">
        <v>810</v>
      </c>
      <c r="E82" s="9">
        <v>14405</v>
      </c>
      <c r="F82" s="1" t="str">
        <f>VLOOKUP(D82,Table12[[Name]:[Native]],3,FALSE)</f>
        <v>寿阳县</v>
      </c>
      <c r="G82" s="12" t="str">
        <f ca="1">VLOOKUP(F82,Table12[[Native]:[Population4]],5,FALSE)</f>
        <v>晋中市</v>
      </c>
    </row>
    <row r="83" spans="1:7" ht="15.75" thickBot="1" x14ac:dyDescent="0.3">
      <c r="A83" t="s">
        <v>948</v>
      </c>
      <c r="B83" s="1" t="s">
        <v>949</v>
      </c>
      <c r="C83" s="1" t="s">
        <v>17</v>
      </c>
      <c r="D83" s="1" t="s">
        <v>861</v>
      </c>
      <c r="E83" s="9">
        <v>7406</v>
      </c>
      <c r="F83" s="1" t="str">
        <f>VLOOKUP(D83,Table12[[Name]:[Native]],3,FALSE)</f>
        <v>和顺县</v>
      </c>
      <c r="G83" s="12" t="str">
        <f ca="1">VLOOKUP(F83,Table12[[Native]:[Population4]],5,FALSE)</f>
        <v>晋中市</v>
      </c>
    </row>
    <row r="84" spans="1:7" ht="15.75" thickBot="1" x14ac:dyDescent="0.3">
      <c r="A84" t="s">
        <v>950</v>
      </c>
      <c r="B84" s="1" t="s">
        <v>951</v>
      </c>
      <c r="C84" s="1" t="s">
        <v>7</v>
      </c>
      <c r="D84" s="1" t="s">
        <v>810</v>
      </c>
      <c r="E84" s="9">
        <v>21273</v>
      </c>
      <c r="F84" s="1" t="str">
        <f>VLOOKUP(D84,Table12[[Name]:[Native]],3,FALSE)</f>
        <v>寿阳县</v>
      </c>
      <c r="G84" s="12" t="str">
        <f ca="1">VLOOKUP(F84,Table12[[Native]:[Population4]],5,FALSE)</f>
        <v>晋中市</v>
      </c>
    </row>
    <row r="85" spans="1:7" ht="15.75" thickBot="1" x14ac:dyDescent="0.3">
      <c r="A85" t="s">
        <v>952</v>
      </c>
      <c r="B85" s="1" t="s">
        <v>953</v>
      </c>
      <c r="C85" s="1" t="s">
        <v>7</v>
      </c>
      <c r="D85" s="1" t="s">
        <v>861</v>
      </c>
      <c r="E85" s="9">
        <v>7546</v>
      </c>
      <c r="F85" s="1" t="str">
        <f>VLOOKUP(D85,Table12[[Name]:[Native]],3,FALSE)</f>
        <v>和顺县</v>
      </c>
      <c r="G85" s="12" t="str">
        <f ca="1">VLOOKUP(F85,Table12[[Native]:[Population4]],5,FALSE)</f>
        <v>晋中市</v>
      </c>
    </row>
    <row r="86" spans="1:7" ht="15.75" thickBot="1" x14ac:dyDescent="0.3">
      <c r="A86" t="s">
        <v>954</v>
      </c>
      <c r="B86" s="1" t="s">
        <v>955</v>
      </c>
      <c r="C86" s="1" t="s">
        <v>7</v>
      </c>
      <c r="D86" s="1" t="s">
        <v>815</v>
      </c>
      <c r="E86" s="9">
        <v>12599</v>
      </c>
      <c r="F86" s="1" t="str">
        <f>VLOOKUP(D86,Table12[[Name]:[Native]],3,FALSE)</f>
        <v>左权县</v>
      </c>
      <c r="G86" s="12" t="str">
        <f ca="1">VLOOKUP(F86,Table12[[Native]:[Population4]],5,FALSE)</f>
        <v>晋中市</v>
      </c>
    </row>
    <row r="87" spans="1:7" ht="15.75" thickBot="1" x14ac:dyDescent="0.3">
      <c r="A87" t="s">
        <v>956</v>
      </c>
      <c r="B87" s="1" t="s">
        <v>957</v>
      </c>
      <c r="C87" s="1" t="s">
        <v>17</v>
      </c>
      <c r="D87" s="1" t="s">
        <v>796</v>
      </c>
      <c r="E87" s="9">
        <v>15166</v>
      </c>
      <c r="F87" s="1" t="str">
        <f>VLOOKUP(D87,Table12[[Name]:[Native]],3,FALSE)</f>
        <v>太谷区</v>
      </c>
      <c r="G87" s="12" t="str">
        <f ca="1">VLOOKUP(F87,Table12[[Native]:[Population4]],5,FALSE)</f>
        <v>晋中市</v>
      </c>
    </row>
    <row r="88" spans="1:7" ht="15.75" thickBot="1" x14ac:dyDescent="0.3">
      <c r="A88" t="s">
        <v>958</v>
      </c>
      <c r="B88" s="1" t="s">
        <v>959</v>
      </c>
      <c r="C88" s="1" t="s">
        <v>17</v>
      </c>
      <c r="D88" s="1" t="s">
        <v>824</v>
      </c>
      <c r="E88" s="9">
        <v>8810</v>
      </c>
      <c r="F88" s="1" t="str">
        <f>VLOOKUP(D88,Table12[[Name]:[Native]],3,FALSE)</f>
        <v>昔阳县</v>
      </c>
      <c r="G88" s="12" t="str">
        <f ca="1">VLOOKUP(F88,Table12[[Native]:[Population4]],5,FALSE)</f>
        <v>晋中市</v>
      </c>
    </row>
    <row r="89" spans="1:7" ht="15.75" thickBot="1" x14ac:dyDescent="0.3">
      <c r="A89" t="s">
        <v>960</v>
      </c>
      <c r="B89" s="1" t="s">
        <v>961</v>
      </c>
      <c r="C89" s="1" t="s">
        <v>17</v>
      </c>
      <c r="D89" s="1" t="s">
        <v>789</v>
      </c>
      <c r="E89" s="9">
        <v>18314</v>
      </c>
      <c r="F89" s="1" t="str">
        <f>VLOOKUP(D89,Table12[[Name]:[Native]],3,FALSE)</f>
        <v>介休市</v>
      </c>
      <c r="G89" s="12" t="str">
        <f ca="1">VLOOKUP(F89,Table12[[Native]:[Population4]],5,FALSE)</f>
        <v>晋中市</v>
      </c>
    </row>
    <row r="90" spans="1:7" ht="15.75" thickBot="1" x14ac:dyDescent="0.3">
      <c r="A90" t="s">
        <v>962</v>
      </c>
      <c r="B90" s="1" t="s">
        <v>963</v>
      </c>
      <c r="C90" s="1" t="s">
        <v>17</v>
      </c>
      <c r="D90" s="1" t="s">
        <v>810</v>
      </c>
      <c r="E90" s="9">
        <v>3219</v>
      </c>
      <c r="F90" s="1" t="str">
        <f>VLOOKUP(D90,Table12[[Name]:[Native]],3,FALSE)</f>
        <v>寿阳县</v>
      </c>
      <c r="G90" s="12" t="str">
        <f ca="1">VLOOKUP(F90,Table12[[Native]:[Population4]],5,FALSE)</f>
        <v>晋中市</v>
      </c>
    </row>
    <row r="91" spans="1:7" ht="15.75" thickBot="1" x14ac:dyDescent="0.3">
      <c r="A91" t="s">
        <v>964</v>
      </c>
      <c r="B91" s="1" t="s">
        <v>965</v>
      </c>
      <c r="C91" s="1" t="s">
        <v>7</v>
      </c>
      <c r="D91" s="1" t="s">
        <v>799</v>
      </c>
      <c r="E91" s="9">
        <v>6546</v>
      </c>
      <c r="F91" s="1" t="str">
        <f>VLOOKUP(D91,Table12[[Name]:[Native]],3,FALSE)</f>
        <v>榆社县</v>
      </c>
      <c r="G91" s="12" t="str">
        <f ca="1">VLOOKUP(F91,Table12[[Native]:[Population4]],5,FALSE)</f>
        <v>晋中市</v>
      </c>
    </row>
    <row r="92" spans="1:7" ht="15.75" thickBot="1" x14ac:dyDescent="0.3">
      <c r="A92" t="s">
        <v>966</v>
      </c>
      <c r="B92" s="1" t="s">
        <v>967</v>
      </c>
      <c r="C92" s="1" t="s">
        <v>7</v>
      </c>
      <c r="D92" s="1" t="s">
        <v>785</v>
      </c>
      <c r="E92" s="9">
        <v>12294</v>
      </c>
      <c r="F92" s="1" t="str">
        <f>VLOOKUP(D92,Table12[[Name]:[Native]],3,FALSE)</f>
        <v>榆次区</v>
      </c>
      <c r="G92" s="12" t="str">
        <f ca="1">VLOOKUP(F92,Table12[[Native]:[Population4]],5,FALSE)</f>
        <v>晋中市</v>
      </c>
    </row>
    <row r="93" spans="1:7" ht="15.75" thickBot="1" x14ac:dyDescent="0.3">
      <c r="A93" t="s">
        <v>968</v>
      </c>
      <c r="B93" s="1" t="s">
        <v>969</v>
      </c>
      <c r="C93" s="1" t="s">
        <v>17</v>
      </c>
      <c r="D93" s="1" t="s">
        <v>815</v>
      </c>
      <c r="E93" s="9">
        <v>10881</v>
      </c>
      <c r="F93" s="1" t="str">
        <f>VLOOKUP(D93,Table12[[Name]:[Native]],3,FALSE)</f>
        <v>左权县</v>
      </c>
      <c r="G93" s="12" t="str">
        <f ca="1">VLOOKUP(F93,Table12[[Native]:[Population4]],5,FALSE)</f>
        <v>晋中市</v>
      </c>
    </row>
    <row r="94" spans="1:7" ht="15.75" thickBot="1" x14ac:dyDescent="0.3">
      <c r="A94" t="s">
        <v>970</v>
      </c>
      <c r="B94" s="1" t="s">
        <v>971</v>
      </c>
      <c r="C94" s="1" t="s">
        <v>17</v>
      </c>
      <c r="D94" s="1" t="s">
        <v>796</v>
      </c>
      <c r="E94" s="9">
        <v>23585</v>
      </c>
      <c r="F94" s="1" t="str">
        <f>VLOOKUP(D94,Table12[[Name]:[Native]],3,FALSE)</f>
        <v>太谷区</v>
      </c>
      <c r="G94" s="12" t="str">
        <f ca="1">VLOOKUP(F94,Table12[[Native]:[Population4]],5,FALSE)</f>
        <v>晋中市</v>
      </c>
    </row>
    <row r="95" spans="1:7" ht="15.75" thickBot="1" x14ac:dyDescent="0.3">
      <c r="A95" t="s">
        <v>972</v>
      </c>
      <c r="B95" s="1" t="s">
        <v>973</v>
      </c>
      <c r="C95" s="1" t="s">
        <v>17</v>
      </c>
      <c r="D95" s="1" t="s">
        <v>789</v>
      </c>
      <c r="E95" s="9">
        <v>36456</v>
      </c>
      <c r="F95" s="1" t="str">
        <f>VLOOKUP(D95,Table12[[Name]:[Native]],3,FALSE)</f>
        <v>介休市</v>
      </c>
      <c r="G95" s="12" t="str">
        <f ca="1">VLOOKUP(F95,Table12[[Native]:[Population4]],5,FALSE)</f>
        <v>晋中市</v>
      </c>
    </row>
    <row r="96" spans="1:7" ht="15.75" thickBot="1" x14ac:dyDescent="0.3">
      <c r="A96" t="s">
        <v>974</v>
      </c>
      <c r="B96" s="1" t="s">
        <v>975</v>
      </c>
      <c r="C96" s="1" t="s">
        <v>7</v>
      </c>
      <c r="D96" s="1" t="s">
        <v>810</v>
      </c>
      <c r="E96" s="9">
        <v>7802</v>
      </c>
      <c r="F96" s="1" t="str">
        <f>VLOOKUP(D96,Table12[[Name]:[Native]],3,FALSE)</f>
        <v>寿阳县</v>
      </c>
      <c r="G96" s="12" t="str">
        <f ca="1">VLOOKUP(F96,Table12[[Native]:[Population4]],5,FALSE)</f>
        <v>晋中市</v>
      </c>
    </row>
    <row r="97" spans="1:7" ht="15.75" thickBot="1" x14ac:dyDescent="0.3">
      <c r="A97" t="s">
        <v>976</v>
      </c>
      <c r="B97" s="1" t="s">
        <v>977</v>
      </c>
      <c r="C97" s="1" t="s">
        <v>7</v>
      </c>
      <c r="D97" s="1" t="s">
        <v>861</v>
      </c>
      <c r="E97" s="9">
        <v>13521</v>
      </c>
      <c r="F97" s="1" t="str">
        <f>VLOOKUP(D97,Table12[[Name]:[Native]],3,FALSE)</f>
        <v>和顺县</v>
      </c>
      <c r="G97" s="12" t="str">
        <f ca="1">VLOOKUP(F97,Table12[[Native]:[Population4]],5,FALSE)</f>
        <v>晋中市</v>
      </c>
    </row>
    <row r="98" spans="1:7" ht="15.75" thickBot="1" x14ac:dyDescent="0.3">
      <c r="A98" t="s">
        <v>978</v>
      </c>
      <c r="B98" s="1" t="s">
        <v>979</v>
      </c>
      <c r="C98" s="1" t="s">
        <v>17</v>
      </c>
      <c r="D98" s="1" t="s">
        <v>815</v>
      </c>
      <c r="E98" s="9">
        <v>8818</v>
      </c>
      <c r="F98" s="1" t="str">
        <f>VLOOKUP(D98,Table12[[Name]:[Native]],3,FALSE)</f>
        <v>左权县</v>
      </c>
      <c r="G98" s="12" t="str">
        <f ca="1">VLOOKUP(F98,Table12[[Native]:[Population4]],5,FALSE)</f>
        <v>晋中市</v>
      </c>
    </row>
    <row r="99" spans="1:7" ht="15.75" thickBot="1" x14ac:dyDescent="0.3">
      <c r="A99" t="s">
        <v>980</v>
      </c>
      <c r="B99" s="1" t="s">
        <v>981</v>
      </c>
      <c r="C99" s="1" t="s">
        <v>17</v>
      </c>
      <c r="D99" s="1" t="s">
        <v>788</v>
      </c>
      <c r="E99" s="9">
        <v>6751</v>
      </c>
      <c r="F99" s="1" t="str">
        <f>VLOOKUP(D99,Table12[[Name]:[Native]],3,FALSE)</f>
        <v>灵石县</v>
      </c>
      <c r="G99" s="12" t="str">
        <f ca="1">VLOOKUP(F99,Table12[[Native]:[Population4]],5,FALSE)</f>
        <v>晋中市</v>
      </c>
    </row>
    <row r="100" spans="1:7" ht="15.75" thickBot="1" x14ac:dyDescent="0.3">
      <c r="A100" t="s">
        <v>982</v>
      </c>
      <c r="B100" s="1" t="s">
        <v>983</v>
      </c>
      <c r="C100" s="1" t="s">
        <v>7</v>
      </c>
      <c r="D100" s="1" t="s">
        <v>815</v>
      </c>
      <c r="E100" s="9">
        <v>9423</v>
      </c>
      <c r="F100" s="1" t="str">
        <f>VLOOKUP(D100,Table12[[Name]:[Native]],3,FALSE)</f>
        <v>左权县</v>
      </c>
      <c r="G100" s="12" t="str">
        <f ca="1">VLOOKUP(F100,Table12[[Native]:[Population4]],5,FALSE)</f>
        <v>晋中市</v>
      </c>
    </row>
    <row r="101" spans="1:7" ht="15.75" thickBot="1" x14ac:dyDescent="0.3">
      <c r="A101" t="s">
        <v>984</v>
      </c>
      <c r="B101" s="1" t="s">
        <v>985</v>
      </c>
      <c r="C101" s="1" t="s">
        <v>17</v>
      </c>
      <c r="D101" s="1" t="s">
        <v>788</v>
      </c>
      <c r="E101" s="9">
        <v>6095</v>
      </c>
      <c r="F101" s="1" t="str">
        <f>VLOOKUP(D101,Table12[[Name]:[Native]],3,FALSE)</f>
        <v>灵石县</v>
      </c>
      <c r="G101" s="12" t="str">
        <f ca="1">VLOOKUP(F101,Table12[[Native]:[Population4]],5,FALSE)</f>
        <v>晋中市</v>
      </c>
    </row>
    <row r="102" spans="1:7" ht="15.75" thickBot="1" x14ac:dyDescent="0.3">
      <c r="A102" t="s">
        <v>986</v>
      </c>
      <c r="B102" s="1" t="s">
        <v>987</v>
      </c>
      <c r="C102" s="1" t="s">
        <v>17</v>
      </c>
      <c r="D102" s="1" t="s">
        <v>861</v>
      </c>
      <c r="E102" s="9">
        <v>7651</v>
      </c>
      <c r="F102" s="1" t="str">
        <f>VLOOKUP(D102,Table12[[Name]:[Native]],3,FALSE)</f>
        <v>和顺县</v>
      </c>
      <c r="G102" s="12" t="str">
        <f ca="1">VLOOKUP(F102,Table12[[Native]:[Population4]],5,FALSE)</f>
        <v>晋中市</v>
      </c>
    </row>
    <row r="103" spans="1:7" ht="15.75" thickBot="1" x14ac:dyDescent="0.3">
      <c r="A103" t="s">
        <v>988</v>
      </c>
      <c r="B103" s="1" t="s">
        <v>989</v>
      </c>
      <c r="C103" s="1" t="s">
        <v>17</v>
      </c>
      <c r="D103" s="1" t="s">
        <v>810</v>
      </c>
      <c r="E103" s="9">
        <v>8603</v>
      </c>
      <c r="F103" s="1" t="str">
        <f>VLOOKUP(D103,Table12[[Name]:[Native]],3,FALSE)</f>
        <v>寿阳县</v>
      </c>
      <c r="G103" s="12" t="str">
        <f ca="1">VLOOKUP(F103,Table12[[Native]:[Population4]],5,FALSE)</f>
        <v>晋中市</v>
      </c>
    </row>
    <row r="104" spans="1:7" ht="15.75" thickBot="1" x14ac:dyDescent="0.3">
      <c r="A104" t="s">
        <v>990</v>
      </c>
      <c r="B104" s="1" t="s">
        <v>991</v>
      </c>
      <c r="C104" s="1" t="s">
        <v>7</v>
      </c>
      <c r="D104" s="1" t="s">
        <v>785</v>
      </c>
      <c r="E104" s="9">
        <v>33115</v>
      </c>
      <c r="F104" s="1" t="str">
        <f>VLOOKUP(D104,Table12[[Name]:[Native]],3,FALSE)</f>
        <v>榆次区</v>
      </c>
      <c r="G104" s="12" t="str">
        <f ca="1">VLOOKUP(F104,Table12[[Native]:[Population4]],5,FALSE)</f>
        <v>晋中市</v>
      </c>
    </row>
    <row r="105" spans="1:7" ht="15.75" thickBot="1" x14ac:dyDescent="0.3">
      <c r="A105" t="s">
        <v>992</v>
      </c>
      <c r="B105" s="1" t="s">
        <v>993</v>
      </c>
      <c r="C105" s="1" t="s">
        <v>7</v>
      </c>
      <c r="D105" s="1" t="s">
        <v>788</v>
      </c>
      <c r="E105" s="9">
        <v>11653</v>
      </c>
      <c r="F105" s="1" t="str">
        <f>VLOOKUP(D105,Table12[[Name]:[Native]],3,FALSE)</f>
        <v>灵石县</v>
      </c>
      <c r="G105" s="12" t="str">
        <f ca="1">VLOOKUP(F105,Table12[[Native]:[Population4]],5,FALSE)</f>
        <v>晋中市</v>
      </c>
    </row>
    <row r="106" spans="1:7" ht="15.75" thickBot="1" x14ac:dyDescent="0.3">
      <c r="A106" t="s">
        <v>994</v>
      </c>
      <c r="B106" s="1" t="s">
        <v>995</v>
      </c>
      <c r="C106" s="1" t="s">
        <v>17</v>
      </c>
      <c r="D106" s="1" t="s">
        <v>802</v>
      </c>
      <c r="E106" s="9">
        <v>22951</v>
      </c>
      <c r="F106" s="1" t="str">
        <f>VLOOKUP(D106,Table12[[Name]:[Native]],3,FALSE)</f>
        <v>平遥县</v>
      </c>
      <c r="G106" s="12" t="str">
        <f ca="1">VLOOKUP(F106,Table12[[Native]:[Population4]],5,FALSE)</f>
        <v>晋中市</v>
      </c>
    </row>
    <row r="107" spans="1:7" ht="15.75" thickBot="1" x14ac:dyDescent="0.3">
      <c r="A107" t="s">
        <v>996</v>
      </c>
      <c r="B107" s="1" t="s">
        <v>997</v>
      </c>
      <c r="C107" s="1" t="s">
        <v>17</v>
      </c>
      <c r="D107" s="1" t="s">
        <v>802</v>
      </c>
      <c r="E107" s="9">
        <v>22076</v>
      </c>
      <c r="F107" s="1" t="str">
        <f>VLOOKUP(D107,Table12[[Name]:[Native]],3,FALSE)</f>
        <v>平遥县</v>
      </c>
      <c r="G107" s="12" t="str">
        <f ca="1">VLOOKUP(F107,Table12[[Native]:[Population4]],5,FALSE)</f>
        <v>晋中市</v>
      </c>
    </row>
    <row r="108" spans="1:7" ht="15.75" thickBot="1" x14ac:dyDescent="0.3">
      <c r="A108" t="s">
        <v>998</v>
      </c>
      <c r="B108" s="1" t="s">
        <v>999</v>
      </c>
      <c r="C108" s="1" t="s">
        <v>17</v>
      </c>
      <c r="D108" s="1" t="s">
        <v>796</v>
      </c>
      <c r="E108" s="9">
        <v>15656</v>
      </c>
      <c r="F108" s="1" t="str">
        <f>VLOOKUP(D108,Table12[[Name]:[Native]],3,FALSE)</f>
        <v>太谷区</v>
      </c>
      <c r="G108" s="12" t="str">
        <f ca="1">VLOOKUP(F108,Table12[[Native]:[Population4]],5,FALSE)</f>
        <v>晋中市</v>
      </c>
    </row>
    <row r="109" spans="1:7" ht="15.75" thickBot="1" x14ac:dyDescent="0.3">
      <c r="A109" t="s">
        <v>1000</v>
      </c>
      <c r="B109" s="1" t="s">
        <v>1001</v>
      </c>
      <c r="C109" s="1" t="s">
        <v>31</v>
      </c>
      <c r="D109" s="1" t="s">
        <v>788</v>
      </c>
      <c r="E109" s="9">
        <v>19046</v>
      </c>
      <c r="F109" s="1" t="str">
        <f>VLOOKUP(D109,Table12[[Name]:[Native]],3,FALSE)</f>
        <v>灵石县</v>
      </c>
      <c r="G109" s="12" t="str">
        <f ca="1">VLOOKUP(F109,Table12[[Native]:[Population4]],5,FALSE)</f>
        <v>晋中市</v>
      </c>
    </row>
    <row r="110" spans="1:7" ht="15.75" thickBot="1" x14ac:dyDescent="0.3">
      <c r="A110" t="s">
        <v>1002</v>
      </c>
      <c r="B110" s="1" t="s">
        <v>1003</v>
      </c>
      <c r="C110" s="1" t="s">
        <v>31</v>
      </c>
      <c r="D110" s="1" t="s">
        <v>789</v>
      </c>
      <c r="E110" s="9">
        <v>22041</v>
      </c>
      <c r="F110" s="1" t="str">
        <f>VLOOKUP(D110,Table12[[Name]:[Native]],3,FALSE)</f>
        <v>介休市</v>
      </c>
      <c r="G110" s="12" t="str">
        <f ca="1">VLOOKUP(F110,Table12[[Native]:[Population4]],5,FALSE)</f>
        <v>晋中市</v>
      </c>
    </row>
    <row r="111" spans="1:7" ht="15.75" thickBot="1" x14ac:dyDescent="0.3">
      <c r="A111" t="s">
        <v>1004</v>
      </c>
      <c r="B111" s="1" t="s">
        <v>1005</v>
      </c>
      <c r="C111" s="1" t="s">
        <v>17</v>
      </c>
      <c r="D111" s="1" t="s">
        <v>807</v>
      </c>
      <c r="E111" s="9">
        <v>20527</v>
      </c>
      <c r="F111" s="1" t="str">
        <f>VLOOKUP(D111,Table12[[Name]:[Native]],3,FALSE)</f>
        <v>祁县</v>
      </c>
      <c r="G111" s="12" t="str">
        <f ca="1">VLOOKUP(F111,Table12[[Native]:[Population4]],5,FALSE)</f>
        <v>晋中市</v>
      </c>
    </row>
    <row r="112" spans="1:7" ht="15.75" thickBot="1" x14ac:dyDescent="0.3">
      <c r="A112" t="s">
        <v>1006</v>
      </c>
      <c r="B112" s="1" t="s">
        <v>1007</v>
      </c>
      <c r="C112" s="1" t="s">
        <v>7</v>
      </c>
      <c r="D112" s="1" t="s">
        <v>810</v>
      </c>
      <c r="E112" s="9">
        <v>7513</v>
      </c>
      <c r="F112" s="1" t="str">
        <f>VLOOKUP(D112,Table12[[Name]:[Native]],3,FALSE)</f>
        <v>寿阳县</v>
      </c>
      <c r="G112" s="12" t="str">
        <f ca="1">VLOOKUP(F112,Table12[[Native]:[Population4]],5,FALSE)</f>
        <v>晋中市</v>
      </c>
    </row>
    <row r="113" spans="1:7" ht="15.75" thickBot="1" x14ac:dyDescent="0.3">
      <c r="A113" t="s">
        <v>1008</v>
      </c>
      <c r="B113" s="1" t="s">
        <v>1009</v>
      </c>
      <c r="C113" s="1" t="s">
        <v>17</v>
      </c>
      <c r="D113" s="1" t="s">
        <v>799</v>
      </c>
      <c r="E113" s="9">
        <v>10191</v>
      </c>
      <c r="F113" s="1" t="str">
        <f>VLOOKUP(D113,Table12[[Name]:[Native]],3,FALSE)</f>
        <v>榆社县</v>
      </c>
      <c r="G113" s="12" t="str">
        <f ca="1">VLOOKUP(F113,Table12[[Native]:[Population4]],5,FALSE)</f>
        <v>晋中市</v>
      </c>
    </row>
    <row r="114" spans="1:7" ht="15.75" thickBot="1" x14ac:dyDescent="0.3">
      <c r="A114" t="s">
        <v>1010</v>
      </c>
      <c r="B114" s="1" t="s">
        <v>1011</v>
      </c>
      <c r="C114" s="1" t="s">
        <v>31</v>
      </c>
      <c r="D114" s="1" t="s">
        <v>785</v>
      </c>
      <c r="E114" s="9">
        <v>23173</v>
      </c>
      <c r="F114" s="1" t="str">
        <f>VLOOKUP(D114,Table12[[Name]:[Native]],3,FALSE)</f>
        <v>榆次区</v>
      </c>
      <c r="G114" s="12" t="str">
        <f ca="1">VLOOKUP(F114,Table12[[Native]:[Population4]],5,FALSE)</f>
        <v>晋中市</v>
      </c>
    </row>
    <row r="115" spans="1:7" ht="15.75" thickBot="1" x14ac:dyDescent="0.3">
      <c r="A115" t="s">
        <v>1010</v>
      </c>
      <c r="B115" s="1" t="s">
        <v>1011</v>
      </c>
      <c r="C115" s="1" t="s">
        <v>31</v>
      </c>
      <c r="D115" s="1" t="s">
        <v>789</v>
      </c>
      <c r="E115" s="9">
        <v>29579</v>
      </c>
      <c r="F115" s="1" t="str">
        <f>VLOOKUP(D115,Table12[[Name]:[Native]],3,FALSE)</f>
        <v>介休市</v>
      </c>
      <c r="G115" s="12" t="str">
        <f ca="1">VLOOKUP(F115,Table12[[Native]:[Population4]],5,FALSE)</f>
        <v>晋中市</v>
      </c>
    </row>
    <row r="116" spans="1:7" ht="15.75" thickBot="1" x14ac:dyDescent="0.3">
      <c r="A116" t="s">
        <v>1012</v>
      </c>
      <c r="B116" s="1" t="s">
        <v>1013</v>
      </c>
      <c r="C116" s="1" t="s">
        <v>31</v>
      </c>
      <c r="D116" s="1" t="s">
        <v>785</v>
      </c>
      <c r="E116" s="9">
        <v>32581</v>
      </c>
      <c r="F116" s="1" t="str">
        <f>VLOOKUP(D116,Table12[[Name]:[Native]],3,FALSE)</f>
        <v>榆次区</v>
      </c>
      <c r="G116" s="12" t="str">
        <f ca="1">VLOOKUP(F116,Table12[[Native]:[Population4]],5,FALSE)</f>
        <v>晋中市</v>
      </c>
    </row>
    <row r="117" spans="1:7" ht="15.75" thickBot="1" x14ac:dyDescent="0.3">
      <c r="A117" t="s">
        <v>1014</v>
      </c>
      <c r="B117" s="1" t="s">
        <v>1015</v>
      </c>
      <c r="C117" s="1" t="s">
        <v>31</v>
      </c>
      <c r="D117" s="1" t="s">
        <v>785</v>
      </c>
      <c r="E117" s="9">
        <v>38634</v>
      </c>
      <c r="F117" s="1" t="str">
        <f>VLOOKUP(D117,Table12[[Name]:[Native]],3,FALSE)</f>
        <v>榆次区</v>
      </c>
      <c r="G117" s="12" t="str">
        <f ca="1">VLOOKUP(F117,Table12[[Native]:[Population4]],5,FALSE)</f>
        <v>晋中市</v>
      </c>
    </row>
    <row r="118" spans="1:7" ht="15.75" thickBot="1" x14ac:dyDescent="0.3">
      <c r="A118" t="s">
        <v>1016</v>
      </c>
      <c r="B118" s="1" t="s">
        <v>1017</v>
      </c>
      <c r="C118" s="1" t="s">
        <v>7</v>
      </c>
      <c r="D118" s="1" t="s">
        <v>785</v>
      </c>
      <c r="E118" s="9">
        <v>29183</v>
      </c>
      <c r="F118" s="1" t="str">
        <f>VLOOKUP(D118,Table12[[Name]:[Native]],3,FALSE)</f>
        <v>榆次区</v>
      </c>
      <c r="G118" s="12" t="str">
        <f ca="1">VLOOKUP(F118,Table12[[Native]:[Population4]],5,FALSE)</f>
        <v>晋中市</v>
      </c>
    </row>
    <row r="119" spans="1:7" ht="15.75" thickBot="1" x14ac:dyDescent="0.3">
      <c r="A119" t="s">
        <v>1018</v>
      </c>
      <c r="B119" s="1" t="s">
        <v>1019</v>
      </c>
      <c r="C119" s="1" t="s">
        <v>17</v>
      </c>
      <c r="D119" s="1" t="s">
        <v>824</v>
      </c>
      <c r="E119" s="9">
        <v>3919</v>
      </c>
      <c r="F119" s="1" t="str">
        <f>VLOOKUP(D119,Table12[[Name]:[Native]],3,FALSE)</f>
        <v>昔阳县</v>
      </c>
      <c r="G119" s="12" t="str">
        <f ca="1">VLOOKUP(F119,Table12[[Native]:[Population4]],5,FALSE)</f>
        <v>晋中市</v>
      </c>
    </row>
    <row r="120" spans="1:7" ht="15.75" thickBot="1" x14ac:dyDescent="0.3">
      <c r="A120" t="s">
        <v>1020</v>
      </c>
      <c r="B120" s="1" t="s">
        <v>1021</v>
      </c>
      <c r="C120" s="1" t="s">
        <v>17</v>
      </c>
      <c r="D120" s="1" t="s">
        <v>861</v>
      </c>
      <c r="E120" s="9">
        <v>3237</v>
      </c>
      <c r="F120" s="1" t="str">
        <f>VLOOKUP(D120,Table12[[Name]:[Native]],3,FALSE)</f>
        <v>和顺县</v>
      </c>
      <c r="G120" s="12" t="str">
        <f ca="1">VLOOKUP(F120,Table12[[Native]:[Population4]],5,FALSE)</f>
        <v>晋中市</v>
      </c>
    </row>
    <row r="121" spans="1:7" ht="15.75" thickBot="1" x14ac:dyDescent="0.3">
      <c r="A121" t="s">
        <v>1022</v>
      </c>
      <c r="B121" s="1" t="s">
        <v>1023</v>
      </c>
      <c r="C121" s="1" t="s">
        <v>17</v>
      </c>
      <c r="D121" s="1" t="s">
        <v>815</v>
      </c>
      <c r="E121" s="9">
        <v>5504</v>
      </c>
      <c r="F121" s="1" t="str">
        <f>VLOOKUP(D121,Table12[[Name]:[Native]],3,FALSE)</f>
        <v>左权县</v>
      </c>
      <c r="G121" s="12" t="str">
        <f ca="1">VLOOKUP(F121,Table12[[Native]:[Population4]],5,FALSE)</f>
        <v>晋中市</v>
      </c>
    </row>
    <row r="122" spans="1:7" ht="15.75" thickBot="1" x14ac:dyDescent="0.3">
      <c r="A122" t="s">
        <v>1024</v>
      </c>
      <c r="B122" s="1" t="s">
        <v>1025</v>
      </c>
      <c r="C122" s="1" t="s">
        <v>17</v>
      </c>
      <c r="D122" s="1" t="s">
        <v>810</v>
      </c>
      <c r="E122" s="9">
        <v>5686</v>
      </c>
      <c r="F122" s="1" t="str">
        <f>VLOOKUP(D122,Table12[[Name]:[Native]],3,FALSE)</f>
        <v>寿阳县</v>
      </c>
      <c r="G122" s="12" t="str">
        <f ca="1">VLOOKUP(F122,Table12[[Native]:[Population4]],5,FALSE)</f>
        <v>晋中市</v>
      </c>
    </row>
    <row r="123" spans="1:7" ht="15.75" thickBot="1" x14ac:dyDescent="0.3">
      <c r="A123" t="s">
        <v>1026</v>
      </c>
      <c r="B123" s="1" t="s">
        <v>1027</v>
      </c>
      <c r="C123" s="1" t="s">
        <v>17</v>
      </c>
      <c r="D123" s="1" t="s">
        <v>796</v>
      </c>
      <c r="E123" s="9">
        <v>23696</v>
      </c>
      <c r="F123" s="1" t="str">
        <f>VLOOKUP(D123,Table12[[Name]:[Native]],3,FALSE)</f>
        <v>太谷区</v>
      </c>
      <c r="G123" s="12" t="str">
        <f ca="1">VLOOKUP(F123,Table12[[Native]:[Population4]],5,FALSE)</f>
        <v>晋中市</v>
      </c>
    </row>
    <row r="124" spans="1:7" ht="15.75" thickBot="1" x14ac:dyDescent="0.3">
      <c r="A124" t="s">
        <v>1028</v>
      </c>
      <c r="B124" s="1" t="s">
        <v>1029</v>
      </c>
      <c r="C124" s="1" t="s">
        <v>17</v>
      </c>
      <c r="D124" s="1" t="s">
        <v>824</v>
      </c>
      <c r="E124" s="9">
        <v>9145</v>
      </c>
      <c r="F124" s="1" t="str">
        <f>VLOOKUP(D124,Table12[[Name]:[Native]],3,FALSE)</f>
        <v>昔阳县</v>
      </c>
      <c r="G124" s="12" t="str">
        <f ca="1">VLOOKUP(F124,Table12[[Native]:[Population4]],5,FALSE)</f>
        <v>晋中市</v>
      </c>
    </row>
    <row r="125" spans="1:7" ht="15.75" thickBot="1" x14ac:dyDescent="0.3">
      <c r="A125" t="s">
        <v>1030</v>
      </c>
      <c r="B125" s="1" t="s">
        <v>1031</v>
      </c>
      <c r="C125" s="1" t="s">
        <v>7</v>
      </c>
      <c r="D125" s="1" t="s">
        <v>824</v>
      </c>
      <c r="E125" s="9">
        <v>12341</v>
      </c>
      <c r="F125" s="1" t="str">
        <f>VLOOKUP(D125,Table12[[Name]:[Native]],3,FALSE)</f>
        <v>昔阳县</v>
      </c>
      <c r="G125" s="12" t="str">
        <f ca="1">VLOOKUP(F125,Table12[[Native]:[Population4]],5,FALSE)</f>
        <v>晋中市</v>
      </c>
    </row>
    <row r="126" spans="1:7" ht="15.75" thickBot="1" x14ac:dyDescent="0.3">
      <c r="A126" t="s">
        <v>1032</v>
      </c>
      <c r="B126" s="1" t="s">
        <v>1033</v>
      </c>
      <c r="C126" s="1" t="s">
        <v>7</v>
      </c>
      <c r="D126" s="1" t="s">
        <v>789</v>
      </c>
      <c r="E126" s="9">
        <v>54246</v>
      </c>
      <c r="F126" s="1" t="str">
        <f>VLOOKUP(D126,Table12[[Name]:[Native]],3,FALSE)</f>
        <v>介休市</v>
      </c>
      <c r="G126" s="12" t="str">
        <f ca="1">VLOOKUP(F126,Table12[[Native]:[Population4]],5,FALSE)</f>
        <v>晋中市</v>
      </c>
    </row>
    <row r="127" spans="1:7" ht="15.75" thickBot="1" x14ac:dyDescent="0.3">
      <c r="A127" t="s">
        <v>1034</v>
      </c>
      <c r="B127" s="1" t="s">
        <v>1035</v>
      </c>
      <c r="C127" s="1" t="s">
        <v>17</v>
      </c>
      <c r="D127" s="1" t="s">
        <v>788</v>
      </c>
      <c r="E127" s="9">
        <v>7920</v>
      </c>
      <c r="F127" s="1" t="str">
        <f>VLOOKUP(D127,Table12[[Name]:[Native]],3,FALSE)</f>
        <v>灵石县</v>
      </c>
      <c r="G127" s="12" t="str">
        <f ca="1">VLOOKUP(F127,Table12[[Native]:[Population4]],5,FALSE)</f>
        <v>晋中市</v>
      </c>
    </row>
    <row r="128" spans="1:7" ht="15.75" thickBot="1" x14ac:dyDescent="0.3">
      <c r="A128" t="s">
        <v>1036</v>
      </c>
      <c r="B128" s="1" t="s">
        <v>1037</v>
      </c>
      <c r="C128" s="1" t="s">
        <v>7</v>
      </c>
      <c r="D128" s="1" t="s">
        <v>810</v>
      </c>
      <c r="E128" s="9">
        <v>8915</v>
      </c>
      <c r="F128" s="1" t="str">
        <f>VLOOKUP(D128,Table12[[Name]:[Native]],3,FALSE)</f>
        <v>寿阳县</v>
      </c>
      <c r="G128" s="12" t="str">
        <f ca="1">VLOOKUP(F128,Table12[[Native]:[Population4]],5,FALSE)</f>
        <v>晋中市</v>
      </c>
    </row>
    <row r="129" spans="1:7" ht="15.75" thickBot="1" x14ac:dyDescent="0.3">
      <c r="A129" t="s">
        <v>1038</v>
      </c>
      <c r="B129" s="1" t="s">
        <v>1039</v>
      </c>
      <c r="C129" s="1" t="s">
        <v>7</v>
      </c>
      <c r="D129" s="1" t="s">
        <v>789</v>
      </c>
      <c r="E129" s="9">
        <v>28237</v>
      </c>
      <c r="F129" s="1" t="str">
        <f>VLOOKUP(D129,Table12[[Name]:[Native]],3,FALSE)</f>
        <v>介休市</v>
      </c>
      <c r="G129" s="12" t="str">
        <f ca="1">VLOOKUP(F129,Table12[[Native]:[Population4]],5,FALSE)</f>
        <v>晋中市</v>
      </c>
    </row>
    <row r="130" spans="1:7" ht="15.75" thickBot="1" x14ac:dyDescent="0.3">
      <c r="A130" t="s">
        <v>1040</v>
      </c>
      <c r="B130" s="1" t="s">
        <v>1041</v>
      </c>
      <c r="C130" s="1" t="s">
        <v>7</v>
      </c>
      <c r="D130" s="1" t="s">
        <v>861</v>
      </c>
      <c r="E130" s="9">
        <v>71271</v>
      </c>
      <c r="F130" s="1" t="str">
        <f>VLOOKUP(D130,Table12[[Name]:[Native]],3,FALSE)</f>
        <v>和顺县</v>
      </c>
      <c r="G130" s="12" t="str">
        <f ca="1">VLOOKUP(F130,Table12[[Native]:[Population4]],5,FALSE)</f>
        <v>晋中市</v>
      </c>
    </row>
    <row r="131" spans="1:7" ht="15.75" thickBot="1" x14ac:dyDescent="0.3">
      <c r="A131" t="s">
        <v>1042</v>
      </c>
      <c r="B131" s="1" t="s">
        <v>1043</v>
      </c>
      <c r="C131" s="1" t="s">
        <v>17</v>
      </c>
      <c r="D131" s="1" t="s">
        <v>802</v>
      </c>
      <c r="E131" s="9">
        <v>49113</v>
      </c>
      <c r="F131" s="1" t="str">
        <f>VLOOKUP(D131,Table12[[Name]:[Native]],3,FALSE)</f>
        <v>平遥县</v>
      </c>
      <c r="G131" s="12" t="str">
        <f ca="1">VLOOKUP(F131,Table12[[Native]:[Population4]],5,FALSE)</f>
        <v>晋中市</v>
      </c>
    </row>
    <row r="132" spans="1:7" ht="15.75" thickBot="1" x14ac:dyDescent="0.3">
      <c r="A132" t="s">
        <v>1044</v>
      </c>
      <c r="B132" s="1" t="s">
        <v>1045</v>
      </c>
      <c r="C132" s="1" t="s">
        <v>17</v>
      </c>
      <c r="D132" s="1" t="s">
        <v>807</v>
      </c>
      <c r="E132" s="9">
        <v>9311</v>
      </c>
      <c r="F132" s="1" t="str">
        <f>VLOOKUP(D132,Table12[[Name]:[Native]],3,FALSE)</f>
        <v>祁县</v>
      </c>
      <c r="G132" s="12" t="str">
        <f ca="1">VLOOKUP(F132,Table12[[Native]:[Population4]],5,FALSE)</f>
        <v>晋中市</v>
      </c>
    </row>
    <row r="133" spans="1:7" ht="15.75" thickBot="1" x14ac:dyDescent="0.3">
      <c r="A133" t="s">
        <v>1046</v>
      </c>
      <c r="B133" s="1" t="s">
        <v>1047</v>
      </c>
      <c r="C133" s="1" t="s">
        <v>7</v>
      </c>
      <c r="D133" s="1" t="s">
        <v>799</v>
      </c>
      <c r="E133" s="9">
        <v>16153</v>
      </c>
      <c r="F133" s="1" t="str">
        <f>VLOOKUP(D133,Table12[[Name]:[Native]],3,FALSE)</f>
        <v>榆社县</v>
      </c>
      <c r="G133" s="12" t="str">
        <f ca="1">VLOOKUP(F133,Table12[[Native]:[Population4]],5,FALSE)</f>
        <v>晋中市</v>
      </c>
    </row>
    <row r="134" spans="1:7" ht="15.75" thickBot="1" x14ac:dyDescent="0.3">
      <c r="A134" t="s">
        <v>1048</v>
      </c>
      <c r="B134" s="1" t="s">
        <v>1049</v>
      </c>
      <c r="C134" s="1" t="s">
        <v>7</v>
      </c>
      <c r="D134" s="1" t="s">
        <v>789</v>
      </c>
      <c r="E134" s="9">
        <v>43151</v>
      </c>
      <c r="F134" s="1" t="str">
        <f>VLOOKUP(D134,Table12[[Name]:[Native]],3,FALSE)</f>
        <v>介休市</v>
      </c>
      <c r="G134" s="12" t="str">
        <f ca="1">VLOOKUP(F134,Table12[[Native]:[Population4]],5,FALSE)</f>
        <v>晋中市</v>
      </c>
    </row>
    <row r="135" spans="1:7" ht="15.75" thickBot="1" x14ac:dyDescent="0.3">
      <c r="A135" t="s">
        <v>1050</v>
      </c>
      <c r="B135" s="1" t="s">
        <v>1051</v>
      </c>
      <c r="C135" s="1" t="s">
        <v>17</v>
      </c>
      <c r="D135" s="1" t="s">
        <v>785</v>
      </c>
      <c r="E135" s="9">
        <v>38595</v>
      </c>
      <c r="F135" s="1" t="str">
        <f>VLOOKUP(D135,Table12[[Name]:[Native]],3,FALSE)</f>
        <v>榆次区</v>
      </c>
      <c r="G135" s="12" t="str">
        <f ca="1">VLOOKUP(F135,Table12[[Native]:[Population4]],5,FALSE)</f>
        <v>晋中市</v>
      </c>
    </row>
    <row r="136" spans="1:7" ht="15.75" thickBot="1" x14ac:dyDescent="0.3">
      <c r="A136" t="s">
        <v>1052</v>
      </c>
      <c r="B136" s="1" t="s">
        <v>1053</v>
      </c>
      <c r="C136" s="1" t="s">
        <v>7</v>
      </c>
      <c r="D136" s="1" t="s">
        <v>824</v>
      </c>
      <c r="E136" s="9">
        <v>7808</v>
      </c>
      <c r="F136" s="1" t="str">
        <f>VLOOKUP(D136,Table12[[Name]:[Native]],3,FALSE)</f>
        <v>昔阳县</v>
      </c>
      <c r="G136" s="12" t="str">
        <f ca="1">VLOOKUP(F136,Table12[[Native]:[Population4]],5,FALSE)</f>
        <v>晋中市</v>
      </c>
    </row>
    <row r="137" spans="1:7" ht="15.75" thickBot="1" x14ac:dyDescent="0.3">
      <c r="A137" t="s">
        <v>1054</v>
      </c>
      <c r="B137" s="1" t="s">
        <v>1055</v>
      </c>
      <c r="C137" s="1" t="s">
        <v>17</v>
      </c>
      <c r="D137" s="1" t="s">
        <v>824</v>
      </c>
      <c r="E137" s="9">
        <v>16859</v>
      </c>
      <c r="F137" s="1" t="str">
        <f>VLOOKUP(D137,Table12[[Name]:[Native]],3,FALSE)</f>
        <v>昔阳县</v>
      </c>
      <c r="G137" s="12" t="str">
        <f ca="1">VLOOKUP(F137,Table12[[Native]:[Population4]],5,FALSE)</f>
        <v>晋中市</v>
      </c>
    </row>
    <row r="138" spans="1:7" ht="15.75" thickBot="1" x14ac:dyDescent="0.3">
      <c r="A138" t="s">
        <v>1056</v>
      </c>
      <c r="B138" s="1" t="s">
        <v>1057</v>
      </c>
      <c r="C138" s="1" t="s">
        <v>7</v>
      </c>
      <c r="D138" s="1" t="s">
        <v>807</v>
      </c>
      <c r="E138" s="9">
        <v>31685</v>
      </c>
      <c r="F138" s="1" t="str">
        <f>VLOOKUP(D138,Table12[[Name]:[Native]],3,FALSE)</f>
        <v>祁县</v>
      </c>
      <c r="G138" s="12" t="str">
        <f ca="1">VLOOKUP(F138,Table12[[Native]:[Population4]],5,FALSE)</f>
        <v>晋中市</v>
      </c>
    </row>
    <row r="139" spans="1:7" ht="15.75" thickBot="1" x14ac:dyDescent="0.3">
      <c r="A139" t="s">
        <v>1058</v>
      </c>
      <c r="B139" s="1" t="s">
        <v>1059</v>
      </c>
      <c r="C139" s="1" t="s">
        <v>17</v>
      </c>
      <c r="D139" s="1" t="s">
        <v>802</v>
      </c>
      <c r="E139" s="9">
        <v>33438</v>
      </c>
      <c r="F139" s="1" t="str">
        <f>VLOOKUP(D139,Table12[[Name]:[Native]],3,FALSE)</f>
        <v>平遥县</v>
      </c>
      <c r="G139" s="12" t="str">
        <f ca="1">VLOOKUP(F139,Table12[[Native]:[Population4]],5,FALSE)</f>
        <v>晋中市</v>
      </c>
    </row>
    <row r="140" spans="1:7" ht="15.75" thickBot="1" x14ac:dyDescent="0.3">
      <c r="A140" t="s">
        <v>1060</v>
      </c>
      <c r="B140" s="1" t="s">
        <v>1061</v>
      </c>
      <c r="C140" s="1" t="s">
        <v>17</v>
      </c>
      <c r="D140" s="1" t="s">
        <v>785</v>
      </c>
      <c r="E140" s="9">
        <v>12456</v>
      </c>
      <c r="F140" s="1" t="str">
        <f>VLOOKUP(D140,Table12[[Name]:[Native]],3,FALSE)</f>
        <v>榆次区</v>
      </c>
      <c r="G140" s="12" t="str">
        <f ca="1">VLOOKUP(F140,Table12[[Native]:[Population4]],5,FALSE)</f>
        <v>晋中市</v>
      </c>
    </row>
    <row r="141" spans="1:7" ht="15.75" thickBot="1" x14ac:dyDescent="0.3">
      <c r="A141" t="s">
        <v>1062</v>
      </c>
      <c r="B141" s="1" t="s">
        <v>1063</v>
      </c>
      <c r="C141" s="1" t="s">
        <v>17</v>
      </c>
      <c r="D141" s="1" t="s">
        <v>802</v>
      </c>
      <c r="E141" s="9">
        <v>25483</v>
      </c>
      <c r="F141" s="1" t="str">
        <f>VLOOKUP(D141,Table12[[Name]:[Native]],3,FALSE)</f>
        <v>平遥县</v>
      </c>
      <c r="G141" s="12" t="str">
        <f ca="1">VLOOKUP(F141,Table12[[Native]:[Population4]],5,FALSE)</f>
        <v>晋中市</v>
      </c>
    </row>
    <row r="142" spans="1:7" ht="15.75" thickBot="1" x14ac:dyDescent="0.3">
      <c r="A142" t="s">
        <v>1064</v>
      </c>
      <c r="B142" s="1" t="s">
        <v>1065</v>
      </c>
      <c r="C142" s="1" t="s">
        <v>7</v>
      </c>
      <c r="D142" s="1" t="s">
        <v>810</v>
      </c>
      <c r="E142" s="9">
        <v>11723</v>
      </c>
      <c r="F142" s="8" t="str">
        <f>VLOOKUP(D142,Table12[[Name]:[Native]],3,FALSE)</f>
        <v>寿阳县</v>
      </c>
      <c r="G142" s="12" t="str">
        <f ca="1">VLOOKUP(F142,Table12[[Native]:[Population4]],5,FALSE)</f>
        <v>晋中市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6BBC9-9C6A-4DAE-AE0F-36274A10F794}">
  <dimension ref="A1:G173"/>
  <sheetViews>
    <sheetView topLeftCell="A148" workbookViewId="0">
      <selection activeCell="G2" sqref="A2:G17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1066</v>
      </c>
      <c r="B2" s="1" t="s">
        <v>1067</v>
      </c>
      <c r="C2" s="1" t="s">
        <v>7</v>
      </c>
      <c r="D2" s="1" t="s">
        <v>1068</v>
      </c>
      <c r="E2" s="9">
        <v>32725</v>
      </c>
      <c r="F2" s="7" t="str">
        <f>VLOOKUP(D2,Table12[[Name]:[Native]],3,FALSE)</f>
        <v>霍州市</v>
      </c>
      <c r="G2" s="12" t="str">
        <f ca="1">VLOOKUP(F2,Table12[[Native]:[Population4]],5,FALSE)</f>
        <v>临汾市</v>
      </c>
    </row>
    <row r="3" spans="1:7" ht="15.75" thickBot="1" x14ac:dyDescent="0.3">
      <c r="A3" t="s">
        <v>1069</v>
      </c>
      <c r="B3" s="1" t="s">
        <v>1070</v>
      </c>
      <c r="C3" s="1" t="s">
        <v>17</v>
      </c>
      <c r="D3" s="1" t="s">
        <v>1071</v>
      </c>
      <c r="E3" s="9">
        <v>11497</v>
      </c>
      <c r="F3" s="1" t="str">
        <f>VLOOKUP(D3,Table12[[Name]:[Native]],3,FALSE)</f>
        <v>吉县</v>
      </c>
      <c r="G3" s="12" t="str">
        <f ca="1">VLOOKUP(F3,Table12[[Native]:[Population4]],5,FALSE)</f>
        <v>临汾市</v>
      </c>
    </row>
    <row r="4" spans="1:7" ht="15.75" thickBot="1" x14ac:dyDescent="0.3">
      <c r="A4" t="s">
        <v>1072</v>
      </c>
      <c r="B4" s="1" t="s">
        <v>1073</v>
      </c>
      <c r="C4" s="1" t="s">
        <v>17</v>
      </c>
      <c r="D4" s="1" t="s">
        <v>1074</v>
      </c>
      <c r="E4" s="9">
        <v>37234</v>
      </c>
      <c r="F4" s="1" t="str">
        <f>VLOOKUP(D4,Table12[[Name]:[Native]],3,FALSE)</f>
        <v>曲沃县</v>
      </c>
      <c r="G4" s="12" t="str">
        <f ca="1">VLOOKUP(F4,Table12[[Native]:[Population4]],5,FALSE)</f>
        <v>临汾市</v>
      </c>
    </row>
    <row r="5" spans="1:7" ht="15.75" thickBot="1" x14ac:dyDescent="0.3">
      <c r="A5" t="s">
        <v>1075</v>
      </c>
      <c r="B5" s="1" t="s">
        <v>1076</v>
      </c>
      <c r="C5" s="1" t="s">
        <v>17</v>
      </c>
      <c r="D5" s="1" t="s">
        <v>1077</v>
      </c>
      <c r="E5" s="9">
        <v>4894</v>
      </c>
      <c r="F5" s="1" t="str">
        <f>VLOOKUP(D5,Table12[[Name]:[Native]],3,FALSE)</f>
        <v>浮山县</v>
      </c>
      <c r="G5" s="12" t="str">
        <f ca="1">VLOOKUP(F5,Table12[[Native]:[Population4]],5,FALSE)</f>
        <v>临汾市</v>
      </c>
    </row>
    <row r="6" spans="1:7" ht="15.75" thickBot="1" x14ac:dyDescent="0.3">
      <c r="A6" t="s">
        <v>1078</v>
      </c>
      <c r="B6" s="1" t="s">
        <v>1079</v>
      </c>
      <c r="C6" s="1" t="s">
        <v>31</v>
      </c>
      <c r="D6" s="1" t="s">
        <v>1068</v>
      </c>
      <c r="E6" s="9">
        <v>22647</v>
      </c>
      <c r="F6" s="1" t="str">
        <f>VLOOKUP(D6,Table12[[Name]:[Native]],3,FALSE)</f>
        <v>霍州市</v>
      </c>
      <c r="G6" s="12" t="str">
        <f ca="1">VLOOKUP(F6,Table12[[Native]:[Population4]],5,FALSE)</f>
        <v>临汾市</v>
      </c>
    </row>
    <row r="7" spans="1:7" ht="15.75" thickBot="1" x14ac:dyDescent="0.3">
      <c r="A7" t="s">
        <v>1080</v>
      </c>
      <c r="B7" s="1" t="s">
        <v>1081</v>
      </c>
      <c r="C7" s="1" t="s">
        <v>7</v>
      </c>
      <c r="D7" s="1" t="s">
        <v>1082</v>
      </c>
      <c r="E7" s="9">
        <v>12394</v>
      </c>
      <c r="F7" s="1" t="str">
        <f>VLOOKUP(D7,Table12[[Name]:[Native]],3,FALSE)</f>
        <v>古县</v>
      </c>
      <c r="G7" s="12" t="str">
        <f ca="1">VLOOKUP(F7,Table12[[Native]:[Population4]],5,FALSE)</f>
        <v>临汾市</v>
      </c>
    </row>
    <row r="8" spans="1:7" ht="15.75" thickBot="1" x14ac:dyDescent="0.3">
      <c r="A8" t="s">
        <v>1083</v>
      </c>
      <c r="B8" s="1" t="s">
        <v>1084</v>
      </c>
      <c r="C8" s="1" t="s">
        <v>17</v>
      </c>
      <c r="D8" s="1" t="s">
        <v>1077</v>
      </c>
      <c r="E8" s="9">
        <v>11316</v>
      </c>
      <c r="F8" s="1" t="str">
        <f>VLOOKUP(D8,Table12[[Name]:[Native]],3,FALSE)</f>
        <v>浮山县</v>
      </c>
      <c r="G8" s="12" t="str">
        <f ca="1">VLOOKUP(F8,Table12[[Native]:[Population4]],5,FALSE)</f>
        <v>临汾市</v>
      </c>
    </row>
    <row r="9" spans="1:7" ht="15.75" thickBot="1" x14ac:dyDescent="0.3">
      <c r="A9" t="s">
        <v>1085</v>
      </c>
      <c r="B9" s="1" t="s">
        <v>1086</v>
      </c>
      <c r="C9" s="1" t="s">
        <v>31</v>
      </c>
      <c r="D9" s="1" t="s">
        <v>1087</v>
      </c>
      <c r="E9" s="9">
        <v>37713</v>
      </c>
      <c r="F9" s="1" t="str">
        <f>VLOOKUP(D9,Table12[[Name]:[Native]],3,FALSE)</f>
        <v>尧都区</v>
      </c>
      <c r="G9" s="12" t="str">
        <f ca="1">VLOOKUP(F9,Table12[[Native]:[Population4]],5,FALSE)</f>
        <v>临汾市</v>
      </c>
    </row>
    <row r="10" spans="1:7" ht="15.75" thickBot="1" x14ac:dyDescent="0.3">
      <c r="A10" t="s">
        <v>1088</v>
      </c>
      <c r="B10" s="1" t="s">
        <v>1089</v>
      </c>
      <c r="C10" s="1" t="s">
        <v>7</v>
      </c>
      <c r="D10" s="1" t="s">
        <v>1090</v>
      </c>
      <c r="E10" s="9">
        <v>68812</v>
      </c>
      <c r="F10" s="1" t="str">
        <f>VLOOKUP(D10,Table12[[Name]:[Native]],3,FALSE)</f>
        <v>乡宁县</v>
      </c>
      <c r="G10" s="12" t="str">
        <f ca="1">VLOOKUP(F10,Table12[[Native]:[Population4]],5,FALSE)</f>
        <v>临汾市</v>
      </c>
    </row>
    <row r="11" spans="1:7" ht="15.75" thickBot="1" x14ac:dyDescent="0.3">
      <c r="A11" t="s">
        <v>1091</v>
      </c>
      <c r="B11" s="1" t="s">
        <v>1092</v>
      </c>
      <c r="C11" s="1" t="s">
        <v>17</v>
      </c>
      <c r="D11" s="1" t="s">
        <v>1071</v>
      </c>
      <c r="E11" s="9">
        <v>7964</v>
      </c>
      <c r="F11" s="1" t="str">
        <f>VLOOKUP(D11,Table12[[Name]:[Native]],3,FALSE)</f>
        <v>吉县</v>
      </c>
      <c r="G11" s="12" t="str">
        <f ca="1">VLOOKUP(F11,Table12[[Native]:[Population4]],5,FALSE)</f>
        <v>临汾市</v>
      </c>
    </row>
    <row r="12" spans="1:7" ht="15.75" thickBot="1" x14ac:dyDescent="0.3">
      <c r="A12" t="s">
        <v>1093</v>
      </c>
      <c r="B12" s="1" t="s">
        <v>1094</v>
      </c>
      <c r="C12" s="1" t="s">
        <v>17</v>
      </c>
      <c r="D12" s="1" t="s">
        <v>1095</v>
      </c>
      <c r="E12" s="9">
        <v>13918</v>
      </c>
      <c r="F12" s="1" t="str">
        <f>VLOOKUP(D12,Table12[[Name]:[Native]],3,FALSE)</f>
        <v>隰县</v>
      </c>
      <c r="G12" s="12" t="str">
        <f ca="1">VLOOKUP(F12,Table12[[Native]:[Population4]],5,FALSE)</f>
        <v>临汾市</v>
      </c>
    </row>
    <row r="13" spans="1:7" ht="15.75" thickBot="1" x14ac:dyDescent="0.3">
      <c r="A13" t="s">
        <v>1096</v>
      </c>
      <c r="B13" s="1" t="s">
        <v>1097</v>
      </c>
      <c r="C13" s="1" t="s">
        <v>31</v>
      </c>
      <c r="D13" s="1" t="s">
        <v>1087</v>
      </c>
      <c r="E13" s="9">
        <v>40590</v>
      </c>
      <c r="F13" s="1" t="str">
        <f>VLOOKUP(D13,Table12[[Name]:[Native]],3,FALSE)</f>
        <v>尧都区</v>
      </c>
      <c r="G13" s="12" t="str">
        <f ca="1">VLOOKUP(F13,Table12[[Native]:[Population4]],5,FALSE)</f>
        <v>临汾市</v>
      </c>
    </row>
    <row r="14" spans="1:7" ht="15.75" thickBot="1" x14ac:dyDescent="0.3">
      <c r="A14" t="s">
        <v>1098</v>
      </c>
      <c r="B14" s="1" t="s">
        <v>1099</v>
      </c>
      <c r="C14" s="1" t="s">
        <v>17</v>
      </c>
      <c r="D14" s="1" t="s">
        <v>1100</v>
      </c>
      <c r="E14" s="9">
        <v>16025</v>
      </c>
      <c r="F14" s="1" t="str">
        <f>VLOOKUP(D14,Table12[[Name]:[Native]],3,FALSE)</f>
        <v>襄汾县</v>
      </c>
      <c r="G14" s="12" t="str">
        <f ca="1">VLOOKUP(F14,Table12[[Native]:[Population4]],5,FALSE)</f>
        <v>临汾市</v>
      </c>
    </row>
    <row r="15" spans="1:7" ht="15.75" thickBot="1" x14ac:dyDescent="0.3">
      <c r="A15" t="s">
        <v>1101</v>
      </c>
      <c r="B15" s="1" t="s">
        <v>1102</v>
      </c>
      <c r="C15" s="1" t="s">
        <v>7</v>
      </c>
      <c r="D15" s="1" t="s">
        <v>1103</v>
      </c>
      <c r="E15" s="9">
        <v>151037</v>
      </c>
      <c r="F15" s="1" t="str">
        <f>VLOOKUP(D15,Table12[[Name]:[Native]],3,FALSE)</f>
        <v>洪洞县</v>
      </c>
      <c r="G15" s="12" t="str">
        <f ca="1">VLOOKUP(F15,Table12[[Native]:[Population4]],5,FALSE)</f>
        <v>临汾市</v>
      </c>
    </row>
    <row r="16" spans="1:7" ht="15.75" thickBot="1" x14ac:dyDescent="0.3">
      <c r="A16" t="s">
        <v>1104</v>
      </c>
      <c r="B16" s="1" t="s">
        <v>1105</v>
      </c>
      <c r="C16" s="1" t="s">
        <v>17</v>
      </c>
      <c r="D16" s="1" t="s">
        <v>1106</v>
      </c>
      <c r="E16" s="9">
        <v>5315</v>
      </c>
      <c r="F16" s="1" t="str">
        <f>VLOOKUP(D16,Table12[[Name]:[Native]],3,FALSE)</f>
        <v>永和县</v>
      </c>
      <c r="G16" s="12" t="str">
        <f ca="1">VLOOKUP(F16,Table12[[Native]:[Population4]],5,FALSE)</f>
        <v>临汾市</v>
      </c>
    </row>
    <row r="17" spans="1:7" ht="15.75" thickBot="1" x14ac:dyDescent="0.3">
      <c r="A17" t="s">
        <v>646</v>
      </c>
      <c r="B17" s="1" t="s">
        <v>647</v>
      </c>
      <c r="C17" s="1" t="s">
        <v>7</v>
      </c>
      <c r="D17" s="1" t="s">
        <v>1087</v>
      </c>
      <c r="E17" s="9">
        <v>22428</v>
      </c>
      <c r="F17" s="1" t="str">
        <f>VLOOKUP(D17,Table12[[Name]:[Native]],3,FALSE)</f>
        <v>尧都区</v>
      </c>
      <c r="G17" s="12" t="str">
        <f ca="1">VLOOKUP(F17,Table12[[Native]:[Population4]],5,FALSE)</f>
        <v>临汾市</v>
      </c>
    </row>
    <row r="18" spans="1:7" ht="15.75" thickBot="1" x14ac:dyDescent="0.3">
      <c r="A18" t="s">
        <v>1107</v>
      </c>
      <c r="B18" s="1" t="s">
        <v>1108</v>
      </c>
      <c r="C18" s="1" t="s">
        <v>7</v>
      </c>
      <c r="D18" s="1" t="s">
        <v>1068</v>
      </c>
      <c r="E18" s="9">
        <v>29498</v>
      </c>
      <c r="F18" s="1" t="str">
        <f>VLOOKUP(D18,Table12[[Name]:[Native]],3,FALSE)</f>
        <v>霍州市</v>
      </c>
      <c r="G18" s="12" t="str">
        <f ca="1">VLOOKUP(F18,Table12[[Native]:[Population4]],5,FALSE)</f>
        <v>临汾市</v>
      </c>
    </row>
    <row r="19" spans="1:7" ht="15.75" thickBot="1" x14ac:dyDescent="0.3">
      <c r="A19" t="s">
        <v>1109</v>
      </c>
      <c r="B19" s="1" t="s">
        <v>1110</v>
      </c>
      <c r="C19" s="1" t="s">
        <v>7</v>
      </c>
      <c r="D19" s="1" t="s">
        <v>1100</v>
      </c>
      <c r="E19" s="9">
        <v>41741</v>
      </c>
      <c r="F19" s="1" t="str">
        <f>VLOOKUP(D19,Table12[[Name]:[Native]],3,FALSE)</f>
        <v>襄汾县</v>
      </c>
      <c r="G19" s="12" t="str">
        <f ca="1">VLOOKUP(F19,Table12[[Native]:[Population4]],5,FALSE)</f>
        <v>临汾市</v>
      </c>
    </row>
    <row r="20" spans="1:7" ht="15.75" thickBot="1" x14ac:dyDescent="0.3">
      <c r="A20" t="s">
        <v>1111</v>
      </c>
      <c r="B20" s="1" t="s">
        <v>1112</v>
      </c>
      <c r="C20" s="1" t="s">
        <v>17</v>
      </c>
      <c r="D20" s="1" t="s">
        <v>1113</v>
      </c>
      <c r="E20" s="9">
        <v>10396</v>
      </c>
      <c r="F20" s="1" t="str">
        <f>VLOOKUP(D20,Table12[[Name]:[Native]],3,FALSE)</f>
        <v>汾西县</v>
      </c>
      <c r="G20" s="12" t="str">
        <f ca="1">VLOOKUP(F20,Table12[[Native]:[Population4]],5,FALSE)</f>
        <v>临汾市</v>
      </c>
    </row>
    <row r="21" spans="1:7" ht="15.75" thickBot="1" x14ac:dyDescent="0.3">
      <c r="A21" t="s">
        <v>1114</v>
      </c>
      <c r="B21" s="1" t="s">
        <v>1115</v>
      </c>
      <c r="C21" s="1" t="s">
        <v>17</v>
      </c>
      <c r="D21" s="1" t="s">
        <v>1103</v>
      </c>
      <c r="E21" s="9">
        <v>50751</v>
      </c>
      <c r="F21" s="1" t="str">
        <f>VLOOKUP(D21,Table12[[Name]:[Native]],3,FALSE)</f>
        <v>洪洞县</v>
      </c>
      <c r="G21" s="12" t="str">
        <f ca="1">VLOOKUP(F21,Table12[[Native]:[Population4]],5,FALSE)</f>
        <v>临汾市</v>
      </c>
    </row>
    <row r="22" spans="1:7" ht="15.75" thickBot="1" x14ac:dyDescent="0.3">
      <c r="A22" t="s">
        <v>1116</v>
      </c>
      <c r="B22" s="1" t="s">
        <v>1117</v>
      </c>
      <c r="C22" s="1" t="s">
        <v>17</v>
      </c>
      <c r="D22" s="1" t="s">
        <v>1071</v>
      </c>
      <c r="E22" s="9">
        <v>6212</v>
      </c>
      <c r="F22" s="1" t="str">
        <f>VLOOKUP(D22,Table12[[Name]:[Native]],3,FALSE)</f>
        <v>吉县</v>
      </c>
      <c r="G22" s="12" t="str">
        <f ca="1">VLOOKUP(F22,Table12[[Native]:[Population4]],5,FALSE)</f>
        <v>临汾市</v>
      </c>
    </row>
    <row r="23" spans="1:7" ht="15.75" thickBot="1" x14ac:dyDescent="0.3">
      <c r="A23" t="s">
        <v>1118</v>
      </c>
      <c r="B23" s="1" t="s">
        <v>1119</v>
      </c>
      <c r="C23" s="1" t="s">
        <v>17</v>
      </c>
      <c r="D23" s="1" t="s">
        <v>1077</v>
      </c>
      <c r="E23" s="9">
        <v>13759</v>
      </c>
      <c r="F23" s="1" t="str">
        <f>VLOOKUP(D23,Table12[[Name]:[Native]],3,FALSE)</f>
        <v>浮山县</v>
      </c>
      <c r="G23" s="12" t="str">
        <f ca="1">VLOOKUP(F23,Table12[[Native]:[Population4]],5,FALSE)</f>
        <v>临汾市</v>
      </c>
    </row>
    <row r="24" spans="1:7" ht="15.75" thickBot="1" x14ac:dyDescent="0.3">
      <c r="A24" t="s">
        <v>1120</v>
      </c>
      <c r="B24" s="1" t="s">
        <v>1121</v>
      </c>
      <c r="C24" s="1" t="s">
        <v>17</v>
      </c>
      <c r="D24" s="1" t="s">
        <v>1095</v>
      </c>
      <c r="E24" s="9">
        <v>4032</v>
      </c>
      <c r="F24" s="1" t="str">
        <f>VLOOKUP(D24,Table12[[Name]:[Native]],3,FALSE)</f>
        <v>隰县</v>
      </c>
      <c r="G24" s="12" t="str">
        <f ca="1">VLOOKUP(F24,Table12[[Native]:[Population4]],5,FALSE)</f>
        <v>临汾市</v>
      </c>
    </row>
    <row r="25" spans="1:7" ht="15.75" thickBot="1" x14ac:dyDescent="0.3">
      <c r="A25" t="s">
        <v>1122</v>
      </c>
      <c r="B25" s="1" t="s">
        <v>1123</v>
      </c>
      <c r="C25" s="1" t="s">
        <v>17</v>
      </c>
      <c r="D25" s="1" t="s">
        <v>1087</v>
      </c>
      <c r="E25" s="9">
        <v>43174</v>
      </c>
      <c r="F25" s="1" t="str">
        <f>VLOOKUP(D25,Table12[[Name]:[Native]],3,FALSE)</f>
        <v>尧都区</v>
      </c>
      <c r="G25" s="12" t="str">
        <f ca="1">VLOOKUP(F25,Table12[[Native]:[Population4]],5,FALSE)</f>
        <v>临汾市</v>
      </c>
    </row>
    <row r="26" spans="1:7" ht="15.75" thickBot="1" x14ac:dyDescent="0.3">
      <c r="A26" t="s">
        <v>1124</v>
      </c>
      <c r="B26" s="1" t="s">
        <v>1125</v>
      </c>
      <c r="C26" s="1" t="s">
        <v>17</v>
      </c>
      <c r="D26" s="1" t="s">
        <v>1126</v>
      </c>
      <c r="E26" s="9">
        <v>5050</v>
      </c>
      <c r="F26" s="1" t="str">
        <f>VLOOKUP(D26,Table12[[Name]:[Native]],3,FALSE)</f>
        <v>安泽县</v>
      </c>
      <c r="G26" s="12" t="str">
        <f ca="1">VLOOKUP(F26,Table12[[Native]:[Population4]],5,FALSE)</f>
        <v>临汾市</v>
      </c>
    </row>
    <row r="27" spans="1:7" ht="15.75" thickBot="1" x14ac:dyDescent="0.3">
      <c r="A27" t="s">
        <v>1127</v>
      </c>
      <c r="B27" s="1" t="s">
        <v>1128</v>
      </c>
      <c r="C27" s="1" t="s">
        <v>7</v>
      </c>
      <c r="D27" s="1" t="s">
        <v>1113</v>
      </c>
      <c r="E27" s="9">
        <v>11895</v>
      </c>
      <c r="F27" s="1" t="str">
        <f>VLOOKUP(D27,Table12[[Name]:[Native]],3,FALSE)</f>
        <v>汾西县</v>
      </c>
      <c r="G27" s="12" t="str">
        <f ca="1">VLOOKUP(F27,Table12[[Native]:[Population4]],5,FALSE)</f>
        <v>临汾市</v>
      </c>
    </row>
    <row r="28" spans="1:7" ht="15.75" thickBot="1" x14ac:dyDescent="0.3">
      <c r="A28" t="s">
        <v>1129</v>
      </c>
      <c r="B28" s="1" t="s">
        <v>1130</v>
      </c>
      <c r="C28" s="1" t="s">
        <v>7</v>
      </c>
      <c r="D28" s="1" t="s">
        <v>1100</v>
      </c>
      <c r="E28" s="9">
        <v>51380</v>
      </c>
      <c r="F28" s="1" t="str">
        <f>VLOOKUP(D28,Table12[[Name]:[Native]],3,FALSE)</f>
        <v>襄汾县</v>
      </c>
      <c r="G28" s="12" t="str">
        <f ca="1">VLOOKUP(F28,Table12[[Native]:[Population4]],5,FALSE)</f>
        <v>临汾市</v>
      </c>
    </row>
    <row r="29" spans="1:7" ht="15.75" thickBot="1" x14ac:dyDescent="0.3">
      <c r="A29" t="s">
        <v>1131</v>
      </c>
      <c r="B29" s="1" t="s">
        <v>1132</v>
      </c>
      <c r="C29" s="1" t="s">
        <v>17</v>
      </c>
      <c r="D29" s="1" t="s">
        <v>1133</v>
      </c>
      <c r="E29" s="9">
        <v>17573</v>
      </c>
      <c r="F29" s="1" t="str">
        <f>VLOOKUP(D29,Table12[[Name]:[Native]],3,FALSE)</f>
        <v>侯马市</v>
      </c>
      <c r="G29" s="12" t="str">
        <f ca="1">VLOOKUP(F29,Table12[[Native]:[Population4]],5,FALSE)</f>
        <v>临汾市</v>
      </c>
    </row>
    <row r="30" spans="1:7" ht="15.75" thickBot="1" x14ac:dyDescent="0.3">
      <c r="A30" t="s">
        <v>1134</v>
      </c>
      <c r="B30" s="1" t="s">
        <v>1135</v>
      </c>
      <c r="C30" s="1" t="s">
        <v>31</v>
      </c>
      <c r="D30" s="1" t="s">
        <v>1087</v>
      </c>
      <c r="E30" s="9">
        <v>9690</v>
      </c>
      <c r="F30" s="1" t="str">
        <f>VLOOKUP(D30,Table12[[Name]:[Native]],3,FALSE)</f>
        <v>尧都区</v>
      </c>
      <c r="G30" s="12" t="str">
        <f ca="1">VLOOKUP(F30,Table12[[Native]:[Population4]],5,FALSE)</f>
        <v>临汾市</v>
      </c>
    </row>
    <row r="31" spans="1:7" ht="15.75" thickBot="1" x14ac:dyDescent="0.3">
      <c r="A31" t="s">
        <v>1136</v>
      </c>
      <c r="B31" s="1" t="s">
        <v>1137</v>
      </c>
      <c r="C31" s="1" t="s">
        <v>7</v>
      </c>
      <c r="D31" s="1" t="s">
        <v>1126</v>
      </c>
      <c r="E31" s="9">
        <v>32816</v>
      </c>
      <c r="F31" s="1" t="str">
        <f>VLOOKUP(D31,Table12[[Name]:[Native]],3,FALSE)</f>
        <v>安泽县</v>
      </c>
      <c r="G31" s="12" t="str">
        <f ca="1">VLOOKUP(F31,Table12[[Native]:[Population4]],5,FALSE)</f>
        <v>临汾市</v>
      </c>
    </row>
    <row r="32" spans="1:7" ht="15.75" thickBot="1" x14ac:dyDescent="0.3">
      <c r="A32" t="s">
        <v>1138</v>
      </c>
      <c r="B32" s="1" t="s">
        <v>1139</v>
      </c>
      <c r="C32" s="1" t="s">
        <v>7</v>
      </c>
      <c r="D32" s="1" t="s">
        <v>1103</v>
      </c>
      <c r="E32" s="9">
        <v>38347</v>
      </c>
      <c r="F32" s="1" t="str">
        <f>VLOOKUP(D32,Table12[[Name]:[Native]],3,FALSE)</f>
        <v>洪洞县</v>
      </c>
      <c r="G32" s="12" t="str">
        <f ca="1">VLOOKUP(F32,Table12[[Native]:[Population4]],5,FALSE)</f>
        <v>临汾市</v>
      </c>
    </row>
    <row r="33" spans="1:7" ht="15.75" thickBot="1" x14ac:dyDescent="0.3">
      <c r="A33" t="s">
        <v>1140</v>
      </c>
      <c r="B33" s="1" t="s">
        <v>1141</v>
      </c>
      <c r="C33" s="1" t="s">
        <v>17</v>
      </c>
      <c r="D33" s="1" t="s">
        <v>1133</v>
      </c>
      <c r="E33" s="9">
        <v>16946</v>
      </c>
      <c r="F33" s="1" t="str">
        <f>VLOOKUP(D33,Table12[[Name]:[Native]],3,FALSE)</f>
        <v>侯马市</v>
      </c>
      <c r="G33" s="12" t="str">
        <f ca="1">VLOOKUP(F33,Table12[[Native]:[Population4]],5,FALSE)</f>
        <v>临汾市</v>
      </c>
    </row>
    <row r="34" spans="1:7" ht="15.75" thickBot="1" x14ac:dyDescent="0.3">
      <c r="A34" t="s">
        <v>1142</v>
      </c>
      <c r="B34" s="1" t="s">
        <v>1143</v>
      </c>
      <c r="C34" s="1" t="s">
        <v>7</v>
      </c>
      <c r="D34" s="1" t="s">
        <v>1074</v>
      </c>
      <c r="E34" s="9">
        <v>29825</v>
      </c>
      <c r="F34" s="1" t="str">
        <f>VLOOKUP(D34,Table12[[Name]:[Native]],3,FALSE)</f>
        <v>曲沃县</v>
      </c>
      <c r="G34" s="12" t="str">
        <f ca="1">VLOOKUP(F34,Table12[[Native]:[Population4]],5,FALSE)</f>
        <v>临汾市</v>
      </c>
    </row>
    <row r="35" spans="1:7" ht="15.75" thickBot="1" x14ac:dyDescent="0.3">
      <c r="A35" t="s">
        <v>1144</v>
      </c>
      <c r="B35" s="1" t="s">
        <v>1145</v>
      </c>
      <c r="C35" s="1" t="s">
        <v>17</v>
      </c>
      <c r="D35" s="1" t="s">
        <v>1106</v>
      </c>
      <c r="E35" s="9">
        <v>10737</v>
      </c>
      <c r="F35" s="1" t="str">
        <f>VLOOKUP(D35,Table12[[Name]:[Native]],3,FALSE)</f>
        <v>永和县</v>
      </c>
      <c r="G35" s="12" t="str">
        <f ca="1">VLOOKUP(F35,Table12[[Native]:[Population4]],5,FALSE)</f>
        <v>临汾市</v>
      </c>
    </row>
    <row r="36" spans="1:7" ht="15.75" thickBot="1" x14ac:dyDescent="0.3">
      <c r="A36" t="s">
        <v>1146</v>
      </c>
      <c r="B36" s="1" t="s">
        <v>1147</v>
      </c>
      <c r="C36" s="1" t="s">
        <v>7</v>
      </c>
      <c r="D36" s="1" t="s">
        <v>1090</v>
      </c>
      <c r="E36" s="9">
        <v>21622</v>
      </c>
      <c r="F36" s="1" t="str">
        <f>VLOOKUP(D36,Table12[[Name]:[Native]],3,FALSE)</f>
        <v>乡宁县</v>
      </c>
      <c r="G36" s="12" t="str">
        <f ca="1">VLOOKUP(F36,Table12[[Native]:[Population4]],5,FALSE)</f>
        <v>临汾市</v>
      </c>
    </row>
    <row r="37" spans="1:7" ht="15.75" thickBot="1" x14ac:dyDescent="0.3">
      <c r="A37" t="s">
        <v>1148</v>
      </c>
      <c r="B37" s="1" t="s">
        <v>1149</v>
      </c>
      <c r="C37" s="1" t="s">
        <v>7</v>
      </c>
      <c r="D37" s="1" t="s">
        <v>1103</v>
      </c>
      <c r="E37" s="9">
        <v>47010</v>
      </c>
      <c r="F37" s="1" t="str">
        <f>VLOOKUP(D37,Table12[[Name]:[Native]],3,FALSE)</f>
        <v>洪洞县</v>
      </c>
      <c r="G37" s="12" t="str">
        <f ca="1">VLOOKUP(F37,Table12[[Native]:[Population4]],5,FALSE)</f>
        <v>临汾市</v>
      </c>
    </row>
    <row r="38" spans="1:7" ht="15.75" thickBot="1" x14ac:dyDescent="0.3">
      <c r="A38" t="s">
        <v>1150</v>
      </c>
      <c r="B38" s="1" t="s">
        <v>1151</v>
      </c>
      <c r="C38" s="1" t="s">
        <v>7</v>
      </c>
      <c r="D38" s="1" t="s">
        <v>1090</v>
      </c>
      <c r="E38" s="9">
        <v>20982</v>
      </c>
      <c r="F38" s="1" t="str">
        <f>VLOOKUP(D38,Table12[[Name]:[Native]],3,FALSE)</f>
        <v>乡宁县</v>
      </c>
      <c r="G38" s="12" t="str">
        <f ca="1">VLOOKUP(F38,Table12[[Native]:[Population4]],5,FALSE)</f>
        <v>临汾市</v>
      </c>
    </row>
    <row r="39" spans="1:7" ht="15.75" thickBot="1" x14ac:dyDescent="0.3">
      <c r="A39" t="s">
        <v>1152</v>
      </c>
      <c r="B39" s="1" t="s">
        <v>1153</v>
      </c>
      <c r="C39" s="1" t="s">
        <v>17</v>
      </c>
      <c r="D39" s="1" t="s">
        <v>1090</v>
      </c>
      <c r="E39" s="9">
        <v>20496</v>
      </c>
      <c r="F39" s="1" t="str">
        <f>VLOOKUP(D39,Table12[[Name]:[Native]],3,FALSE)</f>
        <v>乡宁县</v>
      </c>
      <c r="G39" s="12" t="str">
        <f ca="1">VLOOKUP(F39,Table12[[Native]:[Population4]],5,FALSE)</f>
        <v>临汾市</v>
      </c>
    </row>
    <row r="40" spans="1:7" ht="15.75" thickBot="1" x14ac:dyDescent="0.3">
      <c r="A40" t="s">
        <v>387</v>
      </c>
      <c r="B40" s="1" t="s">
        <v>388</v>
      </c>
      <c r="C40" s="1" t="s">
        <v>7</v>
      </c>
      <c r="D40" s="1" t="s">
        <v>1100</v>
      </c>
      <c r="E40" s="9">
        <v>45085</v>
      </c>
      <c r="F40" s="1" t="str">
        <f>VLOOKUP(D40,Table12[[Name]:[Native]],3,FALSE)</f>
        <v>襄汾县</v>
      </c>
      <c r="G40" s="12" t="str">
        <f ca="1">VLOOKUP(F40,Table12[[Native]:[Population4]],5,FALSE)</f>
        <v>临汾市</v>
      </c>
    </row>
    <row r="41" spans="1:7" ht="15.75" thickBot="1" x14ac:dyDescent="0.3">
      <c r="A41" t="s">
        <v>1154</v>
      </c>
      <c r="B41" s="1" t="s">
        <v>1155</v>
      </c>
      <c r="C41" s="1" t="s">
        <v>31</v>
      </c>
      <c r="D41" s="1" t="s">
        <v>1068</v>
      </c>
      <c r="E41" s="9">
        <v>25061</v>
      </c>
      <c r="F41" s="1" t="str">
        <f>VLOOKUP(D41,Table12[[Name]:[Native]],3,FALSE)</f>
        <v>霍州市</v>
      </c>
      <c r="G41" s="12" t="str">
        <f ca="1">VLOOKUP(F41,Table12[[Native]:[Population4]],5,FALSE)</f>
        <v>临汾市</v>
      </c>
    </row>
    <row r="42" spans="1:7" ht="15.75" thickBot="1" x14ac:dyDescent="0.3">
      <c r="A42" t="s">
        <v>1156</v>
      </c>
      <c r="B42" s="1" t="s">
        <v>1157</v>
      </c>
      <c r="C42" s="1" t="s">
        <v>31</v>
      </c>
      <c r="D42" s="1" t="s">
        <v>1087</v>
      </c>
      <c r="E42" s="9">
        <v>55999</v>
      </c>
      <c r="F42" s="1" t="str">
        <f>VLOOKUP(D42,Table12[[Name]:[Native]],3,FALSE)</f>
        <v>尧都区</v>
      </c>
      <c r="G42" s="12" t="str">
        <f ca="1">VLOOKUP(F42,Table12[[Native]:[Population4]],5,FALSE)</f>
        <v>临汾市</v>
      </c>
    </row>
    <row r="43" spans="1:7" ht="15.75" thickBot="1" x14ac:dyDescent="0.3">
      <c r="A43" t="s">
        <v>1158</v>
      </c>
      <c r="B43" s="1" t="s">
        <v>1159</v>
      </c>
      <c r="C43" s="1" t="s">
        <v>17</v>
      </c>
      <c r="D43" s="1" t="s">
        <v>1160</v>
      </c>
      <c r="E43" s="9">
        <v>4814</v>
      </c>
      <c r="F43" s="1" t="str">
        <f>VLOOKUP(D43,Table12[[Name]:[Native]],3,FALSE)</f>
        <v>蒲县</v>
      </c>
      <c r="G43" s="12" t="str">
        <f ca="1">VLOOKUP(F43,Table12[[Native]:[Population4]],5,FALSE)</f>
        <v>临汾市</v>
      </c>
    </row>
    <row r="44" spans="1:7" ht="15.75" thickBot="1" x14ac:dyDescent="0.3">
      <c r="A44" t="s">
        <v>1161</v>
      </c>
      <c r="B44" s="1" t="s">
        <v>1162</v>
      </c>
      <c r="C44" s="1" t="s">
        <v>7</v>
      </c>
      <c r="D44" s="1" t="s">
        <v>1082</v>
      </c>
      <c r="E44" s="9">
        <v>12612</v>
      </c>
      <c r="F44" s="1" t="str">
        <f>VLOOKUP(D44,Table12[[Name]:[Native]],3,FALSE)</f>
        <v>古县</v>
      </c>
      <c r="G44" s="12" t="str">
        <f ca="1">VLOOKUP(F44,Table12[[Native]:[Population4]],5,FALSE)</f>
        <v>临汾市</v>
      </c>
    </row>
    <row r="45" spans="1:7" ht="15.75" thickBot="1" x14ac:dyDescent="0.3">
      <c r="A45" t="s">
        <v>1163</v>
      </c>
      <c r="B45" s="1" t="s">
        <v>1164</v>
      </c>
      <c r="C45" s="1" t="s">
        <v>7</v>
      </c>
      <c r="D45" s="1" t="s">
        <v>1126</v>
      </c>
      <c r="E45" s="9">
        <v>10123</v>
      </c>
      <c r="F45" s="1" t="str">
        <f>VLOOKUP(D45,Table12[[Name]:[Native]],3,FALSE)</f>
        <v>安泽县</v>
      </c>
      <c r="G45" s="12" t="str">
        <f ca="1">VLOOKUP(F45,Table12[[Native]:[Population4]],5,FALSE)</f>
        <v>临汾市</v>
      </c>
    </row>
    <row r="46" spans="1:7" ht="15.75" thickBot="1" x14ac:dyDescent="0.3">
      <c r="A46" t="s">
        <v>1165</v>
      </c>
      <c r="B46" s="1" t="s">
        <v>1166</v>
      </c>
      <c r="C46" s="1" t="s">
        <v>17</v>
      </c>
      <c r="D46" s="1" t="s">
        <v>1087</v>
      </c>
      <c r="E46" s="9">
        <v>10111</v>
      </c>
      <c r="F46" s="1" t="str">
        <f>VLOOKUP(D46,Table12[[Name]:[Native]],3,FALSE)</f>
        <v>尧都区</v>
      </c>
      <c r="G46" s="12" t="str">
        <f ca="1">VLOOKUP(F46,Table12[[Native]:[Population4]],5,FALSE)</f>
        <v>临汾市</v>
      </c>
    </row>
    <row r="47" spans="1:7" ht="15.75" thickBot="1" x14ac:dyDescent="0.3">
      <c r="A47" t="s">
        <v>1167</v>
      </c>
      <c r="B47" s="1" t="s">
        <v>1168</v>
      </c>
      <c r="C47" s="1" t="s">
        <v>7</v>
      </c>
      <c r="D47" s="1" t="s">
        <v>1160</v>
      </c>
      <c r="E47" s="9">
        <v>20121</v>
      </c>
      <c r="F47" s="1" t="str">
        <f>VLOOKUP(D47,Table12[[Name]:[Native]],3,FALSE)</f>
        <v>蒲县</v>
      </c>
      <c r="G47" s="12" t="str">
        <f ca="1">VLOOKUP(F47,Table12[[Native]:[Population4]],5,FALSE)</f>
        <v>临汾市</v>
      </c>
    </row>
    <row r="48" spans="1:7" ht="15.75" thickBot="1" x14ac:dyDescent="0.3">
      <c r="A48" t="s">
        <v>1169</v>
      </c>
      <c r="B48" s="1" t="s">
        <v>1170</v>
      </c>
      <c r="C48" s="1" t="s">
        <v>17</v>
      </c>
      <c r="D48" s="1" t="s">
        <v>1087</v>
      </c>
      <c r="E48" s="9">
        <v>4352</v>
      </c>
      <c r="F48" s="1" t="str">
        <f>VLOOKUP(D48,Table12[[Name]:[Native]],3,FALSE)</f>
        <v>尧都区</v>
      </c>
      <c r="G48" s="12" t="str">
        <f ca="1">VLOOKUP(F48,Table12[[Native]:[Population4]],5,FALSE)</f>
        <v>临汾市</v>
      </c>
    </row>
    <row r="49" spans="1:7" ht="15.75" thickBot="1" x14ac:dyDescent="0.3">
      <c r="A49" t="s">
        <v>1171</v>
      </c>
      <c r="B49" s="1" t="s">
        <v>1172</v>
      </c>
      <c r="C49" s="1" t="s">
        <v>7</v>
      </c>
      <c r="D49" s="1" t="s">
        <v>1113</v>
      </c>
      <c r="E49" s="9">
        <v>13853</v>
      </c>
      <c r="F49" s="1" t="str">
        <f>VLOOKUP(D49,Table12[[Name]:[Native]],3,FALSE)</f>
        <v>汾西县</v>
      </c>
      <c r="G49" s="12" t="str">
        <f ca="1">VLOOKUP(F49,Table12[[Native]:[Population4]],5,FALSE)</f>
        <v>临汾市</v>
      </c>
    </row>
    <row r="50" spans="1:7" ht="15.75" thickBot="1" x14ac:dyDescent="0.3">
      <c r="A50" t="s">
        <v>1173</v>
      </c>
      <c r="B50" s="1" t="s">
        <v>1174</v>
      </c>
      <c r="C50" s="1" t="s">
        <v>17</v>
      </c>
      <c r="D50" s="1" t="s">
        <v>1160</v>
      </c>
      <c r="E50" s="9">
        <v>2616</v>
      </c>
      <c r="F50" s="1" t="str">
        <f>VLOOKUP(D50,Table12[[Name]:[Native]],3,FALSE)</f>
        <v>蒲县</v>
      </c>
      <c r="G50" s="12" t="str">
        <f ca="1">VLOOKUP(F50,Table12[[Native]:[Population4]],5,FALSE)</f>
        <v>临汾市</v>
      </c>
    </row>
    <row r="51" spans="1:7" ht="15.75" thickBot="1" x14ac:dyDescent="0.3">
      <c r="A51" t="s">
        <v>1175</v>
      </c>
      <c r="B51" s="1" t="s">
        <v>1176</v>
      </c>
      <c r="C51" s="1" t="s">
        <v>17</v>
      </c>
      <c r="D51" s="1" t="s">
        <v>1077</v>
      </c>
      <c r="E51" s="9">
        <v>6952</v>
      </c>
      <c r="F51" s="1" t="str">
        <f>VLOOKUP(D51,Table12[[Name]:[Native]],3,FALSE)</f>
        <v>浮山县</v>
      </c>
      <c r="G51" s="12" t="str">
        <f ca="1">VLOOKUP(F51,Table12[[Native]:[Population4]],5,FALSE)</f>
        <v>临汾市</v>
      </c>
    </row>
    <row r="52" spans="1:7" ht="15.75" thickBot="1" x14ac:dyDescent="0.3">
      <c r="A52" t="s">
        <v>1177</v>
      </c>
      <c r="B52" s="1" t="s">
        <v>1178</v>
      </c>
      <c r="C52" s="1" t="s">
        <v>7</v>
      </c>
      <c r="D52" s="1" t="s">
        <v>1095</v>
      </c>
      <c r="E52" s="9">
        <v>11469</v>
      </c>
      <c r="F52" s="1" t="str">
        <f>VLOOKUP(D52,Table12[[Name]:[Native]],3,FALSE)</f>
        <v>隰县</v>
      </c>
      <c r="G52" s="12" t="str">
        <f ca="1">VLOOKUP(F52,Table12[[Native]:[Population4]],5,FALSE)</f>
        <v>临汾市</v>
      </c>
    </row>
    <row r="53" spans="1:7" ht="15.75" thickBot="1" x14ac:dyDescent="0.3">
      <c r="A53" t="s">
        <v>1179</v>
      </c>
      <c r="B53" s="1" t="s">
        <v>1180</v>
      </c>
      <c r="C53" s="1" t="s">
        <v>31</v>
      </c>
      <c r="D53" s="1" t="s">
        <v>1133</v>
      </c>
      <c r="E53" s="9">
        <v>46831</v>
      </c>
      <c r="F53" s="1" t="str">
        <f>VLOOKUP(D53,Table12[[Name]:[Native]],3,FALSE)</f>
        <v>侯马市</v>
      </c>
      <c r="G53" s="12" t="str">
        <f ca="1">VLOOKUP(F53,Table12[[Native]:[Population4]],5,FALSE)</f>
        <v>临汾市</v>
      </c>
    </row>
    <row r="54" spans="1:7" ht="15.75" thickBot="1" x14ac:dyDescent="0.3">
      <c r="A54" t="s">
        <v>1181</v>
      </c>
      <c r="B54" s="1" t="s">
        <v>1182</v>
      </c>
      <c r="C54" s="1" t="s">
        <v>7</v>
      </c>
      <c r="D54" s="1" t="s">
        <v>1071</v>
      </c>
      <c r="E54" s="9">
        <v>3876</v>
      </c>
      <c r="F54" s="1" t="str">
        <f>VLOOKUP(D54,Table12[[Name]:[Native]],3,FALSE)</f>
        <v>吉县</v>
      </c>
      <c r="G54" s="12" t="str">
        <f ca="1">VLOOKUP(F54,Table12[[Native]:[Population4]],5,FALSE)</f>
        <v>临汾市</v>
      </c>
    </row>
    <row r="55" spans="1:7" ht="15.75" thickBot="1" x14ac:dyDescent="0.3">
      <c r="A55" t="s">
        <v>1183</v>
      </c>
      <c r="B55" s="1" t="s">
        <v>1184</v>
      </c>
      <c r="C55" s="1" t="s">
        <v>17</v>
      </c>
      <c r="D55" s="1" t="s">
        <v>1087</v>
      </c>
      <c r="E55" s="9">
        <v>47737</v>
      </c>
      <c r="F55" s="1" t="str">
        <f>VLOOKUP(D55,Table12[[Name]:[Native]],3,FALSE)</f>
        <v>尧都区</v>
      </c>
      <c r="G55" s="12" t="str">
        <f ca="1">VLOOKUP(F55,Table12[[Native]:[Population4]],5,FALSE)</f>
        <v>临汾市</v>
      </c>
    </row>
    <row r="56" spans="1:7" ht="15.75" thickBot="1" x14ac:dyDescent="0.3">
      <c r="A56" t="s">
        <v>1185</v>
      </c>
      <c r="B56" s="1" t="s">
        <v>1186</v>
      </c>
      <c r="C56" s="1" t="s">
        <v>17</v>
      </c>
      <c r="D56" s="1" t="s">
        <v>1187</v>
      </c>
      <c r="E56" s="9">
        <v>6098</v>
      </c>
      <c r="F56" s="1" t="str">
        <f>VLOOKUP(D56,Table12[[Name]:[Native]],3,FALSE)</f>
        <v>翼城县</v>
      </c>
      <c r="G56" s="12" t="str">
        <f ca="1">VLOOKUP(F56,Table12[[Native]:[Population4]],5,FALSE)</f>
        <v>临汾市</v>
      </c>
    </row>
    <row r="57" spans="1:7" ht="15.75" thickBot="1" x14ac:dyDescent="0.3">
      <c r="A57" t="s">
        <v>143</v>
      </c>
      <c r="B57" s="1" t="s">
        <v>144</v>
      </c>
      <c r="C57" s="1" t="s">
        <v>17</v>
      </c>
      <c r="D57" s="1" t="s">
        <v>1106</v>
      </c>
      <c r="E57" s="9">
        <v>6280</v>
      </c>
      <c r="F57" s="1" t="str">
        <f>VLOOKUP(D57,Table12[[Name]:[Native]],3,FALSE)</f>
        <v>永和县</v>
      </c>
      <c r="G57" s="12" t="str">
        <f ca="1">VLOOKUP(F57,Table12[[Native]:[Population4]],5,FALSE)</f>
        <v>临汾市</v>
      </c>
    </row>
    <row r="58" spans="1:7" ht="15.75" thickBot="1" x14ac:dyDescent="0.3">
      <c r="A58" t="s">
        <v>1188</v>
      </c>
      <c r="B58" s="1" t="s">
        <v>1189</v>
      </c>
      <c r="C58" s="1" t="s">
        <v>7</v>
      </c>
      <c r="D58" s="1" t="s">
        <v>1071</v>
      </c>
      <c r="E58" s="9">
        <v>43389</v>
      </c>
      <c r="F58" s="1" t="str">
        <f>VLOOKUP(D58,Table12[[Name]:[Native]],3,FALSE)</f>
        <v>吉县</v>
      </c>
      <c r="G58" s="12" t="str">
        <f ca="1">VLOOKUP(F58,Table12[[Native]:[Population4]],5,FALSE)</f>
        <v>临汾市</v>
      </c>
    </row>
    <row r="59" spans="1:7" ht="15.75" thickBot="1" x14ac:dyDescent="0.3">
      <c r="A59" t="s">
        <v>1190</v>
      </c>
      <c r="B59" s="1" t="s">
        <v>1191</v>
      </c>
      <c r="C59" s="1" t="s">
        <v>31</v>
      </c>
      <c r="D59" s="1" t="s">
        <v>1087</v>
      </c>
      <c r="E59" s="9">
        <v>60070</v>
      </c>
      <c r="F59" s="1" t="str">
        <f>VLOOKUP(D59,Table12[[Name]:[Native]],3,FALSE)</f>
        <v>尧都区</v>
      </c>
      <c r="G59" s="12" t="str">
        <f ca="1">VLOOKUP(F59,Table12[[Native]:[Population4]],5,FALSE)</f>
        <v>临汾市</v>
      </c>
    </row>
    <row r="60" spans="1:7" ht="15.75" thickBot="1" x14ac:dyDescent="0.3">
      <c r="A60" t="s">
        <v>1192</v>
      </c>
      <c r="B60" s="1" t="s">
        <v>1193</v>
      </c>
      <c r="C60" s="1" t="s">
        <v>7</v>
      </c>
      <c r="D60" s="1" t="s">
        <v>1087</v>
      </c>
      <c r="E60" s="9">
        <v>65795</v>
      </c>
      <c r="F60" s="1" t="str">
        <f>VLOOKUP(D60,Table12[[Name]:[Native]],3,FALSE)</f>
        <v>尧都区</v>
      </c>
      <c r="G60" s="12" t="str">
        <f ca="1">VLOOKUP(F60,Table12[[Native]:[Population4]],5,FALSE)</f>
        <v>临汾市</v>
      </c>
    </row>
    <row r="61" spans="1:7" ht="15.75" thickBot="1" x14ac:dyDescent="0.3">
      <c r="A61" t="s">
        <v>1194</v>
      </c>
      <c r="B61" s="1" t="s">
        <v>1195</v>
      </c>
      <c r="C61" s="1" t="s">
        <v>17</v>
      </c>
      <c r="D61" s="1" t="s">
        <v>1100</v>
      </c>
      <c r="E61" s="9">
        <v>16558</v>
      </c>
      <c r="F61" s="1" t="str">
        <f>VLOOKUP(D61,Table12[[Name]:[Native]],3,FALSE)</f>
        <v>襄汾县</v>
      </c>
      <c r="G61" s="12" t="str">
        <f ca="1">VLOOKUP(F61,Table12[[Native]:[Population4]],5,FALSE)</f>
        <v>临汾市</v>
      </c>
    </row>
    <row r="62" spans="1:7" ht="15.75" thickBot="1" x14ac:dyDescent="0.3">
      <c r="A62" t="s">
        <v>1196</v>
      </c>
      <c r="B62" s="1" t="s">
        <v>1197</v>
      </c>
      <c r="C62" s="1" t="s">
        <v>7</v>
      </c>
      <c r="D62" s="1" t="s">
        <v>1126</v>
      </c>
      <c r="E62" s="9">
        <v>9461</v>
      </c>
      <c r="F62" s="1" t="str">
        <f>VLOOKUP(D62,Table12[[Name]:[Native]],3,FALSE)</f>
        <v>安泽县</v>
      </c>
      <c r="G62" s="12" t="str">
        <f ca="1">VLOOKUP(F62,Table12[[Native]:[Population4]],5,FALSE)</f>
        <v>临汾市</v>
      </c>
    </row>
    <row r="63" spans="1:7" ht="15.75" thickBot="1" x14ac:dyDescent="0.3">
      <c r="A63" t="s">
        <v>1198</v>
      </c>
      <c r="B63" s="1" t="s">
        <v>1199</v>
      </c>
      <c r="C63" s="1" t="s">
        <v>7</v>
      </c>
      <c r="D63" s="1" t="s">
        <v>1082</v>
      </c>
      <c r="E63" s="9">
        <v>11098</v>
      </c>
      <c r="F63" s="1" t="str">
        <f>VLOOKUP(D63,Table12[[Name]:[Native]],3,FALSE)</f>
        <v>古县</v>
      </c>
      <c r="G63" s="12" t="str">
        <f ca="1">VLOOKUP(F63,Table12[[Native]:[Population4]],5,FALSE)</f>
        <v>临汾市</v>
      </c>
    </row>
    <row r="64" spans="1:7" ht="15.75" thickBot="1" x14ac:dyDescent="0.3">
      <c r="A64" t="s">
        <v>1200</v>
      </c>
      <c r="B64" s="1" t="s">
        <v>1201</v>
      </c>
      <c r="C64" s="1" t="s">
        <v>31</v>
      </c>
      <c r="D64" s="1" t="s">
        <v>1068</v>
      </c>
      <c r="E64" s="9">
        <v>19273</v>
      </c>
      <c r="F64" s="1" t="str">
        <f>VLOOKUP(D64,Table12[[Name]:[Native]],3,FALSE)</f>
        <v>霍州市</v>
      </c>
      <c r="G64" s="12" t="str">
        <f ca="1">VLOOKUP(F64,Table12[[Native]:[Population4]],5,FALSE)</f>
        <v>临汾市</v>
      </c>
    </row>
    <row r="65" spans="1:7" ht="15.75" thickBot="1" x14ac:dyDescent="0.3">
      <c r="A65" t="s">
        <v>1202</v>
      </c>
      <c r="B65" s="1" t="s">
        <v>1203</v>
      </c>
      <c r="C65" s="1" t="s">
        <v>7</v>
      </c>
      <c r="D65" s="1" t="s">
        <v>1160</v>
      </c>
      <c r="E65" s="9">
        <v>17148</v>
      </c>
      <c r="F65" s="1" t="str">
        <f>VLOOKUP(D65,Table12[[Name]:[Native]],3,FALSE)</f>
        <v>蒲县</v>
      </c>
      <c r="G65" s="12" t="str">
        <f ca="1">VLOOKUP(F65,Table12[[Native]:[Population4]],5,FALSE)</f>
        <v>临汾市</v>
      </c>
    </row>
    <row r="66" spans="1:7" ht="15.75" thickBot="1" x14ac:dyDescent="0.3">
      <c r="A66" t="s">
        <v>1204</v>
      </c>
      <c r="B66" s="1" t="s">
        <v>1205</v>
      </c>
      <c r="C66" s="1" t="s">
        <v>7</v>
      </c>
      <c r="D66" s="1" t="s">
        <v>1074</v>
      </c>
      <c r="E66" s="9">
        <v>64587</v>
      </c>
      <c r="F66" s="1" t="str">
        <f>VLOOKUP(D66,Table12[[Name]:[Native]],3,FALSE)</f>
        <v>曲沃县</v>
      </c>
      <c r="G66" s="12" t="str">
        <f ca="1">VLOOKUP(F66,Table12[[Native]:[Population4]],5,FALSE)</f>
        <v>临汾市</v>
      </c>
    </row>
    <row r="67" spans="1:7" ht="15.75" thickBot="1" x14ac:dyDescent="0.3">
      <c r="A67" t="s">
        <v>1206</v>
      </c>
      <c r="B67" s="1" t="s">
        <v>1207</v>
      </c>
      <c r="C67" s="1" t="s">
        <v>17</v>
      </c>
      <c r="D67" s="1" t="s">
        <v>1126</v>
      </c>
      <c r="E67" s="9">
        <v>5808</v>
      </c>
      <c r="F67" s="1" t="str">
        <f>VLOOKUP(D67,Table12[[Name]:[Native]],3,FALSE)</f>
        <v>安泽县</v>
      </c>
      <c r="G67" s="12" t="str">
        <f ca="1">VLOOKUP(F67,Table12[[Native]:[Population4]],5,FALSE)</f>
        <v>临汾市</v>
      </c>
    </row>
    <row r="68" spans="1:7" ht="15.75" thickBot="1" x14ac:dyDescent="0.3">
      <c r="A68" t="s">
        <v>1208</v>
      </c>
      <c r="B68" s="1" t="s">
        <v>1209</v>
      </c>
      <c r="C68" s="1" t="s">
        <v>7</v>
      </c>
      <c r="D68" s="1" t="s">
        <v>1068</v>
      </c>
      <c r="E68" s="9">
        <v>25256</v>
      </c>
      <c r="F68" s="1" t="str">
        <f>VLOOKUP(D68,Table12[[Name]:[Native]],3,FALSE)</f>
        <v>霍州市</v>
      </c>
      <c r="G68" s="12" t="str">
        <f ca="1">VLOOKUP(F68,Table12[[Native]:[Population4]],5,FALSE)</f>
        <v>临汾市</v>
      </c>
    </row>
    <row r="69" spans="1:7" ht="15.75" thickBot="1" x14ac:dyDescent="0.3">
      <c r="A69" t="s">
        <v>1210</v>
      </c>
      <c r="B69" s="1" t="s">
        <v>1211</v>
      </c>
      <c r="C69" s="1" t="s">
        <v>7</v>
      </c>
      <c r="D69" s="1" t="s">
        <v>1074</v>
      </c>
      <c r="E69" s="9">
        <v>17986</v>
      </c>
      <c r="F69" s="1" t="str">
        <f>VLOOKUP(D69,Table12[[Name]:[Native]],3,FALSE)</f>
        <v>曲沃县</v>
      </c>
      <c r="G69" s="12" t="str">
        <f ca="1">VLOOKUP(F69,Table12[[Native]:[Population4]],5,FALSE)</f>
        <v>临汾市</v>
      </c>
    </row>
    <row r="70" spans="1:7" ht="15.75" thickBot="1" x14ac:dyDescent="0.3">
      <c r="A70" t="s">
        <v>1212</v>
      </c>
      <c r="B70" s="1" t="s">
        <v>1213</v>
      </c>
      <c r="C70" s="1" t="s">
        <v>7</v>
      </c>
      <c r="D70" s="1" t="s">
        <v>1087</v>
      </c>
      <c r="E70" s="9">
        <v>56850</v>
      </c>
      <c r="F70" s="1" t="str">
        <f>VLOOKUP(D70,Table12[[Name]:[Native]],3,FALSE)</f>
        <v>尧都区</v>
      </c>
      <c r="G70" s="12" t="str">
        <f ca="1">VLOOKUP(F70,Table12[[Native]:[Population4]],5,FALSE)</f>
        <v>临汾市</v>
      </c>
    </row>
    <row r="71" spans="1:7" ht="15.75" thickBot="1" x14ac:dyDescent="0.3">
      <c r="A71" t="s">
        <v>1214</v>
      </c>
      <c r="B71" s="1" t="s">
        <v>1215</v>
      </c>
      <c r="C71" s="1" t="s">
        <v>7</v>
      </c>
      <c r="D71" s="1" t="s">
        <v>1103</v>
      </c>
      <c r="E71" s="9">
        <v>26486</v>
      </c>
      <c r="F71" s="1" t="str">
        <f>VLOOKUP(D71,Table12[[Name]:[Native]],3,FALSE)</f>
        <v>洪洞县</v>
      </c>
      <c r="G71" s="12" t="str">
        <f ca="1">VLOOKUP(F71,Table12[[Native]:[Population4]],5,FALSE)</f>
        <v>临汾市</v>
      </c>
    </row>
    <row r="72" spans="1:7" ht="15.75" thickBot="1" x14ac:dyDescent="0.3">
      <c r="A72" t="s">
        <v>1216</v>
      </c>
      <c r="B72" s="1" t="s">
        <v>1217</v>
      </c>
      <c r="C72" s="1" t="s">
        <v>7</v>
      </c>
      <c r="D72" s="1" t="s">
        <v>1187</v>
      </c>
      <c r="E72" s="9">
        <v>29011</v>
      </c>
      <c r="F72" s="1" t="str">
        <f>VLOOKUP(D72,Table12[[Name]:[Native]],3,FALSE)</f>
        <v>翼城县</v>
      </c>
      <c r="G72" s="12" t="str">
        <f ca="1">VLOOKUP(F72,Table12[[Native]:[Population4]],5,FALSE)</f>
        <v>临汾市</v>
      </c>
    </row>
    <row r="73" spans="1:7" ht="15.75" thickBot="1" x14ac:dyDescent="0.3">
      <c r="A73" t="s">
        <v>1218</v>
      </c>
      <c r="B73" s="1" t="s">
        <v>1219</v>
      </c>
      <c r="C73" s="1" t="s">
        <v>7</v>
      </c>
      <c r="D73" s="1" t="s">
        <v>1187</v>
      </c>
      <c r="E73" s="9">
        <v>36426</v>
      </c>
      <c r="F73" s="1" t="str">
        <f>VLOOKUP(D73,Table12[[Name]:[Native]],3,FALSE)</f>
        <v>翼城县</v>
      </c>
      <c r="G73" s="12" t="str">
        <f ca="1">VLOOKUP(F73,Table12[[Native]:[Population4]],5,FALSE)</f>
        <v>临汾市</v>
      </c>
    </row>
    <row r="74" spans="1:7" ht="15.75" thickBot="1" x14ac:dyDescent="0.3">
      <c r="A74" t="s">
        <v>1220</v>
      </c>
      <c r="B74" s="1" t="s">
        <v>1221</v>
      </c>
      <c r="C74" s="1" t="s">
        <v>17</v>
      </c>
      <c r="D74" s="1" t="s">
        <v>1103</v>
      </c>
      <c r="E74" s="9">
        <v>25581</v>
      </c>
      <c r="F74" s="1" t="str">
        <f>VLOOKUP(D74,Table12[[Name]:[Native]],3,FALSE)</f>
        <v>洪洞县</v>
      </c>
      <c r="G74" s="12" t="str">
        <f ca="1">VLOOKUP(F74,Table12[[Native]:[Population4]],5,FALSE)</f>
        <v>临汾市</v>
      </c>
    </row>
    <row r="75" spans="1:7" ht="15.75" thickBot="1" x14ac:dyDescent="0.3">
      <c r="A75" t="s">
        <v>171</v>
      </c>
      <c r="B75" s="1" t="s">
        <v>172</v>
      </c>
      <c r="C75" s="1" t="s">
        <v>7</v>
      </c>
      <c r="D75" s="1" t="s">
        <v>1095</v>
      </c>
      <c r="E75" s="9">
        <v>39622</v>
      </c>
      <c r="F75" s="1" t="str">
        <f>VLOOKUP(D75,Table12[[Name]:[Native]],3,FALSE)</f>
        <v>隰县</v>
      </c>
      <c r="G75" s="12" t="str">
        <f ca="1">VLOOKUP(F75,Table12[[Native]:[Population4]],5,FALSE)</f>
        <v>临汾市</v>
      </c>
    </row>
    <row r="76" spans="1:7" ht="15.75" thickBot="1" x14ac:dyDescent="0.3">
      <c r="A76" t="s">
        <v>1222</v>
      </c>
      <c r="B76" s="1" t="s">
        <v>1223</v>
      </c>
      <c r="C76" s="1" t="s">
        <v>31</v>
      </c>
      <c r="D76" s="1" t="s">
        <v>1133</v>
      </c>
      <c r="E76" s="9">
        <v>35388</v>
      </c>
      <c r="F76" s="1" t="str">
        <f>VLOOKUP(D76,Table12[[Name]:[Native]],3,FALSE)</f>
        <v>侯马市</v>
      </c>
      <c r="G76" s="12" t="str">
        <f ca="1">VLOOKUP(F76,Table12[[Native]:[Population4]],5,FALSE)</f>
        <v>临汾市</v>
      </c>
    </row>
    <row r="77" spans="1:7" ht="15.75" thickBot="1" x14ac:dyDescent="0.3">
      <c r="A77" t="s">
        <v>920</v>
      </c>
      <c r="B77" s="1" t="s">
        <v>921</v>
      </c>
      <c r="C77" s="1" t="s">
        <v>31</v>
      </c>
      <c r="D77" s="1" t="s">
        <v>1133</v>
      </c>
      <c r="E77" s="9">
        <v>29666</v>
      </c>
      <c r="F77" s="1" t="str">
        <f>VLOOKUP(D77,Table12[[Name]:[Native]],3,FALSE)</f>
        <v>侯马市</v>
      </c>
      <c r="G77" s="12" t="str">
        <f ca="1">VLOOKUP(F77,Table12[[Native]:[Population4]],5,FALSE)</f>
        <v>临汾市</v>
      </c>
    </row>
    <row r="78" spans="1:7" ht="15.75" thickBot="1" x14ac:dyDescent="0.3">
      <c r="A78" t="s">
        <v>1224</v>
      </c>
      <c r="B78" s="1" t="s">
        <v>1225</v>
      </c>
      <c r="C78" s="1" t="s">
        <v>17</v>
      </c>
      <c r="D78" s="1" t="s">
        <v>1126</v>
      </c>
      <c r="E78" s="9">
        <v>6810</v>
      </c>
      <c r="F78" s="1" t="str">
        <f>VLOOKUP(D78,Table12[[Name]:[Native]],3,FALSE)</f>
        <v>安泽县</v>
      </c>
      <c r="G78" s="12" t="str">
        <f ca="1">VLOOKUP(F78,Table12[[Native]:[Population4]],5,FALSE)</f>
        <v>临汾市</v>
      </c>
    </row>
    <row r="79" spans="1:7" ht="15.75" thickBot="1" x14ac:dyDescent="0.3">
      <c r="A79" t="s">
        <v>1226</v>
      </c>
      <c r="B79" s="1" t="s">
        <v>1227</v>
      </c>
      <c r="C79" s="1" t="s">
        <v>17</v>
      </c>
      <c r="D79" s="1" t="s">
        <v>1077</v>
      </c>
      <c r="E79" s="9">
        <v>4508</v>
      </c>
      <c r="F79" s="1" t="str">
        <f>VLOOKUP(D79,Table12[[Name]:[Native]],3,FALSE)</f>
        <v>浮山县</v>
      </c>
      <c r="G79" s="12" t="str">
        <f ca="1">VLOOKUP(F79,Table12[[Native]:[Population4]],5,FALSE)</f>
        <v>临汾市</v>
      </c>
    </row>
    <row r="80" spans="1:7" ht="15.75" thickBot="1" x14ac:dyDescent="0.3">
      <c r="A80" t="s">
        <v>1228</v>
      </c>
      <c r="B80" s="1" t="s">
        <v>1229</v>
      </c>
      <c r="C80" s="1" t="s">
        <v>7</v>
      </c>
      <c r="D80" s="1" t="s">
        <v>1103</v>
      </c>
      <c r="E80" s="9">
        <v>47416</v>
      </c>
      <c r="F80" s="1" t="str">
        <f>VLOOKUP(D80,Table12[[Name]:[Native]],3,FALSE)</f>
        <v>洪洞县</v>
      </c>
      <c r="G80" s="12" t="str">
        <f ca="1">VLOOKUP(F80,Table12[[Native]:[Population4]],5,FALSE)</f>
        <v>临汾市</v>
      </c>
    </row>
    <row r="81" spans="1:7" ht="15.75" thickBot="1" x14ac:dyDescent="0.3">
      <c r="A81" t="s">
        <v>1230</v>
      </c>
      <c r="B81" s="1" t="s">
        <v>1231</v>
      </c>
      <c r="C81" s="1" t="s">
        <v>31</v>
      </c>
      <c r="D81" s="1" t="s">
        <v>1068</v>
      </c>
      <c r="E81" s="9">
        <v>12239</v>
      </c>
      <c r="F81" s="1" t="str">
        <f>VLOOKUP(D81,Table12[[Name]:[Native]],3,FALSE)</f>
        <v>霍州市</v>
      </c>
      <c r="G81" s="12" t="str">
        <f ca="1">VLOOKUP(F81,Table12[[Native]:[Population4]],5,FALSE)</f>
        <v>临汾市</v>
      </c>
    </row>
    <row r="82" spans="1:7" ht="15.75" thickBot="1" x14ac:dyDescent="0.3">
      <c r="A82" t="s">
        <v>1232</v>
      </c>
      <c r="B82" s="1" t="s">
        <v>1233</v>
      </c>
      <c r="C82" s="1" t="s">
        <v>7</v>
      </c>
      <c r="D82" s="1" t="s">
        <v>1100</v>
      </c>
      <c r="E82" s="9">
        <v>27292</v>
      </c>
      <c r="F82" s="1" t="str">
        <f>VLOOKUP(D82,Table12[[Name]:[Native]],3,FALSE)</f>
        <v>襄汾县</v>
      </c>
      <c r="G82" s="12" t="str">
        <f ca="1">VLOOKUP(F82,Table12[[Native]:[Population4]],5,FALSE)</f>
        <v>临汾市</v>
      </c>
    </row>
    <row r="83" spans="1:7" ht="15.75" thickBot="1" x14ac:dyDescent="0.3">
      <c r="A83" t="s">
        <v>467</v>
      </c>
      <c r="B83" s="1" t="s">
        <v>468</v>
      </c>
      <c r="C83" s="1" t="s">
        <v>31</v>
      </c>
      <c r="D83" s="1" t="s">
        <v>1087</v>
      </c>
      <c r="E83" s="9">
        <v>55876</v>
      </c>
      <c r="F83" s="1" t="str">
        <f>VLOOKUP(D83,Table12[[Name]:[Native]],3,FALSE)</f>
        <v>尧都区</v>
      </c>
      <c r="G83" s="12" t="str">
        <f ca="1">VLOOKUP(F83,Table12[[Native]:[Population4]],5,FALSE)</f>
        <v>临汾市</v>
      </c>
    </row>
    <row r="84" spans="1:7" ht="15.75" thickBot="1" x14ac:dyDescent="0.3">
      <c r="A84" t="s">
        <v>1234</v>
      </c>
      <c r="B84" s="1" t="s">
        <v>1235</v>
      </c>
      <c r="C84" s="1" t="s">
        <v>7</v>
      </c>
      <c r="D84" s="1" t="s">
        <v>1187</v>
      </c>
      <c r="E84" s="9">
        <v>45098</v>
      </c>
      <c r="F84" s="1" t="str">
        <f>VLOOKUP(D84,Table12[[Name]:[Native]],3,FALSE)</f>
        <v>翼城县</v>
      </c>
      <c r="G84" s="12" t="str">
        <f ca="1">VLOOKUP(F84,Table12[[Native]:[Population4]],5,FALSE)</f>
        <v>临汾市</v>
      </c>
    </row>
    <row r="85" spans="1:7" ht="15.75" thickBot="1" x14ac:dyDescent="0.3">
      <c r="A85" t="s">
        <v>1236</v>
      </c>
      <c r="B85" s="1" t="s">
        <v>1237</v>
      </c>
      <c r="C85" s="1" t="s">
        <v>17</v>
      </c>
      <c r="D85" s="1" t="s">
        <v>1187</v>
      </c>
      <c r="E85" s="9">
        <v>27260</v>
      </c>
      <c r="F85" s="1" t="str">
        <f>VLOOKUP(D85,Table12[[Name]:[Native]],3,FALSE)</f>
        <v>翼城县</v>
      </c>
      <c r="G85" s="12" t="str">
        <f ca="1">VLOOKUP(F85,Table12[[Native]:[Population4]],5,FALSE)</f>
        <v>临汾市</v>
      </c>
    </row>
    <row r="86" spans="1:7" ht="15.75" thickBot="1" x14ac:dyDescent="0.3">
      <c r="A86" t="s">
        <v>1238</v>
      </c>
      <c r="B86" s="1" t="s">
        <v>1239</v>
      </c>
      <c r="C86" s="1" t="s">
        <v>17</v>
      </c>
      <c r="D86" s="1" t="s">
        <v>1100</v>
      </c>
      <c r="E86" s="9">
        <v>42937</v>
      </c>
      <c r="F86" s="1" t="str">
        <f>VLOOKUP(D86,Table12[[Name]:[Native]],3,FALSE)</f>
        <v>襄汾县</v>
      </c>
      <c r="G86" s="12" t="str">
        <f ca="1">VLOOKUP(F86,Table12[[Native]:[Population4]],5,FALSE)</f>
        <v>临汾市</v>
      </c>
    </row>
    <row r="87" spans="1:7" ht="15.75" thickBot="1" x14ac:dyDescent="0.3">
      <c r="A87" t="s">
        <v>1240</v>
      </c>
      <c r="B87" s="1" t="s">
        <v>1241</v>
      </c>
      <c r="C87" s="1" t="s">
        <v>17</v>
      </c>
      <c r="D87" s="1" t="s">
        <v>1082</v>
      </c>
      <c r="E87" s="9">
        <v>9004</v>
      </c>
      <c r="F87" s="1" t="str">
        <f>VLOOKUP(D87,Table12[[Name]:[Native]],3,FALSE)</f>
        <v>古县</v>
      </c>
      <c r="G87" s="12" t="str">
        <f ca="1">VLOOKUP(F87,Table12[[Native]:[Population4]],5,FALSE)</f>
        <v>临汾市</v>
      </c>
    </row>
    <row r="88" spans="1:7" ht="15.75" thickBot="1" x14ac:dyDescent="0.3">
      <c r="A88" t="s">
        <v>1242</v>
      </c>
      <c r="B88" s="1" t="s">
        <v>1243</v>
      </c>
      <c r="C88" s="1" t="s">
        <v>17</v>
      </c>
      <c r="D88" s="1" t="s">
        <v>1106</v>
      </c>
      <c r="E88" s="9">
        <v>5500</v>
      </c>
      <c r="F88" s="1" t="str">
        <f>VLOOKUP(D88,Table12[[Name]:[Native]],3,FALSE)</f>
        <v>永和县</v>
      </c>
      <c r="G88" s="12" t="str">
        <f ca="1">VLOOKUP(F88,Table12[[Native]:[Population4]],5,FALSE)</f>
        <v>临汾市</v>
      </c>
    </row>
    <row r="89" spans="1:7" ht="15.75" thickBot="1" x14ac:dyDescent="0.3">
      <c r="A89" t="s">
        <v>1244</v>
      </c>
      <c r="B89" s="1" t="s">
        <v>1245</v>
      </c>
      <c r="C89" s="1" t="s">
        <v>17</v>
      </c>
      <c r="D89" s="1" t="s">
        <v>1106</v>
      </c>
      <c r="E89" s="9">
        <v>4223</v>
      </c>
      <c r="F89" s="1" t="str">
        <f>VLOOKUP(D89,Table12[[Name]:[Native]],3,FALSE)</f>
        <v>永和县</v>
      </c>
      <c r="G89" s="12" t="str">
        <f ca="1">VLOOKUP(F89,Table12[[Native]:[Population4]],5,FALSE)</f>
        <v>临汾市</v>
      </c>
    </row>
    <row r="90" spans="1:7" ht="15.75" thickBot="1" x14ac:dyDescent="0.3">
      <c r="A90" t="s">
        <v>1246</v>
      </c>
      <c r="B90" s="1" t="s">
        <v>1247</v>
      </c>
      <c r="C90" s="1" t="s">
        <v>7</v>
      </c>
      <c r="D90" s="1" t="s">
        <v>1160</v>
      </c>
      <c r="E90" s="9">
        <v>32240</v>
      </c>
      <c r="F90" s="1" t="str">
        <f>VLOOKUP(D90,Table12[[Name]:[Native]],3,FALSE)</f>
        <v>蒲县</v>
      </c>
      <c r="G90" s="12" t="str">
        <f ca="1">VLOOKUP(F90,Table12[[Native]:[Population4]],5,FALSE)</f>
        <v>临汾市</v>
      </c>
    </row>
    <row r="91" spans="1:7" ht="15.75" thickBot="1" x14ac:dyDescent="0.3">
      <c r="A91" t="s">
        <v>1248</v>
      </c>
      <c r="B91" s="1" t="s">
        <v>1249</v>
      </c>
      <c r="C91" s="1" t="s">
        <v>17</v>
      </c>
      <c r="D91" s="1" t="s">
        <v>1160</v>
      </c>
      <c r="E91" s="9">
        <v>13398</v>
      </c>
      <c r="F91" s="1" t="str">
        <f>VLOOKUP(D91,Table12[[Name]:[Native]],3,FALSE)</f>
        <v>蒲县</v>
      </c>
      <c r="G91" s="12" t="str">
        <f ca="1">VLOOKUP(F91,Table12[[Native]:[Population4]],5,FALSE)</f>
        <v>临汾市</v>
      </c>
    </row>
    <row r="92" spans="1:7" ht="15.75" thickBot="1" x14ac:dyDescent="0.3">
      <c r="A92" t="s">
        <v>1250</v>
      </c>
      <c r="B92" s="1" t="s">
        <v>1251</v>
      </c>
      <c r="C92" s="1" t="s">
        <v>7</v>
      </c>
      <c r="D92" s="1" t="s">
        <v>1087</v>
      </c>
      <c r="E92" s="9">
        <v>18105</v>
      </c>
      <c r="F92" s="1" t="str">
        <f>VLOOKUP(D92,Table12[[Name]:[Native]],3,FALSE)</f>
        <v>尧都区</v>
      </c>
      <c r="G92" s="12" t="str">
        <f ca="1">VLOOKUP(F92,Table12[[Native]:[Population4]],5,FALSE)</f>
        <v>临汾市</v>
      </c>
    </row>
    <row r="93" spans="1:7" ht="15.75" thickBot="1" x14ac:dyDescent="0.3">
      <c r="A93" t="s">
        <v>1252</v>
      </c>
      <c r="B93" s="1" t="s">
        <v>1253</v>
      </c>
      <c r="C93" s="1" t="s">
        <v>7</v>
      </c>
      <c r="D93" s="1" t="s">
        <v>1187</v>
      </c>
      <c r="E93" s="9">
        <v>9712</v>
      </c>
      <c r="F93" s="1" t="str">
        <f>VLOOKUP(D93,Table12[[Name]:[Native]],3,FALSE)</f>
        <v>翼城县</v>
      </c>
      <c r="G93" s="12" t="str">
        <f ca="1">VLOOKUP(F93,Table12[[Native]:[Population4]],5,FALSE)</f>
        <v>临汾市</v>
      </c>
    </row>
    <row r="94" spans="1:7" ht="15.75" thickBot="1" x14ac:dyDescent="0.3">
      <c r="A94" t="s">
        <v>1254</v>
      </c>
      <c r="B94" s="1" t="s">
        <v>1255</v>
      </c>
      <c r="C94" s="1" t="s">
        <v>7</v>
      </c>
      <c r="D94" s="1" t="s">
        <v>1113</v>
      </c>
      <c r="E94" s="9">
        <v>17654</v>
      </c>
      <c r="F94" s="1" t="str">
        <f>VLOOKUP(D94,Table12[[Name]:[Native]],3,FALSE)</f>
        <v>汾西县</v>
      </c>
      <c r="G94" s="12" t="str">
        <f ca="1">VLOOKUP(F94,Table12[[Native]:[Population4]],5,FALSE)</f>
        <v>临汾市</v>
      </c>
    </row>
    <row r="95" spans="1:7" ht="15.75" thickBot="1" x14ac:dyDescent="0.3">
      <c r="A95" t="s">
        <v>1256</v>
      </c>
      <c r="B95" s="1" t="s">
        <v>1257</v>
      </c>
      <c r="C95" s="1" t="s">
        <v>7</v>
      </c>
      <c r="D95" s="1" t="s">
        <v>1074</v>
      </c>
      <c r="E95" s="9">
        <v>25135</v>
      </c>
      <c r="F95" s="1" t="str">
        <f>VLOOKUP(D95,Table12[[Name]:[Native]],3,FALSE)</f>
        <v>曲沃县</v>
      </c>
      <c r="G95" s="12" t="str">
        <f ca="1">VLOOKUP(F95,Table12[[Native]:[Population4]],5,FALSE)</f>
        <v>临汾市</v>
      </c>
    </row>
    <row r="96" spans="1:7" ht="15.75" thickBot="1" x14ac:dyDescent="0.3">
      <c r="A96" t="s">
        <v>1258</v>
      </c>
      <c r="B96" s="1" t="s">
        <v>1259</v>
      </c>
      <c r="C96" s="1" t="s">
        <v>7</v>
      </c>
      <c r="D96" s="1" t="s">
        <v>1260</v>
      </c>
      <c r="E96" s="9">
        <v>8103</v>
      </c>
      <c r="F96" s="1" t="str">
        <f>VLOOKUP(D96,Table12[[Name]:[Native]],3,FALSE)</f>
        <v>大宁县</v>
      </c>
      <c r="G96" s="12" t="str">
        <f ca="1">VLOOKUP(F96,Table12[[Native]:[Population4]],5,FALSE)</f>
        <v>临汾市</v>
      </c>
    </row>
    <row r="97" spans="1:7" ht="15.75" thickBot="1" x14ac:dyDescent="0.3">
      <c r="A97" t="s">
        <v>1261</v>
      </c>
      <c r="B97" s="1" t="s">
        <v>1262</v>
      </c>
      <c r="C97" s="1" t="s">
        <v>7</v>
      </c>
      <c r="D97" s="1" t="s">
        <v>1103</v>
      </c>
      <c r="E97" s="9">
        <v>51800</v>
      </c>
      <c r="F97" s="1" t="str">
        <f>VLOOKUP(D97,Table12[[Name]:[Native]],3,FALSE)</f>
        <v>洪洞县</v>
      </c>
      <c r="G97" s="12" t="str">
        <f ca="1">VLOOKUP(F97,Table12[[Native]:[Population4]],5,FALSE)</f>
        <v>临汾市</v>
      </c>
    </row>
    <row r="98" spans="1:7" ht="15.75" thickBot="1" x14ac:dyDescent="0.3">
      <c r="A98" t="s">
        <v>1263</v>
      </c>
      <c r="B98" s="1" t="s">
        <v>1264</v>
      </c>
      <c r="C98" s="1" t="s">
        <v>17</v>
      </c>
      <c r="D98" s="1" t="s">
        <v>1260</v>
      </c>
      <c r="E98" s="9">
        <v>7025</v>
      </c>
      <c r="F98" s="1" t="str">
        <f>VLOOKUP(D98,Table12[[Name]:[Native]],3,FALSE)</f>
        <v>大宁县</v>
      </c>
      <c r="G98" s="12" t="str">
        <f ca="1">VLOOKUP(F98,Table12[[Native]:[Population4]],5,FALSE)</f>
        <v>临汾市</v>
      </c>
    </row>
    <row r="99" spans="1:7" ht="15.75" thickBot="1" x14ac:dyDescent="0.3">
      <c r="A99" t="s">
        <v>1265</v>
      </c>
      <c r="B99" s="1" t="s">
        <v>1266</v>
      </c>
      <c r="C99" s="1" t="s">
        <v>7</v>
      </c>
      <c r="D99" s="1" t="s">
        <v>1106</v>
      </c>
      <c r="E99" s="9">
        <v>5376</v>
      </c>
      <c r="F99" s="1" t="str">
        <f>VLOOKUP(D99,Table12[[Name]:[Native]],3,FALSE)</f>
        <v>永和县</v>
      </c>
      <c r="G99" s="12" t="str">
        <f ca="1">VLOOKUP(F99,Table12[[Native]:[Population4]],5,FALSE)</f>
        <v>临汾市</v>
      </c>
    </row>
    <row r="100" spans="1:7" ht="15.75" thickBot="1" x14ac:dyDescent="0.3">
      <c r="A100" t="s">
        <v>1267</v>
      </c>
      <c r="B100" s="1" t="s">
        <v>1268</v>
      </c>
      <c r="C100" s="1" t="s">
        <v>17</v>
      </c>
      <c r="D100" s="1" t="s">
        <v>1068</v>
      </c>
      <c r="E100" s="9">
        <v>19721</v>
      </c>
      <c r="F100" s="1" t="str">
        <f>VLOOKUP(D100,Table12[[Name]:[Native]],3,FALSE)</f>
        <v>霍州市</v>
      </c>
      <c r="G100" s="12" t="str">
        <f ca="1">VLOOKUP(F100,Table12[[Native]:[Population4]],5,FALSE)</f>
        <v>临汾市</v>
      </c>
    </row>
    <row r="101" spans="1:7" ht="15.75" thickBot="1" x14ac:dyDescent="0.3">
      <c r="A101" t="s">
        <v>1269</v>
      </c>
      <c r="B101" s="1" t="s">
        <v>1270</v>
      </c>
      <c r="C101" s="1" t="s">
        <v>7</v>
      </c>
      <c r="D101" s="1" t="s">
        <v>1113</v>
      </c>
      <c r="E101" s="9">
        <v>14233</v>
      </c>
      <c r="F101" s="1" t="str">
        <f>VLOOKUP(D101,Table12[[Name]:[Native]],3,FALSE)</f>
        <v>汾西县</v>
      </c>
      <c r="G101" s="12" t="str">
        <f ca="1">VLOOKUP(F101,Table12[[Native]:[Population4]],5,FALSE)</f>
        <v>临汾市</v>
      </c>
    </row>
    <row r="102" spans="1:7" ht="15.75" thickBot="1" x14ac:dyDescent="0.3">
      <c r="A102" t="s">
        <v>1271</v>
      </c>
      <c r="B102" s="1" t="s">
        <v>1272</v>
      </c>
      <c r="C102" s="1" t="s">
        <v>31</v>
      </c>
      <c r="D102" s="1" t="s">
        <v>1133</v>
      </c>
      <c r="E102" s="9">
        <v>25653</v>
      </c>
      <c r="F102" s="1" t="str">
        <f>VLOOKUP(D102,Table12[[Name]:[Native]],3,FALSE)</f>
        <v>侯马市</v>
      </c>
      <c r="G102" s="12" t="str">
        <f ca="1">VLOOKUP(F102,Table12[[Native]:[Population4]],5,FALSE)</f>
        <v>临汾市</v>
      </c>
    </row>
    <row r="103" spans="1:7" ht="15.75" thickBot="1" x14ac:dyDescent="0.3">
      <c r="A103" t="s">
        <v>1273</v>
      </c>
      <c r="B103" s="1" t="s">
        <v>1274</v>
      </c>
      <c r="C103" s="1" t="s">
        <v>17</v>
      </c>
      <c r="D103" s="1" t="s">
        <v>1103</v>
      </c>
      <c r="E103" s="9">
        <v>8393</v>
      </c>
      <c r="F103" s="1" t="str">
        <f>VLOOKUP(D103,Table12[[Name]:[Native]],3,FALSE)</f>
        <v>洪洞县</v>
      </c>
      <c r="G103" s="12" t="str">
        <f ca="1">VLOOKUP(F103,Table12[[Native]:[Population4]],5,FALSE)</f>
        <v>临汾市</v>
      </c>
    </row>
    <row r="104" spans="1:7" ht="15.75" thickBot="1" x14ac:dyDescent="0.3">
      <c r="A104" t="s">
        <v>1275</v>
      </c>
      <c r="B104" s="1" t="s">
        <v>1276</v>
      </c>
      <c r="C104" s="1" t="s">
        <v>17</v>
      </c>
      <c r="D104" s="1" t="s">
        <v>1160</v>
      </c>
      <c r="E104" s="9">
        <v>2808</v>
      </c>
      <c r="F104" s="1" t="str">
        <f>VLOOKUP(D104,Table12[[Name]:[Native]],3,FALSE)</f>
        <v>蒲县</v>
      </c>
      <c r="G104" s="12" t="str">
        <f ca="1">VLOOKUP(F104,Table12[[Native]:[Population4]],5,FALSE)</f>
        <v>临汾市</v>
      </c>
    </row>
    <row r="105" spans="1:7" ht="15.75" thickBot="1" x14ac:dyDescent="0.3">
      <c r="A105" t="s">
        <v>1277</v>
      </c>
      <c r="B105" s="1" t="s">
        <v>1278</v>
      </c>
      <c r="C105" s="1" t="s">
        <v>35</v>
      </c>
      <c r="D105" s="1" t="s">
        <v>1113</v>
      </c>
      <c r="E105" s="9">
        <v>36980</v>
      </c>
      <c r="F105" s="1" t="str">
        <f>VLOOKUP(D105,Table12[[Name]:[Native]],3,FALSE)</f>
        <v>汾西县</v>
      </c>
      <c r="G105" s="12" t="str">
        <f ca="1">VLOOKUP(F105,Table12[[Native]:[Population4]],5,FALSE)</f>
        <v>临汾市</v>
      </c>
    </row>
    <row r="106" spans="1:7" ht="15.75" thickBot="1" x14ac:dyDescent="0.3">
      <c r="A106" t="s">
        <v>1279</v>
      </c>
      <c r="B106" s="1" t="s">
        <v>1280</v>
      </c>
      <c r="C106" s="1" t="s">
        <v>17</v>
      </c>
      <c r="D106" s="1" t="s">
        <v>1082</v>
      </c>
      <c r="E106" s="9">
        <v>5944</v>
      </c>
      <c r="F106" s="1" t="str">
        <f>VLOOKUP(D106,Table12[[Name]:[Native]],3,FALSE)</f>
        <v>古县</v>
      </c>
      <c r="G106" s="12" t="str">
        <f ca="1">VLOOKUP(F106,Table12[[Native]:[Population4]],5,FALSE)</f>
        <v>临汾市</v>
      </c>
    </row>
    <row r="107" spans="1:7" ht="15.75" thickBot="1" x14ac:dyDescent="0.3">
      <c r="A107" t="s">
        <v>1281</v>
      </c>
      <c r="B107" s="1" t="s">
        <v>1282</v>
      </c>
      <c r="C107" s="1" t="s">
        <v>7</v>
      </c>
      <c r="D107" s="1" t="s">
        <v>1074</v>
      </c>
      <c r="E107" s="9">
        <v>41197</v>
      </c>
      <c r="F107" s="1" t="str">
        <f>VLOOKUP(D107,Table12[[Name]:[Native]],3,FALSE)</f>
        <v>曲沃县</v>
      </c>
      <c r="G107" s="12" t="str">
        <f ca="1">VLOOKUP(F107,Table12[[Native]:[Population4]],5,FALSE)</f>
        <v>临汾市</v>
      </c>
    </row>
    <row r="108" spans="1:7" ht="15.75" thickBot="1" x14ac:dyDescent="0.3">
      <c r="A108" t="s">
        <v>1283</v>
      </c>
      <c r="B108" s="1" t="s">
        <v>1284</v>
      </c>
      <c r="C108" s="1" t="s">
        <v>17</v>
      </c>
      <c r="D108" s="1" t="s">
        <v>1068</v>
      </c>
      <c r="E108" s="9">
        <v>11734</v>
      </c>
      <c r="F108" s="1" t="str">
        <f>VLOOKUP(D108,Table12[[Name]:[Native]],3,FALSE)</f>
        <v>霍州市</v>
      </c>
      <c r="G108" s="12" t="str">
        <f ca="1">VLOOKUP(F108,Table12[[Native]:[Population4]],5,FALSE)</f>
        <v>临汾市</v>
      </c>
    </row>
    <row r="109" spans="1:7" ht="15.75" thickBot="1" x14ac:dyDescent="0.3">
      <c r="A109" t="s">
        <v>1285</v>
      </c>
      <c r="B109" s="1" t="s">
        <v>1286</v>
      </c>
      <c r="C109" s="1" t="s">
        <v>17</v>
      </c>
      <c r="D109" s="1" t="s">
        <v>1090</v>
      </c>
      <c r="E109" s="9">
        <v>22130</v>
      </c>
      <c r="F109" s="1" t="str">
        <f>VLOOKUP(D109,Table12[[Name]:[Native]],3,FALSE)</f>
        <v>乡宁县</v>
      </c>
      <c r="G109" s="12" t="str">
        <f ca="1">VLOOKUP(F109,Table12[[Native]:[Population4]],5,FALSE)</f>
        <v>临汾市</v>
      </c>
    </row>
    <row r="110" spans="1:7" ht="15.75" thickBot="1" x14ac:dyDescent="0.3">
      <c r="A110" t="s">
        <v>1287</v>
      </c>
      <c r="B110" s="1" t="s">
        <v>1288</v>
      </c>
      <c r="C110" s="1" t="s">
        <v>31</v>
      </c>
      <c r="D110" s="1" t="s">
        <v>1087</v>
      </c>
      <c r="E110" s="9">
        <v>33649</v>
      </c>
      <c r="F110" s="1" t="str">
        <f>VLOOKUP(D110,Table12[[Name]:[Native]],3,FALSE)</f>
        <v>尧都区</v>
      </c>
      <c r="G110" s="12" t="str">
        <f ca="1">VLOOKUP(F110,Table12[[Native]:[Population4]],5,FALSE)</f>
        <v>临汾市</v>
      </c>
    </row>
    <row r="111" spans="1:7" ht="15.75" thickBot="1" x14ac:dyDescent="0.3">
      <c r="A111" t="s">
        <v>1289</v>
      </c>
      <c r="B111" s="1" t="s">
        <v>1290</v>
      </c>
      <c r="C111" s="1" t="s">
        <v>7</v>
      </c>
      <c r="D111" s="1" t="s">
        <v>1103</v>
      </c>
      <c r="E111" s="9">
        <v>27875</v>
      </c>
      <c r="F111" s="1" t="str">
        <f>VLOOKUP(D111,Table12[[Name]:[Native]],3,FALSE)</f>
        <v>洪洞县</v>
      </c>
      <c r="G111" s="12" t="str">
        <f ca="1">VLOOKUP(F111,Table12[[Native]:[Population4]],5,FALSE)</f>
        <v>临汾市</v>
      </c>
    </row>
    <row r="112" spans="1:7" ht="15.75" thickBot="1" x14ac:dyDescent="0.3">
      <c r="A112" t="s">
        <v>1291</v>
      </c>
      <c r="B112" s="1" t="s">
        <v>1292</v>
      </c>
      <c r="C112" s="1" t="s">
        <v>17</v>
      </c>
      <c r="D112" s="1" t="s">
        <v>1260</v>
      </c>
      <c r="E112" s="9">
        <v>3940</v>
      </c>
      <c r="F112" s="1" t="str">
        <f>VLOOKUP(D112,Table12[[Name]:[Native]],3,FALSE)</f>
        <v>大宁县</v>
      </c>
      <c r="G112" s="12" t="str">
        <f ca="1">VLOOKUP(F112,Table12[[Native]:[Population4]],5,FALSE)</f>
        <v>临汾市</v>
      </c>
    </row>
    <row r="113" spans="1:7" ht="15.75" thickBot="1" x14ac:dyDescent="0.3">
      <c r="A113" t="s">
        <v>1293</v>
      </c>
      <c r="B113" s="1" t="s">
        <v>1294</v>
      </c>
      <c r="C113" s="1" t="s">
        <v>17</v>
      </c>
      <c r="D113" s="1" t="s">
        <v>1260</v>
      </c>
      <c r="E113" s="9">
        <v>3838</v>
      </c>
      <c r="F113" s="1" t="str">
        <f>VLOOKUP(D113,Table12[[Name]:[Native]],3,FALSE)</f>
        <v>大宁县</v>
      </c>
      <c r="G113" s="12" t="str">
        <f ca="1">VLOOKUP(F113,Table12[[Native]:[Population4]],5,FALSE)</f>
        <v>临汾市</v>
      </c>
    </row>
    <row r="114" spans="1:7" ht="15.75" thickBot="1" x14ac:dyDescent="0.3">
      <c r="A114" t="s">
        <v>1295</v>
      </c>
      <c r="B114" s="1" t="s">
        <v>1296</v>
      </c>
      <c r="C114" s="1" t="s">
        <v>17</v>
      </c>
      <c r="D114" s="1" t="s">
        <v>1160</v>
      </c>
      <c r="E114" s="9">
        <v>9019</v>
      </c>
      <c r="F114" s="1" t="str">
        <f>VLOOKUP(D114,Table12[[Name]:[Native]],3,FALSE)</f>
        <v>蒲县</v>
      </c>
      <c r="G114" s="12" t="str">
        <f ca="1">VLOOKUP(F114,Table12[[Native]:[Population4]],5,FALSE)</f>
        <v>临汾市</v>
      </c>
    </row>
    <row r="115" spans="1:7" ht="15.75" thickBot="1" x14ac:dyDescent="0.3">
      <c r="A115" t="s">
        <v>1297</v>
      </c>
      <c r="B115" s="1" t="s">
        <v>1298</v>
      </c>
      <c r="C115" s="1" t="s">
        <v>7</v>
      </c>
      <c r="D115" s="1" t="s">
        <v>1090</v>
      </c>
      <c r="E115" s="9">
        <v>13588</v>
      </c>
      <c r="F115" s="1" t="str">
        <f>VLOOKUP(D115,Table12[[Name]:[Native]],3,FALSE)</f>
        <v>乡宁县</v>
      </c>
      <c r="G115" s="12" t="str">
        <f ca="1">VLOOKUP(F115,Table12[[Native]:[Population4]],5,FALSE)</f>
        <v>临汾市</v>
      </c>
    </row>
    <row r="116" spans="1:7" ht="15.75" thickBot="1" x14ac:dyDescent="0.3">
      <c r="A116" t="s">
        <v>1299</v>
      </c>
      <c r="B116" s="1" t="s">
        <v>1300</v>
      </c>
      <c r="C116" s="1" t="s">
        <v>7</v>
      </c>
      <c r="D116" s="1" t="s">
        <v>1126</v>
      </c>
      <c r="E116" s="9">
        <v>11944</v>
      </c>
      <c r="F116" s="1" t="str">
        <f>VLOOKUP(D116,Table12[[Name]:[Native]],3,FALSE)</f>
        <v>安泽县</v>
      </c>
      <c r="G116" s="12" t="str">
        <f ca="1">VLOOKUP(F116,Table12[[Native]:[Population4]],5,FALSE)</f>
        <v>临汾市</v>
      </c>
    </row>
    <row r="117" spans="1:7" ht="15.75" thickBot="1" x14ac:dyDescent="0.3">
      <c r="A117" t="s">
        <v>1301</v>
      </c>
      <c r="B117" s="1" t="s">
        <v>1302</v>
      </c>
      <c r="C117" s="1" t="s">
        <v>7</v>
      </c>
      <c r="D117" s="1" t="s">
        <v>1187</v>
      </c>
      <c r="E117" s="9">
        <v>86862</v>
      </c>
      <c r="F117" s="1" t="str">
        <f>VLOOKUP(D117,Table12[[Name]:[Native]],3,FALSE)</f>
        <v>翼城县</v>
      </c>
      <c r="G117" s="12" t="str">
        <f ca="1">VLOOKUP(F117,Table12[[Native]:[Population4]],5,FALSE)</f>
        <v>临汾市</v>
      </c>
    </row>
    <row r="118" spans="1:7" ht="15.75" thickBot="1" x14ac:dyDescent="0.3">
      <c r="A118" t="s">
        <v>1303</v>
      </c>
      <c r="B118" s="1" t="s">
        <v>1304</v>
      </c>
      <c r="C118" s="1" t="s">
        <v>17</v>
      </c>
      <c r="D118" s="1" t="s">
        <v>1100</v>
      </c>
      <c r="E118" s="9">
        <v>19723</v>
      </c>
      <c r="F118" s="1" t="str">
        <f>VLOOKUP(D118,Table12[[Name]:[Native]],3,FALSE)</f>
        <v>襄汾县</v>
      </c>
      <c r="G118" s="12" t="str">
        <f ca="1">VLOOKUP(F118,Table12[[Native]:[Population4]],5,FALSE)</f>
        <v>临汾市</v>
      </c>
    </row>
    <row r="119" spans="1:7" ht="15.75" thickBot="1" x14ac:dyDescent="0.3">
      <c r="A119" t="s">
        <v>1305</v>
      </c>
      <c r="B119" s="1" t="s">
        <v>1306</v>
      </c>
      <c r="C119" s="1" t="s">
        <v>17</v>
      </c>
      <c r="D119" s="1" t="s">
        <v>1068</v>
      </c>
      <c r="E119" s="9">
        <v>16719</v>
      </c>
      <c r="F119" s="1" t="str">
        <f>VLOOKUP(D119,Table12[[Name]:[Native]],3,FALSE)</f>
        <v>霍州市</v>
      </c>
      <c r="G119" s="12" t="str">
        <f ca="1">VLOOKUP(F119,Table12[[Native]:[Population4]],5,FALSE)</f>
        <v>临汾市</v>
      </c>
    </row>
    <row r="120" spans="1:7" ht="15.75" thickBot="1" x14ac:dyDescent="0.3">
      <c r="A120" t="s">
        <v>1307</v>
      </c>
      <c r="B120" s="1" t="s">
        <v>1308</v>
      </c>
      <c r="C120" s="1" t="s">
        <v>7</v>
      </c>
      <c r="D120" s="1" t="s">
        <v>1077</v>
      </c>
      <c r="E120" s="9">
        <v>47736</v>
      </c>
      <c r="F120" s="1" t="str">
        <f>VLOOKUP(D120,Table12[[Name]:[Native]],3,FALSE)</f>
        <v>浮山县</v>
      </c>
      <c r="G120" s="12" t="str">
        <f ca="1">VLOOKUP(F120,Table12[[Native]:[Population4]],5,FALSE)</f>
        <v>临汾市</v>
      </c>
    </row>
    <row r="121" spans="1:7" ht="15.75" thickBot="1" x14ac:dyDescent="0.3">
      <c r="A121" t="s">
        <v>1309</v>
      </c>
      <c r="B121" s="1" t="s">
        <v>1310</v>
      </c>
      <c r="C121" s="1" t="s">
        <v>31</v>
      </c>
      <c r="D121" s="1" t="s">
        <v>1087</v>
      </c>
      <c r="E121" s="9">
        <v>94098</v>
      </c>
      <c r="F121" s="1" t="str">
        <f>VLOOKUP(D121,Table12[[Name]:[Native]],3,FALSE)</f>
        <v>尧都区</v>
      </c>
      <c r="G121" s="12" t="str">
        <f ca="1">VLOOKUP(F121,Table12[[Native]:[Population4]],5,FALSE)</f>
        <v>临汾市</v>
      </c>
    </row>
    <row r="122" spans="1:7" ht="15.75" thickBot="1" x14ac:dyDescent="0.3">
      <c r="A122" t="s">
        <v>1311</v>
      </c>
      <c r="B122" s="1" t="s">
        <v>1312</v>
      </c>
      <c r="C122" s="1" t="s">
        <v>17</v>
      </c>
      <c r="D122" s="1" t="s">
        <v>1113</v>
      </c>
      <c r="E122" s="9">
        <v>11569</v>
      </c>
      <c r="F122" s="1" t="str">
        <f>VLOOKUP(D122,Table12[[Name]:[Native]],3,FALSE)</f>
        <v>汾西县</v>
      </c>
      <c r="G122" s="12" t="str">
        <f ca="1">VLOOKUP(F122,Table12[[Native]:[Population4]],5,FALSE)</f>
        <v>临汾市</v>
      </c>
    </row>
    <row r="123" spans="1:7" ht="15.75" thickBot="1" x14ac:dyDescent="0.3">
      <c r="A123" t="s">
        <v>1313</v>
      </c>
      <c r="B123" s="1" t="s">
        <v>1314</v>
      </c>
      <c r="C123" s="1" t="s">
        <v>31</v>
      </c>
      <c r="D123" s="1" t="s">
        <v>1068</v>
      </c>
      <c r="E123" s="9">
        <v>19489</v>
      </c>
      <c r="F123" s="1" t="str">
        <f>VLOOKUP(D123,Table12[[Name]:[Native]],3,FALSE)</f>
        <v>霍州市</v>
      </c>
      <c r="G123" s="12" t="str">
        <f ca="1">VLOOKUP(F123,Table12[[Native]:[Population4]],5,FALSE)</f>
        <v>临汾市</v>
      </c>
    </row>
    <row r="124" spans="1:7" ht="15.75" thickBot="1" x14ac:dyDescent="0.3">
      <c r="A124" t="s">
        <v>1315</v>
      </c>
      <c r="B124" s="1" t="s">
        <v>1316</v>
      </c>
      <c r="C124" s="1" t="s">
        <v>7</v>
      </c>
      <c r="D124" s="1" t="s">
        <v>1087</v>
      </c>
      <c r="E124" s="9">
        <v>29948</v>
      </c>
      <c r="F124" s="1" t="str">
        <f>VLOOKUP(D124,Table12[[Name]:[Native]],3,FALSE)</f>
        <v>尧都区</v>
      </c>
      <c r="G124" s="12" t="str">
        <f ca="1">VLOOKUP(F124,Table12[[Native]:[Population4]],5,FALSE)</f>
        <v>临汾市</v>
      </c>
    </row>
    <row r="125" spans="1:7" ht="15.75" thickBot="1" x14ac:dyDescent="0.3">
      <c r="A125" t="s">
        <v>1317</v>
      </c>
      <c r="B125" s="1" t="s">
        <v>1318</v>
      </c>
      <c r="C125" s="1" t="s">
        <v>7</v>
      </c>
      <c r="D125" s="1" t="s">
        <v>1087</v>
      </c>
      <c r="E125" s="9">
        <v>20530</v>
      </c>
      <c r="F125" s="1" t="str">
        <f>VLOOKUP(D125,Table12[[Name]:[Native]],3,FALSE)</f>
        <v>尧都区</v>
      </c>
      <c r="G125" s="12" t="str">
        <f ca="1">VLOOKUP(F125,Table12[[Native]:[Population4]],5,FALSE)</f>
        <v>临汾市</v>
      </c>
    </row>
    <row r="126" spans="1:7" ht="15.75" thickBot="1" x14ac:dyDescent="0.3">
      <c r="A126" t="s">
        <v>1317</v>
      </c>
      <c r="B126" s="1" t="s">
        <v>1318</v>
      </c>
      <c r="C126" s="1" t="s">
        <v>7</v>
      </c>
      <c r="D126" s="1" t="s">
        <v>1071</v>
      </c>
      <c r="E126" s="9">
        <v>12535</v>
      </c>
      <c r="F126" s="1" t="str">
        <f>VLOOKUP(D126,Table12[[Name]:[Native]],3,FALSE)</f>
        <v>吉县</v>
      </c>
      <c r="G126" s="12" t="str">
        <f ca="1">VLOOKUP(F126,Table12[[Native]:[Population4]],5,FALSE)</f>
        <v>临汾市</v>
      </c>
    </row>
    <row r="127" spans="1:7" ht="15.75" thickBot="1" x14ac:dyDescent="0.3">
      <c r="A127" t="s">
        <v>1319</v>
      </c>
      <c r="B127" s="1" t="s">
        <v>1320</v>
      </c>
      <c r="C127" s="1" t="s">
        <v>7</v>
      </c>
      <c r="D127" s="1" t="s">
        <v>1103</v>
      </c>
      <c r="E127" s="9">
        <v>64458</v>
      </c>
      <c r="F127" s="1" t="str">
        <f>VLOOKUP(D127,Table12[[Name]:[Native]],3,FALSE)</f>
        <v>洪洞县</v>
      </c>
      <c r="G127" s="12" t="str">
        <f ca="1">VLOOKUP(F127,Table12[[Native]:[Population4]],5,FALSE)</f>
        <v>临汾市</v>
      </c>
    </row>
    <row r="128" spans="1:7" ht="15.75" thickBot="1" x14ac:dyDescent="0.3">
      <c r="A128" t="s">
        <v>1321</v>
      </c>
      <c r="B128" s="1" t="s">
        <v>1322</v>
      </c>
      <c r="C128" s="1" t="s">
        <v>17</v>
      </c>
      <c r="D128" s="1" t="s">
        <v>1187</v>
      </c>
      <c r="E128" s="9">
        <v>31495</v>
      </c>
      <c r="F128" s="1" t="str">
        <f>VLOOKUP(D128,Table12[[Name]:[Native]],3,FALSE)</f>
        <v>翼城县</v>
      </c>
      <c r="G128" s="12" t="str">
        <f ca="1">VLOOKUP(F128,Table12[[Native]:[Population4]],5,FALSE)</f>
        <v>临汾市</v>
      </c>
    </row>
    <row r="129" spans="1:7" ht="15.75" thickBot="1" x14ac:dyDescent="0.3">
      <c r="A129" t="s">
        <v>1323</v>
      </c>
      <c r="B129" s="1" t="s">
        <v>1324</v>
      </c>
      <c r="C129" s="1" t="s">
        <v>7</v>
      </c>
      <c r="D129" s="1" t="s">
        <v>1087</v>
      </c>
      <c r="E129" s="9">
        <v>14364</v>
      </c>
      <c r="F129" s="1" t="str">
        <f>VLOOKUP(D129,Table12[[Name]:[Native]],3,FALSE)</f>
        <v>尧都区</v>
      </c>
      <c r="G129" s="12" t="str">
        <f ca="1">VLOOKUP(F129,Table12[[Native]:[Population4]],5,FALSE)</f>
        <v>临汾市</v>
      </c>
    </row>
    <row r="130" spans="1:7" ht="15.75" thickBot="1" x14ac:dyDescent="0.3">
      <c r="A130" t="s">
        <v>1325</v>
      </c>
      <c r="B130" s="1" t="s">
        <v>1326</v>
      </c>
      <c r="C130" s="1" t="s">
        <v>17</v>
      </c>
      <c r="D130" s="1" t="s">
        <v>1090</v>
      </c>
      <c r="E130" s="9">
        <v>13603</v>
      </c>
      <c r="F130" s="1" t="str">
        <f>VLOOKUP(D130,Table12[[Name]:[Native]],3,FALSE)</f>
        <v>乡宁县</v>
      </c>
      <c r="G130" s="12" t="str">
        <f ca="1">VLOOKUP(F130,Table12[[Native]:[Population4]],5,FALSE)</f>
        <v>临汾市</v>
      </c>
    </row>
    <row r="131" spans="1:7" ht="15.75" thickBot="1" x14ac:dyDescent="0.3">
      <c r="A131" t="s">
        <v>1327</v>
      </c>
      <c r="B131" s="1" t="s">
        <v>1328</v>
      </c>
      <c r="C131" s="1" t="s">
        <v>17</v>
      </c>
      <c r="D131" s="1" t="s">
        <v>1071</v>
      </c>
      <c r="E131" s="9">
        <v>8711</v>
      </c>
      <c r="F131" s="1" t="str">
        <f>VLOOKUP(D131,Table12[[Name]:[Native]],3,FALSE)</f>
        <v>吉县</v>
      </c>
      <c r="G131" s="12" t="str">
        <f ca="1">VLOOKUP(F131,Table12[[Native]:[Population4]],5,FALSE)</f>
        <v>临汾市</v>
      </c>
    </row>
    <row r="132" spans="1:7" ht="15.75" thickBot="1" x14ac:dyDescent="0.3">
      <c r="A132" t="s">
        <v>1329</v>
      </c>
      <c r="B132" s="1" t="s">
        <v>1330</v>
      </c>
      <c r="C132" s="1" t="s">
        <v>7</v>
      </c>
      <c r="D132" s="1" t="s">
        <v>1095</v>
      </c>
      <c r="E132" s="9">
        <v>10094</v>
      </c>
      <c r="F132" s="1" t="str">
        <f>VLOOKUP(D132,Table12[[Name]:[Native]],3,FALSE)</f>
        <v>隰县</v>
      </c>
      <c r="G132" s="12" t="str">
        <f ca="1">VLOOKUP(F132,Table12[[Native]:[Population4]],5,FALSE)</f>
        <v>临汾市</v>
      </c>
    </row>
    <row r="133" spans="1:7" ht="15.75" thickBot="1" x14ac:dyDescent="0.3">
      <c r="A133" t="s">
        <v>1331</v>
      </c>
      <c r="B133" s="1" t="s">
        <v>1332</v>
      </c>
      <c r="C133" s="1" t="s">
        <v>7</v>
      </c>
      <c r="D133" s="1" t="s">
        <v>1087</v>
      </c>
      <c r="E133" s="9">
        <v>23178</v>
      </c>
      <c r="F133" s="1" t="str">
        <f>VLOOKUP(D133,Table12[[Name]:[Native]],3,FALSE)</f>
        <v>尧都区</v>
      </c>
      <c r="G133" s="12" t="str">
        <f ca="1">VLOOKUP(F133,Table12[[Native]:[Population4]],5,FALSE)</f>
        <v>临汾市</v>
      </c>
    </row>
    <row r="134" spans="1:7" ht="15.75" thickBot="1" x14ac:dyDescent="0.3">
      <c r="A134" t="s">
        <v>1333</v>
      </c>
      <c r="B134" s="1" t="s">
        <v>1334</v>
      </c>
      <c r="C134" s="1" t="s">
        <v>17</v>
      </c>
      <c r="D134" s="1" t="s">
        <v>1095</v>
      </c>
      <c r="E134" s="9">
        <v>8623</v>
      </c>
      <c r="F134" s="1" t="str">
        <f>VLOOKUP(D134,Table12[[Name]:[Native]],3,FALSE)</f>
        <v>隰县</v>
      </c>
      <c r="G134" s="12" t="str">
        <f ca="1">VLOOKUP(F134,Table12[[Native]:[Population4]],5,FALSE)</f>
        <v>临汾市</v>
      </c>
    </row>
    <row r="135" spans="1:7" ht="15.75" thickBot="1" x14ac:dyDescent="0.3">
      <c r="A135" t="s">
        <v>1335</v>
      </c>
      <c r="B135" s="1" t="s">
        <v>1336</v>
      </c>
      <c r="C135" s="1" t="s">
        <v>7</v>
      </c>
      <c r="D135" s="1" t="s">
        <v>1087</v>
      </c>
      <c r="E135" s="9">
        <v>33518</v>
      </c>
      <c r="F135" s="1" t="str">
        <f>VLOOKUP(D135,Table12[[Name]:[Native]],3,FALSE)</f>
        <v>尧都区</v>
      </c>
      <c r="G135" s="12" t="str">
        <f ca="1">VLOOKUP(F135,Table12[[Native]:[Population4]],5,FALSE)</f>
        <v>临汾市</v>
      </c>
    </row>
    <row r="136" spans="1:7" ht="15.75" thickBot="1" x14ac:dyDescent="0.3">
      <c r="A136" t="s">
        <v>1337</v>
      </c>
      <c r="B136" s="1" t="s">
        <v>1338</v>
      </c>
      <c r="C136" s="1" t="s">
        <v>7</v>
      </c>
      <c r="D136" s="1" t="s">
        <v>1100</v>
      </c>
      <c r="E136" s="9">
        <v>40711</v>
      </c>
      <c r="F136" s="1" t="str">
        <f>VLOOKUP(D136,Table12[[Name]:[Native]],3,FALSE)</f>
        <v>襄汾县</v>
      </c>
      <c r="G136" s="12" t="str">
        <f ca="1">VLOOKUP(F136,Table12[[Native]:[Population4]],5,FALSE)</f>
        <v>临汾市</v>
      </c>
    </row>
    <row r="137" spans="1:7" ht="15.75" thickBot="1" x14ac:dyDescent="0.3">
      <c r="A137" t="s">
        <v>1339</v>
      </c>
      <c r="B137" s="1" t="s">
        <v>1340</v>
      </c>
      <c r="C137" s="1" t="s">
        <v>7</v>
      </c>
      <c r="D137" s="1" t="s">
        <v>1077</v>
      </c>
      <c r="E137" s="9">
        <v>16498</v>
      </c>
      <c r="F137" s="1" t="str">
        <f>VLOOKUP(D137,Table12[[Name]:[Native]],3,FALSE)</f>
        <v>浮山县</v>
      </c>
      <c r="G137" s="12" t="str">
        <f ca="1">VLOOKUP(F137,Table12[[Native]:[Population4]],5,FALSE)</f>
        <v>临汾市</v>
      </c>
    </row>
    <row r="138" spans="1:7" ht="15.75" thickBot="1" x14ac:dyDescent="0.3">
      <c r="A138" t="s">
        <v>1341</v>
      </c>
      <c r="B138" s="1" t="s">
        <v>1342</v>
      </c>
      <c r="C138" s="1" t="s">
        <v>31</v>
      </c>
      <c r="D138" s="1" t="s">
        <v>1087</v>
      </c>
      <c r="E138" s="9">
        <v>58307</v>
      </c>
      <c r="F138" s="1" t="str">
        <f>VLOOKUP(D138,Table12[[Name]:[Native]],3,FALSE)</f>
        <v>尧都区</v>
      </c>
      <c r="G138" s="12" t="str">
        <f ca="1">VLOOKUP(F138,Table12[[Native]:[Population4]],5,FALSE)</f>
        <v>临汾市</v>
      </c>
    </row>
    <row r="139" spans="1:7" ht="15.75" thickBot="1" x14ac:dyDescent="0.3">
      <c r="A139" t="s">
        <v>1343</v>
      </c>
      <c r="B139" s="1" t="s">
        <v>1344</v>
      </c>
      <c r="C139" s="1" t="s">
        <v>17</v>
      </c>
      <c r="D139" s="1" t="s">
        <v>1090</v>
      </c>
      <c r="E139" s="9">
        <v>10875</v>
      </c>
      <c r="F139" s="1" t="str">
        <f>VLOOKUP(D139,Table12[[Name]:[Native]],3,FALSE)</f>
        <v>乡宁县</v>
      </c>
      <c r="G139" s="12" t="str">
        <f ca="1">VLOOKUP(F139,Table12[[Native]:[Population4]],5,FALSE)</f>
        <v>临汾市</v>
      </c>
    </row>
    <row r="140" spans="1:7" ht="15.75" thickBot="1" x14ac:dyDescent="0.3">
      <c r="A140" t="s">
        <v>273</v>
      </c>
      <c r="B140" s="1" t="s">
        <v>274</v>
      </c>
      <c r="C140" s="1" t="s">
        <v>17</v>
      </c>
      <c r="D140" s="1" t="s">
        <v>1100</v>
      </c>
      <c r="E140" s="9">
        <v>18617</v>
      </c>
      <c r="F140" s="1" t="str">
        <f>VLOOKUP(D140,Table12[[Name]:[Native]],3,FALSE)</f>
        <v>襄汾县</v>
      </c>
      <c r="G140" s="12" t="str">
        <f ca="1">VLOOKUP(F140,Table12[[Native]:[Population4]],5,FALSE)</f>
        <v>临汾市</v>
      </c>
    </row>
    <row r="141" spans="1:7" ht="15.75" thickBot="1" x14ac:dyDescent="0.3">
      <c r="A141" t="s">
        <v>1345</v>
      </c>
      <c r="B141" s="1" t="s">
        <v>1346</v>
      </c>
      <c r="C141" s="1" t="s">
        <v>7</v>
      </c>
      <c r="D141" s="1" t="s">
        <v>1100</v>
      </c>
      <c r="E141" s="9">
        <v>79814</v>
      </c>
      <c r="F141" s="1" t="str">
        <f>VLOOKUP(D141,Table12[[Name]:[Native]],3,FALSE)</f>
        <v>襄汾县</v>
      </c>
      <c r="G141" s="12" t="str">
        <f ca="1">VLOOKUP(F141,Table12[[Native]:[Population4]],5,FALSE)</f>
        <v>临汾市</v>
      </c>
    </row>
    <row r="142" spans="1:7" ht="15.75" thickBot="1" x14ac:dyDescent="0.3">
      <c r="A142" t="s">
        <v>1347</v>
      </c>
      <c r="B142" s="1" t="s">
        <v>1348</v>
      </c>
      <c r="C142" s="1" t="s">
        <v>17</v>
      </c>
      <c r="D142" s="1" t="s">
        <v>1103</v>
      </c>
      <c r="E142" s="9">
        <v>56300</v>
      </c>
      <c r="F142" s="1" t="str">
        <f>VLOOKUP(D142,Table12[[Name]:[Native]],3,FALSE)</f>
        <v>洪洞县</v>
      </c>
      <c r="G142" s="12" t="str">
        <f ca="1">VLOOKUP(F142,Table12[[Native]:[Population4]],5,FALSE)</f>
        <v>临汾市</v>
      </c>
    </row>
    <row r="143" spans="1:7" ht="15.75" thickBot="1" x14ac:dyDescent="0.3">
      <c r="A143" t="s">
        <v>1349</v>
      </c>
      <c r="B143" s="1" t="s">
        <v>1350</v>
      </c>
      <c r="C143" s="1" t="s">
        <v>17</v>
      </c>
      <c r="D143" s="1" t="s">
        <v>1113</v>
      </c>
      <c r="E143" s="9">
        <v>7086</v>
      </c>
      <c r="F143" s="1" t="str">
        <f>VLOOKUP(D143,Table12[[Name]:[Native]],3,FALSE)</f>
        <v>汾西县</v>
      </c>
      <c r="G143" s="12" t="str">
        <f ca="1">VLOOKUP(F143,Table12[[Native]:[Population4]],5,FALSE)</f>
        <v>临汾市</v>
      </c>
    </row>
    <row r="144" spans="1:7" ht="15.75" thickBot="1" x14ac:dyDescent="0.3">
      <c r="A144" t="s">
        <v>1351</v>
      </c>
      <c r="B144" s="1" t="s">
        <v>1352</v>
      </c>
      <c r="C144" s="1" t="s">
        <v>17</v>
      </c>
      <c r="D144" s="1" t="s">
        <v>1103</v>
      </c>
      <c r="E144" s="9">
        <v>15132</v>
      </c>
      <c r="F144" s="1" t="str">
        <f>VLOOKUP(D144,Table12[[Name]:[Native]],3,FALSE)</f>
        <v>洪洞县</v>
      </c>
      <c r="G144" s="12" t="str">
        <f ca="1">VLOOKUP(F144,Table12[[Native]:[Population4]],5,FALSE)</f>
        <v>临汾市</v>
      </c>
    </row>
    <row r="145" spans="1:7" ht="15.75" thickBot="1" x14ac:dyDescent="0.3">
      <c r="A145" t="s">
        <v>1353</v>
      </c>
      <c r="B145" s="1" t="s">
        <v>1354</v>
      </c>
      <c r="C145" s="1" t="s">
        <v>7</v>
      </c>
      <c r="D145" s="1" t="s">
        <v>1260</v>
      </c>
      <c r="E145" s="9">
        <v>34666</v>
      </c>
      <c r="F145" s="1" t="str">
        <f>VLOOKUP(D145,Table12[[Name]:[Native]],3,FALSE)</f>
        <v>大宁县</v>
      </c>
      <c r="G145" s="12" t="str">
        <f ca="1">VLOOKUP(F145,Table12[[Native]:[Population4]],5,FALSE)</f>
        <v>临汾市</v>
      </c>
    </row>
    <row r="146" spans="1:7" ht="15.75" thickBot="1" x14ac:dyDescent="0.3">
      <c r="A146" t="s">
        <v>1355</v>
      </c>
      <c r="B146" s="1" t="s">
        <v>1356</v>
      </c>
      <c r="C146" s="1" t="s">
        <v>31</v>
      </c>
      <c r="D146" s="1" t="s">
        <v>1087</v>
      </c>
      <c r="E146" s="9">
        <v>35856</v>
      </c>
      <c r="F146" s="1" t="str">
        <f>VLOOKUP(D146,Table12[[Name]:[Native]],3,FALSE)</f>
        <v>尧都区</v>
      </c>
      <c r="G146" s="12" t="str">
        <f ca="1">VLOOKUP(F146,Table12[[Native]:[Population4]],5,FALSE)</f>
        <v>临汾市</v>
      </c>
    </row>
    <row r="147" spans="1:7" ht="15.75" thickBot="1" x14ac:dyDescent="0.3">
      <c r="A147" t="s">
        <v>1357</v>
      </c>
      <c r="B147" s="1" t="s">
        <v>1358</v>
      </c>
      <c r="C147" s="1" t="s">
        <v>17</v>
      </c>
      <c r="D147" s="1" t="s">
        <v>1133</v>
      </c>
      <c r="E147" s="9">
        <v>42826</v>
      </c>
      <c r="F147" s="1" t="str">
        <f>VLOOKUP(D147,Table12[[Name]:[Native]],3,FALSE)</f>
        <v>侯马市</v>
      </c>
      <c r="G147" s="12" t="str">
        <f ca="1">VLOOKUP(F147,Table12[[Native]:[Population4]],5,FALSE)</f>
        <v>临汾市</v>
      </c>
    </row>
    <row r="148" spans="1:7" ht="15.75" thickBot="1" x14ac:dyDescent="0.3">
      <c r="A148" t="s">
        <v>1359</v>
      </c>
      <c r="B148" s="1" t="s">
        <v>1360</v>
      </c>
      <c r="C148" s="1" t="s">
        <v>7</v>
      </c>
      <c r="D148" s="1" t="s">
        <v>1068</v>
      </c>
      <c r="E148" s="9">
        <v>48543</v>
      </c>
      <c r="F148" s="1" t="str">
        <f>VLOOKUP(D148,Table12[[Name]:[Native]],3,FALSE)</f>
        <v>霍州市</v>
      </c>
      <c r="G148" s="12" t="str">
        <f ca="1">VLOOKUP(F148,Table12[[Native]:[Population4]],5,FALSE)</f>
        <v>临汾市</v>
      </c>
    </row>
    <row r="149" spans="1:7" ht="15.75" thickBot="1" x14ac:dyDescent="0.3">
      <c r="A149" t="s">
        <v>1361</v>
      </c>
      <c r="B149" s="1" t="s">
        <v>1362</v>
      </c>
      <c r="C149" s="1" t="s">
        <v>7</v>
      </c>
      <c r="D149" s="1" t="s">
        <v>1090</v>
      </c>
      <c r="E149" s="9">
        <v>15755</v>
      </c>
      <c r="F149" s="1" t="str">
        <f>VLOOKUP(D149,Table12[[Name]:[Native]],3,FALSE)</f>
        <v>乡宁县</v>
      </c>
      <c r="G149" s="12" t="str">
        <f ca="1">VLOOKUP(F149,Table12[[Native]:[Population4]],5,FALSE)</f>
        <v>临汾市</v>
      </c>
    </row>
    <row r="150" spans="1:7" ht="15.75" thickBot="1" x14ac:dyDescent="0.3">
      <c r="A150" t="s">
        <v>1363</v>
      </c>
      <c r="B150" s="1" t="s">
        <v>1364</v>
      </c>
      <c r="C150" s="1" t="s">
        <v>7</v>
      </c>
      <c r="D150" s="1" t="s">
        <v>1187</v>
      </c>
      <c r="E150" s="9">
        <v>6054</v>
      </c>
      <c r="F150" s="1" t="str">
        <f>VLOOKUP(D150,Table12[[Name]:[Native]],3,FALSE)</f>
        <v>翼城县</v>
      </c>
      <c r="G150" s="12" t="str">
        <f ca="1">VLOOKUP(F150,Table12[[Native]:[Population4]],5,FALSE)</f>
        <v>临汾市</v>
      </c>
    </row>
    <row r="151" spans="1:7" ht="15.75" thickBot="1" x14ac:dyDescent="0.3">
      <c r="A151" t="s">
        <v>1365</v>
      </c>
      <c r="B151" s="1" t="s">
        <v>1366</v>
      </c>
      <c r="C151" s="1" t="s">
        <v>7</v>
      </c>
      <c r="D151" s="1" t="s">
        <v>1160</v>
      </c>
      <c r="E151" s="9">
        <v>5175</v>
      </c>
      <c r="F151" s="1" t="str">
        <f>VLOOKUP(D151,Table12[[Name]:[Native]],3,FALSE)</f>
        <v>蒲县</v>
      </c>
      <c r="G151" s="12" t="str">
        <f ca="1">VLOOKUP(F151,Table12[[Native]:[Population4]],5,FALSE)</f>
        <v>临汾市</v>
      </c>
    </row>
    <row r="152" spans="1:7" ht="15.75" thickBot="1" x14ac:dyDescent="0.3">
      <c r="A152" t="s">
        <v>1367</v>
      </c>
      <c r="B152" s="1" t="s">
        <v>1368</v>
      </c>
      <c r="C152" s="1" t="s">
        <v>17</v>
      </c>
      <c r="D152" s="1" t="s">
        <v>1260</v>
      </c>
      <c r="E152" s="9">
        <v>6929</v>
      </c>
      <c r="F152" s="1" t="str">
        <f>VLOOKUP(D152,Table12[[Name]:[Native]],3,FALSE)</f>
        <v>大宁县</v>
      </c>
      <c r="G152" s="12" t="str">
        <f ca="1">VLOOKUP(F152,Table12[[Native]:[Population4]],5,FALSE)</f>
        <v>临汾市</v>
      </c>
    </row>
    <row r="153" spans="1:7" ht="15.75" thickBot="1" x14ac:dyDescent="0.3">
      <c r="A153" t="s">
        <v>1369</v>
      </c>
      <c r="B153" s="1" t="s">
        <v>1370</v>
      </c>
      <c r="C153" s="1" t="s">
        <v>17</v>
      </c>
      <c r="D153" s="1" t="s">
        <v>1103</v>
      </c>
      <c r="E153" s="9">
        <v>37482</v>
      </c>
      <c r="F153" s="1" t="str">
        <f>VLOOKUP(D153,Table12[[Name]:[Native]],3,FALSE)</f>
        <v>洪洞县</v>
      </c>
      <c r="G153" s="12" t="str">
        <f ca="1">VLOOKUP(F153,Table12[[Native]:[Population4]],5,FALSE)</f>
        <v>临汾市</v>
      </c>
    </row>
    <row r="154" spans="1:7" ht="15.75" thickBot="1" x14ac:dyDescent="0.3">
      <c r="A154" t="s">
        <v>1371</v>
      </c>
      <c r="B154" s="1" t="s">
        <v>1372</v>
      </c>
      <c r="C154" s="1" t="s">
        <v>17</v>
      </c>
      <c r="D154" s="1" t="s">
        <v>1074</v>
      </c>
      <c r="E154" s="9">
        <v>21069</v>
      </c>
      <c r="F154" s="1" t="str">
        <f>VLOOKUP(D154,Table12[[Name]:[Native]],3,FALSE)</f>
        <v>曲沃县</v>
      </c>
      <c r="G154" s="12" t="str">
        <f ca="1">VLOOKUP(F154,Table12[[Native]:[Population4]],5,FALSE)</f>
        <v>临汾市</v>
      </c>
    </row>
    <row r="155" spans="1:7" ht="15.75" thickBot="1" x14ac:dyDescent="0.3">
      <c r="A155" t="s">
        <v>1373</v>
      </c>
      <c r="B155" s="1" t="s">
        <v>1374</v>
      </c>
      <c r="C155" s="1" t="s">
        <v>17</v>
      </c>
      <c r="D155" s="1" t="s">
        <v>1095</v>
      </c>
      <c r="E155" s="9">
        <v>9463</v>
      </c>
      <c r="F155" s="1" t="str">
        <f>VLOOKUP(D155,Table12[[Name]:[Native]],3,FALSE)</f>
        <v>隰县</v>
      </c>
      <c r="G155" s="12" t="str">
        <f ca="1">VLOOKUP(F155,Table12[[Native]:[Population4]],5,FALSE)</f>
        <v>临汾市</v>
      </c>
    </row>
    <row r="156" spans="1:7" ht="15.75" thickBot="1" x14ac:dyDescent="0.3">
      <c r="A156" t="s">
        <v>1375</v>
      </c>
      <c r="B156" s="1" t="s">
        <v>1376</v>
      </c>
      <c r="C156" s="1" t="s">
        <v>7</v>
      </c>
      <c r="D156" s="1" t="s">
        <v>1087</v>
      </c>
      <c r="E156" s="9">
        <v>37017</v>
      </c>
      <c r="F156" s="1" t="str">
        <f>VLOOKUP(D156,Table12[[Name]:[Native]],3,FALSE)</f>
        <v>尧都区</v>
      </c>
      <c r="G156" s="12" t="str">
        <f ca="1">VLOOKUP(F156,Table12[[Native]:[Population4]],5,FALSE)</f>
        <v>临汾市</v>
      </c>
    </row>
    <row r="157" spans="1:7" ht="15.75" thickBot="1" x14ac:dyDescent="0.3">
      <c r="A157" t="s">
        <v>1377</v>
      </c>
      <c r="B157" s="1" t="s">
        <v>1378</v>
      </c>
      <c r="C157" s="1" t="s">
        <v>17</v>
      </c>
      <c r="D157" s="1" t="s">
        <v>1087</v>
      </c>
      <c r="E157" s="9">
        <v>15981</v>
      </c>
      <c r="F157" s="1" t="str">
        <f>VLOOKUP(D157,Table12[[Name]:[Native]],3,FALSE)</f>
        <v>尧都区</v>
      </c>
      <c r="G157" s="12" t="str">
        <f ca="1">VLOOKUP(F157,Table12[[Native]:[Population4]],5,FALSE)</f>
        <v>临汾市</v>
      </c>
    </row>
    <row r="158" spans="1:7" ht="15.75" thickBot="1" x14ac:dyDescent="0.3">
      <c r="A158" t="s">
        <v>589</v>
      </c>
      <c r="B158" s="1" t="s">
        <v>590</v>
      </c>
      <c r="C158" s="1" t="s">
        <v>7</v>
      </c>
      <c r="D158" s="1" t="s">
        <v>1113</v>
      </c>
      <c r="E158" s="9">
        <v>21125</v>
      </c>
      <c r="F158" s="1" t="str">
        <f>VLOOKUP(D158,Table12[[Name]:[Native]],3,FALSE)</f>
        <v>汾西县</v>
      </c>
      <c r="G158" s="12" t="str">
        <f ca="1">VLOOKUP(F158,Table12[[Native]:[Population4]],5,FALSE)</f>
        <v>临汾市</v>
      </c>
    </row>
    <row r="159" spans="1:7" ht="15.75" thickBot="1" x14ac:dyDescent="0.3">
      <c r="A159" t="s">
        <v>1379</v>
      </c>
      <c r="B159" s="1" t="s">
        <v>1380</v>
      </c>
      <c r="C159" s="1" t="s">
        <v>17</v>
      </c>
      <c r="D159" s="1" t="s">
        <v>1100</v>
      </c>
      <c r="E159" s="9">
        <v>15015</v>
      </c>
      <c r="F159" s="1" t="str">
        <f>VLOOKUP(D159,Table12[[Name]:[Native]],3,FALSE)</f>
        <v>襄汾县</v>
      </c>
      <c r="G159" s="12" t="str">
        <f ca="1">VLOOKUP(F159,Table12[[Native]:[Population4]],5,FALSE)</f>
        <v>临汾市</v>
      </c>
    </row>
    <row r="160" spans="1:7" ht="15.75" thickBot="1" x14ac:dyDescent="0.3">
      <c r="A160" t="s">
        <v>1381</v>
      </c>
      <c r="B160" s="1" t="s">
        <v>1382</v>
      </c>
      <c r="C160" s="1" t="s">
        <v>17</v>
      </c>
      <c r="D160" s="1" t="s">
        <v>1082</v>
      </c>
      <c r="E160" s="9">
        <v>5487</v>
      </c>
      <c r="F160" s="1" t="str">
        <f>VLOOKUP(D160,Table12[[Name]:[Native]],3,FALSE)</f>
        <v>古县</v>
      </c>
      <c r="G160" s="12" t="str">
        <f ca="1">VLOOKUP(F160,Table12[[Native]:[Population4]],5,FALSE)</f>
        <v>临汾市</v>
      </c>
    </row>
    <row r="161" spans="1:7" ht="15.75" thickBot="1" x14ac:dyDescent="0.3">
      <c r="A161" t="s">
        <v>1383</v>
      </c>
      <c r="B161" s="1" t="s">
        <v>1384</v>
      </c>
      <c r="C161" s="1" t="s">
        <v>7</v>
      </c>
      <c r="D161" s="1" t="s">
        <v>1082</v>
      </c>
      <c r="E161" s="9">
        <v>35259</v>
      </c>
      <c r="F161" s="1" t="str">
        <f>VLOOKUP(D161,Table12[[Name]:[Native]],3,FALSE)</f>
        <v>古县</v>
      </c>
      <c r="G161" s="12" t="str">
        <f ca="1">VLOOKUP(F161,Table12[[Native]:[Population4]],5,FALSE)</f>
        <v>临汾市</v>
      </c>
    </row>
    <row r="162" spans="1:7" ht="15.75" thickBot="1" x14ac:dyDescent="0.3">
      <c r="A162" t="s">
        <v>1385</v>
      </c>
      <c r="B162" s="1" t="s">
        <v>1386</v>
      </c>
      <c r="C162" s="1" t="s">
        <v>17</v>
      </c>
      <c r="D162" s="1" t="s">
        <v>1090</v>
      </c>
      <c r="E162" s="9">
        <v>25304</v>
      </c>
      <c r="F162" s="1" t="str">
        <f>VLOOKUP(D162,Table12[[Name]:[Native]],3,FALSE)</f>
        <v>乡宁县</v>
      </c>
      <c r="G162" s="12" t="str">
        <f ca="1">VLOOKUP(F162,Table12[[Native]:[Population4]],5,FALSE)</f>
        <v>临汾市</v>
      </c>
    </row>
    <row r="163" spans="1:7" ht="15.75" thickBot="1" x14ac:dyDescent="0.3">
      <c r="A163" t="s">
        <v>1387</v>
      </c>
      <c r="B163" s="1" t="s">
        <v>1388</v>
      </c>
      <c r="C163" s="1" t="s">
        <v>17</v>
      </c>
      <c r="D163" s="1" t="s">
        <v>1077</v>
      </c>
      <c r="E163" s="9">
        <v>4732</v>
      </c>
      <c r="F163" s="1" t="str">
        <f>VLOOKUP(D163,Table12[[Name]:[Native]],3,FALSE)</f>
        <v>浮山县</v>
      </c>
      <c r="G163" s="12" t="str">
        <f ca="1">VLOOKUP(F163,Table12[[Native]:[Population4]],5,FALSE)</f>
        <v>临汾市</v>
      </c>
    </row>
    <row r="164" spans="1:7" ht="15.75" thickBot="1" x14ac:dyDescent="0.3">
      <c r="A164" t="s">
        <v>1389</v>
      </c>
      <c r="B164" s="1" t="s">
        <v>1390</v>
      </c>
      <c r="C164" s="1" t="s">
        <v>17</v>
      </c>
      <c r="D164" s="1" t="s">
        <v>1095</v>
      </c>
      <c r="E164" s="9">
        <v>6396</v>
      </c>
      <c r="F164" s="1" t="str">
        <f>VLOOKUP(D164,Table12[[Name]:[Native]],3,FALSE)</f>
        <v>隰县</v>
      </c>
      <c r="G164" s="12" t="str">
        <f ca="1">VLOOKUP(F164,Table12[[Native]:[Population4]],5,FALSE)</f>
        <v>临汾市</v>
      </c>
    </row>
    <row r="165" spans="1:7" ht="15.75" thickBot="1" x14ac:dyDescent="0.3">
      <c r="A165" t="s">
        <v>1391</v>
      </c>
      <c r="B165" s="1" t="s">
        <v>1392</v>
      </c>
      <c r="C165" s="1" t="s">
        <v>31</v>
      </c>
      <c r="D165" s="1" t="s">
        <v>1133</v>
      </c>
      <c r="E165" s="9">
        <v>25122</v>
      </c>
      <c r="F165" s="1" t="str">
        <f>VLOOKUP(D165,Table12[[Name]:[Native]],3,FALSE)</f>
        <v>侯马市</v>
      </c>
      <c r="G165" s="12" t="str">
        <f ca="1">VLOOKUP(F165,Table12[[Native]:[Population4]],5,FALSE)</f>
        <v>临汾市</v>
      </c>
    </row>
    <row r="166" spans="1:7" ht="15.75" thickBot="1" x14ac:dyDescent="0.3">
      <c r="A166" t="s">
        <v>1393</v>
      </c>
      <c r="B166" s="1" t="s">
        <v>1394</v>
      </c>
      <c r="C166" s="1" t="s">
        <v>17</v>
      </c>
      <c r="D166" s="1" t="s">
        <v>1077</v>
      </c>
      <c r="E166" s="9">
        <v>17436</v>
      </c>
      <c r="F166" s="1" t="str">
        <f>VLOOKUP(D166,Table12[[Name]:[Native]],3,FALSE)</f>
        <v>浮山县</v>
      </c>
      <c r="G166" s="12" t="str">
        <f ca="1">VLOOKUP(F166,Table12[[Native]:[Population4]],5,FALSE)</f>
        <v>临汾市</v>
      </c>
    </row>
    <row r="167" spans="1:7" ht="15.75" thickBot="1" x14ac:dyDescent="0.3">
      <c r="A167" t="s">
        <v>1395</v>
      </c>
      <c r="B167" s="1" t="s">
        <v>1396</v>
      </c>
      <c r="C167" s="1" t="s">
        <v>7</v>
      </c>
      <c r="D167" s="1" t="s">
        <v>1103</v>
      </c>
      <c r="E167" s="9">
        <v>78065</v>
      </c>
      <c r="F167" s="1" t="str">
        <f>VLOOKUP(D167,Table12[[Name]:[Native]],3,FALSE)</f>
        <v>洪洞县</v>
      </c>
      <c r="G167" s="12" t="str">
        <f ca="1">VLOOKUP(F167,Table12[[Native]:[Population4]],5,FALSE)</f>
        <v>临汾市</v>
      </c>
    </row>
    <row r="168" spans="1:7" ht="15.75" thickBot="1" x14ac:dyDescent="0.3">
      <c r="A168" t="s">
        <v>1397</v>
      </c>
      <c r="B168" s="1" t="s">
        <v>1398</v>
      </c>
      <c r="C168" s="1" t="s">
        <v>7</v>
      </c>
      <c r="D168" s="1" t="s">
        <v>1100</v>
      </c>
      <c r="E168" s="9">
        <v>27716</v>
      </c>
      <c r="F168" s="1" t="str">
        <f>VLOOKUP(D168,Table12[[Name]:[Native]],3,FALSE)</f>
        <v>襄汾县</v>
      </c>
      <c r="G168" s="12" t="str">
        <f ca="1">VLOOKUP(F168,Table12[[Native]:[Population4]],5,FALSE)</f>
        <v>临汾市</v>
      </c>
    </row>
    <row r="169" spans="1:7" ht="15.75" thickBot="1" x14ac:dyDescent="0.3">
      <c r="A169" t="s">
        <v>1399</v>
      </c>
      <c r="B169" s="1" t="s">
        <v>1400</v>
      </c>
      <c r="C169" s="1" t="s">
        <v>17</v>
      </c>
      <c r="D169" s="1" t="s">
        <v>1087</v>
      </c>
      <c r="E169" s="9">
        <v>19114</v>
      </c>
      <c r="F169" s="1" t="str">
        <f>VLOOKUP(D169,Table12[[Name]:[Native]],3,FALSE)</f>
        <v>尧都区</v>
      </c>
      <c r="G169" s="12" t="str">
        <f ca="1">VLOOKUP(F169,Table12[[Native]:[Population4]],5,FALSE)</f>
        <v>临汾市</v>
      </c>
    </row>
    <row r="170" spans="1:7" ht="15.75" thickBot="1" x14ac:dyDescent="0.3">
      <c r="A170" t="s">
        <v>1401</v>
      </c>
      <c r="B170" s="1" t="s">
        <v>1402</v>
      </c>
      <c r="C170" s="1" t="s">
        <v>7</v>
      </c>
      <c r="D170" s="1" t="s">
        <v>1106</v>
      </c>
      <c r="E170" s="9">
        <v>26218</v>
      </c>
      <c r="F170" s="1" t="str">
        <f>VLOOKUP(D170,Table12[[Name]:[Native]],3,FALSE)</f>
        <v>永和县</v>
      </c>
      <c r="G170" s="12" t="str">
        <f ca="1">VLOOKUP(F170,Table12[[Native]:[Population4]],5,FALSE)</f>
        <v>临汾市</v>
      </c>
    </row>
    <row r="171" spans="1:7" ht="15.75" thickBot="1" x14ac:dyDescent="0.3">
      <c r="A171" t="s">
        <v>1403</v>
      </c>
      <c r="B171" s="1" t="s">
        <v>1404</v>
      </c>
      <c r="C171" s="1" t="s">
        <v>17</v>
      </c>
      <c r="D171" s="1" t="s">
        <v>1071</v>
      </c>
      <c r="E171" s="9">
        <v>12223</v>
      </c>
      <c r="F171" s="1" t="str">
        <f>VLOOKUP(D171,Table12[[Name]:[Native]],3,FALSE)</f>
        <v>吉县</v>
      </c>
      <c r="G171" s="12" t="str">
        <f ca="1">VLOOKUP(F171,Table12[[Native]:[Population4]],5,FALSE)</f>
        <v>临汾市</v>
      </c>
    </row>
    <row r="172" spans="1:7" ht="15.75" thickBot="1" x14ac:dyDescent="0.3">
      <c r="A172" t="s">
        <v>1405</v>
      </c>
      <c r="B172" s="1" t="s">
        <v>1406</v>
      </c>
      <c r="C172" s="1" t="s">
        <v>17</v>
      </c>
      <c r="D172" s="1" t="s">
        <v>1187</v>
      </c>
      <c r="E172" s="9">
        <v>33455</v>
      </c>
      <c r="F172" s="1" t="str">
        <f>VLOOKUP(D172,Table12[[Name]:[Native]],3,FALSE)</f>
        <v>翼城县</v>
      </c>
      <c r="G172" s="12" t="str">
        <f ca="1">VLOOKUP(F172,Table12[[Native]:[Population4]],5,FALSE)</f>
        <v>临汾市</v>
      </c>
    </row>
    <row r="173" spans="1:7" ht="15.75" thickBot="1" x14ac:dyDescent="0.3">
      <c r="A173" t="s">
        <v>1407</v>
      </c>
      <c r="B173" s="1" t="s">
        <v>1408</v>
      </c>
      <c r="C173" s="1" t="s">
        <v>17</v>
      </c>
      <c r="D173" s="1" t="s">
        <v>1103</v>
      </c>
      <c r="E173" s="9">
        <v>7287</v>
      </c>
      <c r="F173" s="8" t="str">
        <f>VLOOKUP(D173,Table12[[Name]:[Native]],3,FALSE)</f>
        <v>洪洞县</v>
      </c>
      <c r="G173" s="12" t="str">
        <f ca="1">VLOOKUP(F173,Table12[[Native]:[Population4]],5,FALSE)</f>
        <v>临汾市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7458C-5329-46C8-9401-1331B8B0B606}">
  <dimension ref="A1:G163"/>
  <sheetViews>
    <sheetView topLeftCell="A138" workbookViewId="0">
      <selection activeCell="G2" sqref="A2:G16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1409</v>
      </c>
      <c r="B2" s="1" t="s">
        <v>1410</v>
      </c>
      <c r="C2" s="1" t="s">
        <v>17</v>
      </c>
      <c r="D2" s="1" t="s">
        <v>1411</v>
      </c>
      <c r="E2" s="9">
        <v>18067</v>
      </c>
      <c r="F2" s="7" t="str">
        <f>VLOOKUP(D2,Table12[[Name]:[Native]],3,FALSE)</f>
        <v>临县</v>
      </c>
      <c r="G2" s="12" t="str">
        <f ca="1">VLOOKUP(F2,Table12[[Native]:[Population4]],5,FALSE)</f>
        <v>吕梁市</v>
      </c>
    </row>
    <row r="3" spans="1:7" ht="15.75" thickBot="1" x14ac:dyDescent="0.3">
      <c r="A3" t="s">
        <v>1412</v>
      </c>
      <c r="B3" s="1" t="s">
        <v>1413</v>
      </c>
      <c r="C3" s="1" t="s">
        <v>17</v>
      </c>
      <c r="D3" s="1" t="s">
        <v>1411</v>
      </c>
      <c r="E3" s="9">
        <v>21476</v>
      </c>
      <c r="F3" s="1" t="str">
        <f>VLOOKUP(D3,Table12[[Name]:[Native]],3,FALSE)</f>
        <v>临县</v>
      </c>
      <c r="G3" s="12" t="str">
        <f ca="1">VLOOKUP(F3,Table12[[Native]:[Population4]],5,FALSE)</f>
        <v>吕梁市</v>
      </c>
    </row>
    <row r="4" spans="1:7" ht="15.75" thickBot="1" x14ac:dyDescent="0.3">
      <c r="A4" t="s">
        <v>1414</v>
      </c>
      <c r="B4" s="1" t="s">
        <v>1415</v>
      </c>
      <c r="C4" s="1" t="s">
        <v>17</v>
      </c>
      <c r="D4" s="1" t="s">
        <v>1416</v>
      </c>
      <c r="E4" s="9">
        <v>15617</v>
      </c>
      <c r="F4" s="1" t="str">
        <f>VLOOKUP(D4,Table12[[Name]:[Native]],3,FALSE)</f>
        <v>兴县</v>
      </c>
      <c r="G4" s="12" t="str">
        <f ca="1">VLOOKUP(F4,Table12[[Native]:[Population4]],5,FALSE)</f>
        <v>吕梁市</v>
      </c>
    </row>
    <row r="5" spans="1:7" ht="15.75" thickBot="1" x14ac:dyDescent="0.3">
      <c r="A5" t="s">
        <v>1417</v>
      </c>
      <c r="B5" s="1" t="s">
        <v>1418</v>
      </c>
      <c r="C5" s="1" t="s">
        <v>17</v>
      </c>
      <c r="D5" s="1" t="s">
        <v>1411</v>
      </c>
      <c r="E5" s="9">
        <v>12161</v>
      </c>
      <c r="F5" s="1" t="str">
        <f>VLOOKUP(D5,Table12[[Name]:[Native]],3,FALSE)</f>
        <v>临县</v>
      </c>
      <c r="G5" s="12" t="str">
        <f ca="1">VLOOKUP(F5,Table12[[Native]:[Population4]],5,FALSE)</f>
        <v>吕梁市</v>
      </c>
    </row>
    <row r="6" spans="1:7" ht="15.75" thickBot="1" x14ac:dyDescent="0.3">
      <c r="A6" t="s">
        <v>1419</v>
      </c>
      <c r="B6" s="1" t="s">
        <v>1420</v>
      </c>
      <c r="C6" s="1" t="s">
        <v>7</v>
      </c>
      <c r="D6" s="1" t="s">
        <v>1411</v>
      </c>
      <c r="E6" s="9">
        <v>32251</v>
      </c>
      <c r="F6" s="1" t="str">
        <f>VLOOKUP(D6,Table12[[Name]:[Native]],3,FALSE)</f>
        <v>临县</v>
      </c>
      <c r="G6" s="12" t="str">
        <f ca="1">VLOOKUP(F6,Table12[[Native]:[Population4]],5,FALSE)</f>
        <v>吕梁市</v>
      </c>
    </row>
    <row r="7" spans="1:7" ht="15.75" thickBot="1" x14ac:dyDescent="0.3">
      <c r="A7" t="s">
        <v>1421</v>
      </c>
      <c r="B7" s="1" t="s">
        <v>1422</v>
      </c>
      <c r="C7" s="1" t="s">
        <v>7</v>
      </c>
      <c r="D7" s="1" t="s">
        <v>1423</v>
      </c>
      <c r="E7" s="9">
        <v>5846</v>
      </c>
      <c r="F7" s="1" t="str">
        <f>VLOOKUP(D7,Table12[[Name]:[Native]],3,FALSE)</f>
        <v>方山县</v>
      </c>
      <c r="G7" s="12" t="str">
        <f ca="1">VLOOKUP(F7,Table12[[Native]:[Population4]],5,FALSE)</f>
        <v>吕梁市</v>
      </c>
    </row>
    <row r="8" spans="1:7" ht="15.75" thickBot="1" x14ac:dyDescent="0.3">
      <c r="A8" t="s">
        <v>1424</v>
      </c>
      <c r="B8" s="1" t="s">
        <v>1425</v>
      </c>
      <c r="C8" s="1" t="s">
        <v>17</v>
      </c>
      <c r="D8" s="1" t="s">
        <v>1426</v>
      </c>
      <c r="E8" s="9">
        <v>25105</v>
      </c>
      <c r="F8" s="1" t="str">
        <f>VLOOKUP(D8,Table12[[Name]:[Native]],3,FALSE)</f>
        <v>文水县</v>
      </c>
      <c r="G8" s="12" t="str">
        <f ca="1">VLOOKUP(F8,Table12[[Native]:[Population4]],5,FALSE)</f>
        <v>吕梁市</v>
      </c>
    </row>
    <row r="9" spans="1:7" ht="15.75" thickBot="1" x14ac:dyDescent="0.3">
      <c r="A9" t="s">
        <v>1085</v>
      </c>
      <c r="B9" s="1" t="s">
        <v>1086</v>
      </c>
      <c r="C9" s="1" t="s">
        <v>31</v>
      </c>
      <c r="D9" s="1" t="s">
        <v>1427</v>
      </c>
      <c r="E9" s="9">
        <v>82434</v>
      </c>
      <c r="F9" s="1" t="str">
        <f>VLOOKUP(D9,Table12[[Name]:[Native]],3,FALSE)</f>
        <v>离石区</v>
      </c>
      <c r="G9" s="12" t="str">
        <f ca="1">VLOOKUP(F9,Table12[[Native]:[Population4]],5,FALSE)</f>
        <v>吕梁市</v>
      </c>
    </row>
    <row r="10" spans="1:7" ht="15.75" thickBot="1" x14ac:dyDescent="0.3">
      <c r="A10" t="s">
        <v>1428</v>
      </c>
      <c r="B10" s="1" t="s">
        <v>1429</v>
      </c>
      <c r="C10" s="1" t="s">
        <v>7</v>
      </c>
      <c r="D10" s="1" t="s">
        <v>1416</v>
      </c>
      <c r="E10" s="9">
        <v>9814</v>
      </c>
      <c r="F10" s="1" t="str">
        <f>VLOOKUP(D10,Table12[[Name]:[Native]],3,FALSE)</f>
        <v>兴县</v>
      </c>
      <c r="G10" s="12" t="str">
        <f ca="1">VLOOKUP(F10,Table12[[Native]:[Population4]],5,FALSE)</f>
        <v>吕梁市</v>
      </c>
    </row>
    <row r="11" spans="1:7" ht="15.75" thickBot="1" x14ac:dyDescent="0.3">
      <c r="A11" t="s">
        <v>1430</v>
      </c>
      <c r="B11" s="1" t="s">
        <v>1431</v>
      </c>
      <c r="C11" s="1" t="s">
        <v>17</v>
      </c>
      <c r="D11" s="1" t="s">
        <v>1416</v>
      </c>
      <c r="E11" s="9">
        <v>16036</v>
      </c>
      <c r="F11" s="1" t="str">
        <f>VLOOKUP(D11,Table12[[Name]:[Native]],3,FALSE)</f>
        <v>兴县</v>
      </c>
      <c r="G11" s="12" t="str">
        <f ca="1">VLOOKUP(F11,Table12[[Native]:[Population4]],5,FALSE)</f>
        <v>吕梁市</v>
      </c>
    </row>
    <row r="12" spans="1:7" ht="15.75" thickBot="1" x14ac:dyDescent="0.3">
      <c r="A12" t="s">
        <v>1432</v>
      </c>
      <c r="B12" s="1" t="s">
        <v>1433</v>
      </c>
      <c r="C12" s="1" t="s">
        <v>17</v>
      </c>
      <c r="D12" s="1" t="s">
        <v>1434</v>
      </c>
      <c r="E12" s="9">
        <v>6742</v>
      </c>
      <c r="F12" s="1" t="str">
        <f>VLOOKUP(D12,Table12[[Name]:[Native]],3,FALSE)</f>
        <v>石楼县</v>
      </c>
      <c r="G12" s="12" t="str">
        <f ca="1">VLOOKUP(F12,Table12[[Native]:[Population4]],5,FALSE)</f>
        <v>吕梁市</v>
      </c>
    </row>
    <row r="13" spans="1:7" ht="15.75" thickBot="1" x14ac:dyDescent="0.3">
      <c r="A13" t="s">
        <v>1435</v>
      </c>
      <c r="B13" s="1" t="s">
        <v>1436</v>
      </c>
      <c r="C13" s="1" t="s">
        <v>17</v>
      </c>
      <c r="D13" s="1" t="s">
        <v>1411</v>
      </c>
      <c r="E13" s="9">
        <v>14214</v>
      </c>
      <c r="F13" s="1" t="str">
        <f>VLOOKUP(D13,Table12[[Name]:[Native]],3,FALSE)</f>
        <v>临县</v>
      </c>
      <c r="G13" s="12" t="str">
        <f ca="1">VLOOKUP(F13,Table12[[Native]:[Population4]],5,FALSE)</f>
        <v>吕梁市</v>
      </c>
    </row>
    <row r="14" spans="1:7" ht="15.75" thickBot="1" x14ac:dyDescent="0.3">
      <c r="A14" t="s">
        <v>1437</v>
      </c>
      <c r="B14" s="1" t="s">
        <v>1438</v>
      </c>
      <c r="C14" s="1" t="s">
        <v>17</v>
      </c>
      <c r="D14" s="1" t="s">
        <v>1439</v>
      </c>
      <c r="E14" s="9">
        <v>9829</v>
      </c>
      <c r="F14" s="1" t="str">
        <f>VLOOKUP(D14,Table12[[Name]:[Native]],3,FALSE)</f>
        <v>中阳县</v>
      </c>
      <c r="G14" s="12" t="str">
        <f ca="1">VLOOKUP(F14,Table12[[Native]:[Population4]],5,FALSE)</f>
        <v>吕梁市</v>
      </c>
    </row>
    <row r="15" spans="1:7" ht="15.75" thickBot="1" x14ac:dyDescent="0.3">
      <c r="A15" t="s">
        <v>1440</v>
      </c>
      <c r="B15" s="1" t="s">
        <v>1441</v>
      </c>
      <c r="C15" s="1" t="s">
        <v>31</v>
      </c>
      <c r="D15" s="1" t="s">
        <v>1427</v>
      </c>
      <c r="E15" s="9">
        <v>9733</v>
      </c>
      <c r="F15" s="1" t="str">
        <f>VLOOKUP(D15,Table12[[Name]:[Native]],3,FALSE)</f>
        <v>离石区</v>
      </c>
      <c r="G15" s="12" t="str">
        <f ca="1">VLOOKUP(F15,Table12[[Native]:[Population4]],5,FALSE)</f>
        <v>吕梁市</v>
      </c>
    </row>
    <row r="16" spans="1:7" ht="15.75" thickBot="1" x14ac:dyDescent="0.3">
      <c r="A16" t="s">
        <v>1442</v>
      </c>
      <c r="B16" s="1" t="s">
        <v>1443</v>
      </c>
      <c r="C16" s="1" t="s">
        <v>7</v>
      </c>
      <c r="D16" s="1" t="s">
        <v>1444</v>
      </c>
      <c r="E16" s="9">
        <v>12847</v>
      </c>
      <c r="F16" s="1" t="str">
        <f>VLOOKUP(D16,Table12[[Name]:[Native]],3,FALSE)</f>
        <v>柳林县</v>
      </c>
      <c r="G16" s="12" t="str">
        <f ca="1">VLOOKUP(F16,Table12[[Native]:[Population4]],5,FALSE)</f>
        <v>吕梁市</v>
      </c>
    </row>
    <row r="17" spans="1:7" ht="15.75" thickBot="1" x14ac:dyDescent="0.3">
      <c r="A17" t="s">
        <v>1445</v>
      </c>
      <c r="B17" s="1" t="s">
        <v>1446</v>
      </c>
      <c r="C17" s="1" t="s">
        <v>7</v>
      </c>
      <c r="D17" s="1" t="s">
        <v>1411</v>
      </c>
      <c r="E17" s="9">
        <v>24131</v>
      </c>
      <c r="F17" s="1" t="str">
        <f>VLOOKUP(D17,Table12[[Name]:[Native]],3,FALSE)</f>
        <v>临县</v>
      </c>
      <c r="G17" s="12" t="str">
        <f ca="1">VLOOKUP(F17,Table12[[Native]:[Population4]],5,FALSE)</f>
        <v>吕梁市</v>
      </c>
    </row>
    <row r="18" spans="1:7" ht="15.75" thickBot="1" x14ac:dyDescent="0.3">
      <c r="A18" t="s">
        <v>1447</v>
      </c>
      <c r="B18" s="1" t="s">
        <v>1448</v>
      </c>
      <c r="C18" s="1" t="s">
        <v>17</v>
      </c>
      <c r="D18" s="1" t="s">
        <v>1444</v>
      </c>
      <c r="E18" s="9">
        <v>22885</v>
      </c>
      <c r="F18" s="1" t="str">
        <f>VLOOKUP(D18,Table12[[Name]:[Native]],3,FALSE)</f>
        <v>柳林县</v>
      </c>
      <c r="G18" s="12" t="str">
        <f ca="1">VLOOKUP(F18,Table12[[Native]:[Population4]],5,FALSE)</f>
        <v>吕梁市</v>
      </c>
    </row>
    <row r="19" spans="1:7" ht="15.75" thickBot="1" x14ac:dyDescent="0.3">
      <c r="A19" t="s">
        <v>1449</v>
      </c>
      <c r="B19" s="1" t="s">
        <v>1450</v>
      </c>
      <c r="C19" s="1" t="s">
        <v>31</v>
      </c>
      <c r="D19" s="1" t="s">
        <v>1451</v>
      </c>
      <c r="E19" s="9">
        <v>36284</v>
      </c>
      <c r="F19" s="1" t="str">
        <f>VLOOKUP(D19,Table12[[Name]:[Native]],3,FALSE)</f>
        <v>孝义市</v>
      </c>
      <c r="G19" s="12" t="str">
        <f ca="1">VLOOKUP(F19,Table12[[Native]:[Population4]],5,FALSE)</f>
        <v>吕梁市</v>
      </c>
    </row>
    <row r="20" spans="1:7" ht="15.75" thickBot="1" x14ac:dyDescent="0.3">
      <c r="A20" t="s">
        <v>1452</v>
      </c>
      <c r="B20" s="1" t="s">
        <v>1453</v>
      </c>
      <c r="C20" s="1" t="s">
        <v>7</v>
      </c>
      <c r="D20" s="1" t="s">
        <v>1411</v>
      </c>
      <c r="E20" s="9">
        <v>16790</v>
      </c>
      <c r="F20" s="1" t="str">
        <f>VLOOKUP(D20,Table12[[Name]:[Native]],3,FALSE)</f>
        <v>临县</v>
      </c>
      <c r="G20" s="12" t="str">
        <f ca="1">VLOOKUP(F20,Table12[[Native]:[Population4]],5,FALSE)</f>
        <v>吕梁市</v>
      </c>
    </row>
    <row r="21" spans="1:7" ht="15.75" thickBot="1" x14ac:dyDescent="0.3">
      <c r="A21" t="s">
        <v>1454</v>
      </c>
      <c r="B21" s="1" t="s">
        <v>1455</v>
      </c>
      <c r="C21" s="1" t="s">
        <v>17</v>
      </c>
      <c r="D21" s="1" t="s">
        <v>1456</v>
      </c>
      <c r="E21" s="9">
        <v>6383</v>
      </c>
      <c r="F21" s="1" t="str">
        <f>VLOOKUP(D21,Table12[[Name]:[Native]],3,FALSE)</f>
        <v>岚县</v>
      </c>
      <c r="G21" s="12" t="str">
        <f ca="1">VLOOKUP(F21,Table12[[Native]:[Population4]],5,FALSE)</f>
        <v>吕梁市</v>
      </c>
    </row>
    <row r="22" spans="1:7" ht="15.75" thickBot="1" x14ac:dyDescent="0.3">
      <c r="A22" t="s">
        <v>1457</v>
      </c>
      <c r="B22" s="1" t="s">
        <v>1458</v>
      </c>
      <c r="C22" s="1" t="s">
        <v>7</v>
      </c>
      <c r="D22" s="1" t="s">
        <v>1423</v>
      </c>
      <c r="E22" s="9">
        <v>34315</v>
      </c>
      <c r="F22" s="1" t="str">
        <f>VLOOKUP(D22,Table12[[Name]:[Native]],3,FALSE)</f>
        <v>方山县</v>
      </c>
      <c r="G22" s="12" t="str">
        <f ca="1">VLOOKUP(F22,Table12[[Native]:[Population4]],5,FALSE)</f>
        <v>吕梁市</v>
      </c>
    </row>
    <row r="23" spans="1:7" ht="15.75" thickBot="1" x14ac:dyDescent="0.3">
      <c r="A23" t="s">
        <v>1459</v>
      </c>
      <c r="B23" s="1" t="s">
        <v>1460</v>
      </c>
      <c r="C23" s="1" t="s">
        <v>17</v>
      </c>
      <c r="D23" s="1" t="s">
        <v>1451</v>
      </c>
      <c r="E23" s="9">
        <v>32374</v>
      </c>
      <c r="F23" s="1" t="str">
        <f>VLOOKUP(D23,Table12[[Name]:[Native]],3,FALSE)</f>
        <v>孝义市</v>
      </c>
      <c r="G23" s="12" t="str">
        <f ca="1">VLOOKUP(F23,Table12[[Native]:[Population4]],5,FALSE)</f>
        <v>吕梁市</v>
      </c>
    </row>
    <row r="24" spans="1:7" ht="15.75" thickBot="1" x14ac:dyDescent="0.3">
      <c r="A24" t="s">
        <v>1461</v>
      </c>
      <c r="B24" s="1" t="s">
        <v>1462</v>
      </c>
      <c r="C24" s="1" t="s">
        <v>17</v>
      </c>
      <c r="D24" s="1" t="s">
        <v>1411</v>
      </c>
      <c r="E24" s="9">
        <v>36409</v>
      </c>
      <c r="F24" s="1" t="str">
        <f>VLOOKUP(D24,Table12[[Name]:[Native]],3,FALSE)</f>
        <v>临县</v>
      </c>
      <c r="G24" s="12" t="str">
        <f ca="1">VLOOKUP(F24,Table12[[Native]:[Population4]],5,FALSE)</f>
        <v>吕梁市</v>
      </c>
    </row>
    <row r="25" spans="1:7" ht="15.75" thickBot="1" x14ac:dyDescent="0.3">
      <c r="A25" t="s">
        <v>1463</v>
      </c>
      <c r="B25" s="1" t="s">
        <v>1464</v>
      </c>
      <c r="C25" s="1" t="s">
        <v>7</v>
      </c>
      <c r="D25" s="1" t="s">
        <v>1456</v>
      </c>
      <c r="E25" s="9">
        <v>59772</v>
      </c>
      <c r="F25" s="1" t="str">
        <f>VLOOKUP(D25,Table12[[Name]:[Native]],3,FALSE)</f>
        <v>岚县</v>
      </c>
      <c r="G25" s="12" t="str">
        <f ca="1">VLOOKUP(F25,Table12[[Native]:[Population4]],5,FALSE)</f>
        <v>吕梁市</v>
      </c>
    </row>
    <row r="26" spans="1:7" ht="15.75" thickBot="1" x14ac:dyDescent="0.3">
      <c r="A26" t="s">
        <v>1465</v>
      </c>
      <c r="B26" s="1" t="s">
        <v>1466</v>
      </c>
      <c r="C26" s="1" t="s">
        <v>17</v>
      </c>
      <c r="D26" s="1" t="s">
        <v>1416</v>
      </c>
      <c r="E26" s="9">
        <v>6704</v>
      </c>
      <c r="F26" s="1" t="str">
        <f>VLOOKUP(D26,Table12[[Name]:[Native]],3,FALSE)</f>
        <v>兴县</v>
      </c>
      <c r="G26" s="12" t="str">
        <f ca="1">VLOOKUP(F26,Table12[[Native]:[Population4]],5,FALSE)</f>
        <v>吕梁市</v>
      </c>
    </row>
    <row r="27" spans="1:7" ht="15.75" thickBot="1" x14ac:dyDescent="0.3">
      <c r="A27" t="s">
        <v>1467</v>
      </c>
      <c r="B27" s="1" t="s">
        <v>1468</v>
      </c>
      <c r="C27" s="1" t="s">
        <v>17</v>
      </c>
      <c r="D27" s="1" t="s">
        <v>1469</v>
      </c>
      <c r="E27" s="9">
        <v>5155</v>
      </c>
      <c r="F27" s="1" t="str">
        <f>VLOOKUP(D27,Table12[[Name]:[Native]],3,FALSE)</f>
        <v>交城县</v>
      </c>
      <c r="G27" s="12" t="str">
        <f ca="1">VLOOKUP(F27,Table12[[Native]:[Population4]],5,FALSE)</f>
        <v>吕梁市</v>
      </c>
    </row>
    <row r="28" spans="1:7" ht="15.75" thickBot="1" x14ac:dyDescent="0.3">
      <c r="A28" t="s">
        <v>1124</v>
      </c>
      <c r="B28" s="1" t="s">
        <v>1125</v>
      </c>
      <c r="C28" s="1" t="s">
        <v>17</v>
      </c>
      <c r="D28" s="1" t="s">
        <v>1451</v>
      </c>
      <c r="E28" s="9">
        <v>8404</v>
      </c>
      <c r="F28" s="1" t="str">
        <f>VLOOKUP(D28,Table12[[Name]:[Native]],3,FALSE)</f>
        <v>孝义市</v>
      </c>
      <c r="G28" s="12" t="str">
        <f ca="1">VLOOKUP(F28,Table12[[Native]:[Population4]],5,FALSE)</f>
        <v>吕梁市</v>
      </c>
    </row>
    <row r="29" spans="1:7" ht="15.75" thickBot="1" x14ac:dyDescent="0.3">
      <c r="A29" t="s">
        <v>1470</v>
      </c>
      <c r="B29" s="1" t="s">
        <v>1471</v>
      </c>
      <c r="C29" s="1" t="s">
        <v>7</v>
      </c>
      <c r="D29" s="1" t="s">
        <v>1451</v>
      </c>
      <c r="E29" s="9">
        <v>42196</v>
      </c>
      <c r="F29" s="1" t="str">
        <f>VLOOKUP(D29,Table12[[Name]:[Native]],3,FALSE)</f>
        <v>孝义市</v>
      </c>
      <c r="G29" s="12" t="str">
        <f ca="1">VLOOKUP(F29,Table12[[Native]:[Population4]],5,FALSE)</f>
        <v>吕梁市</v>
      </c>
    </row>
    <row r="30" spans="1:7" ht="15.75" thickBot="1" x14ac:dyDescent="0.3">
      <c r="A30" t="s">
        <v>1472</v>
      </c>
      <c r="B30" s="1" t="s">
        <v>1473</v>
      </c>
      <c r="C30" s="1" t="s">
        <v>17</v>
      </c>
      <c r="D30" s="1" t="s">
        <v>1416</v>
      </c>
      <c r="E30" s="9">
        <v>7524</v>
      </c>
      <c r="F30" s="1" t="str">
        <f>VLOOKUP(D30,Table12[[Name]:[Native]],3,FALSE)</f>
        <v>兴县</v>
      </c>
      <c r="G30" s="12" t="str">
        <f ca="1">VLOOKUP(F30,Table12[[Native]:[Population4]],5,FALSE)</f>
        <v>吕梁市</v>
      </c>
    </row>
    <row r="31" spans="1:7" ht="15.75" thickBot="1" x14ac:dyDescent="0.3">
      <c r="A31" t="s">
        <v>664</v>
      </c>
      <c r="B31" s="1" t="s">
        <v>665</v>
      </c>
      <c r="C31" s="1" t="s">
        <v>7</v>
      </c>
      <c r="D31" s="1" t="s">
        <v>1426</v>
      </c>
      <c r="E31" s="9">
        <v>128571</v>
      </c>
      <c r="F31" s="1" t="str">
        <f>VLOOKUP(D31,Table12[[Name]:[Native]],3,FALSE)</f>
        <v>文水县</v>
      </c>
      <c r="G31" s="12" t="str">
        <f ca="1">VLOOKUP(F31,Table12[[Native]:[Population4]],5,FALSE)</f>
        <v>吕梁市</v>
      </c>
    </row>
    <row r="32" spans="1:7" ht="15.75" thickBot="1" x14ac:dyDescent="0.3">
      <c r="A32" t="s">
        <v>1474</v>
      </c>
      <c r="B32" s="1" t="s">
        <v>1475</v>
      </c>
      <c r="C32" s="1" t="s">
        <v>31</v>
      </c>
      <c r="D32" s="1" t="s">
        <v>1427</v>
      </c>
      <c r="E32" s="9">
        <v>81907</v>
      </c>
      <c r="F32" s="1" t="str">
        <f>VLOOKUP(D32,Table12[[Name]:[Native]],3,FALSE)</f>
        <v>离石区</v>
      </c>
      <c r="G32" s="12" t="str">
        <f ca="1">VLOOKUP(F32,Table12[[Native]:[Population4]],5,FALSE)</f>
        <v>吕梁市</v>
      </c>
    </row>
    <row r="33" spans="1:7" ht="15.75" thickBot="1" x14ac:dyDescent="0.3">
      <c r="A33" t="s">
        <v>1476</v>
      </c>
      <c r="B33" s="1" t="s">
        <v>1477</v>
      </c>
      <c r="C33" s="1" t="s">
        <v>7</v>
      </c>
      <c r="D33" s="1" t="s">
        <v>1416</v>
      </c>
      <c r="E33" s="9">
        <v>14011</v>
      </c>
      <c r="F33" s="1" t="str">
        <f>VLOOKUP(D33,Table12[[Name]:[Native]],3,FALSE)</f>
        <v>兴县</v>
      </c>
      <c r="G33" s="12" t="str">
        <f ca="1">VLOOKUP(F33,Table12[[Native]:[Population4]],5,FALSE)</f>
        <v>吕梁市</v>
      </c>
    </row>
    <row r="34" spans="1:7" ht="15.75" thickBot="1" x14ac:dyDescent="0.3">
      <c r="A34" t="s">
        <v>1478</v>
      </c>
      <c r="B34" s="1" t="s">
        <v>1479</v>
      </c>
      <c r="C34" s="1" t="s">
        <v>17</v>
      </c>
      <c r="D34" s="1" t="s">
        <v>1444</v>
      </c>
      <c r="E34" s="9">
        <v>10072</v>
      </c>
      <c r="F34" s="1" t="str">
        <f>VLOOKUP(D34,Table12[[Name]:[Native]],3,FALSE)</f>
        <v>柳林县</v>
      </c>
      <c r="G34" s="12" t="str">
        <f ca="1">VLOOKUP(F34,Table12[[Native]:[Population4]],5,FALSE)</f>
        <v>吕梁市</v>
      </c>
    </row>
    <row r="35" spans="1:7" ht="15.75" thickBot="1" x14ac:dyDescent="0.3">
      <c r="A35" t="s">
        <v>1480</v>
      </c>
      <c r="B35" s="1" t="s">
        <v>1481</v>
      </c>
      <c r="C35" s="1" t="s">
        <v>7</v>
      </c>
      <c r="D35" s="1" t="s">
        <v>1451</v>
      </c>
      <c r="E35" s="9">
        <v>40393</v>
      </c>
      <c r="F35" s="1" t="str">
        <f>VLOOKUP(D35,Table12[[Name]:[Native]],3,FALSE)</f>
        <v>孝义市</v>
      </c>
      <c r="G35" s="12" t="str">
        <f ca="1">VLOOKUP(F35,Table12[[Native]:[Population4]],5,FALSE)</f>
        <v>吕梁市</v>
      </c>
    </row>
    <row r="36" spans="1:7" ht="15.75" thickBot="1" x14ac:dyDescent="0.3">
      <c r="A36" t="s">
        <v>1482</v>
      </c>
      <c r="B36" s="1" t="s">
        <v>1483</v>
      </c>
      <c r="C36" s="1" t="s">
        <v>17</v>
      </c>
      <c r="D36" s="1" t="s">
        <v>1416</v>
      </c>
      <c r="E36" s="9">
        <v>7092</v>
      </c>
      <c r="F36" s="1" t="str">
        <f>VLOOKUP(D36,Table12[[Name]:[Native]],3,FALSE)</f>
        <v>兴县</v>
      </c>
      <c r="G36" s="12" t="str">
        <f ca="1">VLOOKUP(F36,Table12[[Native]:[Population4]],5,FALSE)</f>
        <v>吕梁市</v>
      </c>
    </row>
    <row r="37" spans="1:7" ht="15.75" thickBot="1" x14ac:dyDescent="0.3">
      <c r="A37" t="s">
        <v>1484</v>
      </c>
      <c r="B37" s="1" t="s">
        <v>1485</v>
      </c>
      <c r="C37" s="1" t="s">
        <v>7</v>
      </c>
      <c r="D37" s="1" t="s">
        <v>1423</v>
      </c>
      <c r="E37" s="9">
        <v>43409</v>
      </c>
      <c r="F37" s="1" t="str">
        <f>VLOOKUP(D37,Table12[[Name]:[Native]],3,FALSE)</f>
        <v>方山县</v>
      </c>
      <c r="G37" s="12" t="str">
        <f ca="1">VLOOKUP(F37,Table12[[Native]:[Population4]],5,FALSE)</f>
        <v>吕梁市</v>
      </c>
    </row>
    <row r="38" spans="1:7" ht="15.75" thickBot="1" x14ac:dyDescent="0.3">
      <c r="A38" t="s">
        <v>1486</v>
      </c>
      <c r="B38" s="1" t="s">
        <v>1487</v>
      </c>
      <c r="C38" s="1" t="s">
        <v>17</v>
      </c>
      <c r="D38" s="1" t="s">
        <v>1416</v>
      </c>
      <c r="E38" s="9">
        <v>9226</v>
      </c>
      <c r="F38" s="1" t="str">
        <f>VLOOKUP(D38,Table12[[Name]:[Native]],3,FALSE)</f>
        <v>兴县</v>
      </c>
      <c r="G38" s="12" t="str">
        <f ca="1">VLOOKUP(F38,Table12[[Native]:[Population4]],5,FALSE)</f>
        <v>吕梁市</v>
      </c>
    </row>
    <row r="39" spans="1:7" ht="15.75" thickBot="1" x14ac:dyDescent="0.3">
      <c r="A39" t="s">
        <v>1488</v>
      </c>
      <c r="B39" s="1" t="s">
        <v>1489</v>
      </c>
      <c r="C39" s="1" t="s">
        <v>17</v>
      </c>
      <c r="D39" s="1" t="s">
        <v>1434</v>
      </c>
      <c r="E39" s="9">
        <v>9793</v>
      </c>
      <c r="F39" s="1" t="str">
        <f>VLOOKUP(D39,Table12[[Name]:[Native]],3,FALSE)</f>
        <v>石楼县</v>
      </c>
      <c r="G39" s="12" t="str">
        <f ca="1">VLOOKUP(F39,Table12[[Native]:[Population4]],5,FALSE)</f>
        <v>吕梁市</v>
      </c>
    </row>
    <row r="40" spans="1:7" ht="15.75" thickBot="1" x14ac:dyDescent="0.3">
      <c r="A40" t="s">
        <v>1490</v>
      </c>
      <c r="B40" s="1" t="s">
        <v>1491</v>
      </c>
      <c r="C40" s="1" t="s">
        <v>17</v>
      </c>
      <c r="D40" s="1" t="s">
        <v>1416</v>
      </c>
      <c r="E40" s="9">
        <v>6537</v>
      </c>
      <c r="F40" s="1" t="str">
        <f>VLOOKUP(D40,Table12[[Name]:[Native]],3,FALSE)</f>
        <v>兴县</v>
      </c>
      <c r="G40" s="12" t="str">
        <f ca="1">VLOOKUP(F40,Table12[[Native]:[Population4]],5,FALSE)</f>
        <v>吕梁市</v>
      </c>
    </row>
    <row r="41" spans="1:7" ht="15.75" thickBot="1" x14ac:dyDescent="0.3">
      <c r="A41" t="s">
        <v>1492</v>
      </c>
      <c r="B41" s="1" t="s">
        <v>1493</v>
      </c>
      <c r="C41" s="1" t="s">
        <v>17</v>
      </c>
      <c r="D41" s="1" t="s">
        <v>1456</v>
      </c>
      <c r="E41" s="9">
        <v>5005</v>
      </c>
      <c r="F41" s="1" t="str">
        <f>VLOOKUP(D41,Table12[[Name]:[Native]],3,FALSE)</f>
        <v>岚县</v>
      </c>
      <c r="G41" s="12" t="str">
        <f ca="1">VLOOKUP(F41,Table12[[Native]:[Population4]],5,FALSE)</f>
        <v>吕梁市</v>
      </c>
    </row>
    <row r="42" spans="1:7" ht="15.75" thickBot="1" x14ac:dyDescent="0.3">
      <c r="A42" t="s">
        <v>1494</v>
      </c>
      <c r="B42" s="1" t="s">
        <v>1495</v>
      </c>
      <c r="C42" s="1" t="s">
        <v>17</v>
      </c>
      <c r="D42" s="1" t="s">
        <v>1469</v>
      </c>
      <c r="E42" s="9">
        <v>21198</v>
      </c>
      <c r="F42" s="1" t="str">
        <f>VLOOKUP(D42,Table12[[Name]:[Native]],3,FALSE)</f>
        <v>交城县</v>
      </c>
      <c r="G42" s="12" t="str">
        <f ca="1">VLOOKUP(F42,Table12[[Native]:[Population4]],5,FALSE)</f>
        <v>吕梁市</v>
      </c>
    </row>
    <row r="43" spans="1:7" ht="15.75" thickBot="1" x14ac:dyDescent="0.3">
      <c r="A43" t="s">
        <v>1496</v>
      </c>
      <c r="B43" s="1" t="s">
        <v>1497</v>
      </c>
      <c r="C43" s="1" t="s">
        <v>17</v>
      </c>
      <c r="D43" s="1" t="s">
        <v>1427</v>
      </c>
      <c r="E43" s="9">
        <v>1745</v>
      </c>
      <c r="F43" s="1" t="str">
        <f>VLOOKUP(D43,Table12[[Name]:[Native]],3,FALSE)</f>
        <v>离石区</v>
      </c>
      <c r="G43" s="12" t="str">
        <f ca="1">VLOOKUP(F43,Table12[[Native]:[Population4]],5,FALSE)</f>
        <v>吕梁市</v>
      </c>
    </row>
    <row r="44" spans="1:7" ht="15.75" thickBot="1" x14ac:dyDescent="0.3">
      <c r="A44" t="s">
        <v>1498</v>
      </c>
      <c r="B44" s="1" t="s">
        <v>1499</v>
      </c>
      <c r="C44" s="1" t="s">
        <v>17</v>
      </c>
      <c r="D44" s="1" t="s">
        <v>1469</v>
      </c>
      <c r="E44" s="9">
        <v>6304</v>
      </c>
      <c r="F44" s="1" t="str">
        <f>VLOOKUP(D44,Table12[[Name]:[Native]],3,FALSE)</f>
        <v>交城县</v>
      </c>
      <c r="G44" s="12" t="str">
        <f ca="1">VLOOKUP(F44,Table12[[Native]:[Population4]],5,FALSE)</f>
        <v>吕梁市</v>
      </c>
    </row>
    <row r="45" spans="1:7" ht="15.75" thickBot="1" x14ac:dyDescent="0.3">
      <c r="A45" t="s">
        <v>1500</v>
      </c>
      <c r="B45" s="1" t="s">
        <v>1501</v>
      </c>
      <c r="C45" s="1" t="s">
        <v>17</v>
      </c>
      <c r="D45" s="1" t="s">
        <v>1502</v>
      </c>
      <c r="E45" s="9">
        <v>13583</v>
      </c>
      <c r="F45" s="1" t="str">
        <f>VLOOKUP(D45,Table12[[Name]:[Native]],3,FALSE)</f>
        <v>交口县</v>
      </c>
      <c r="G45" s="12" t="str">
        <f ca="1">VLOOKUP(F45,Table12[[Native]:[Population4]],5,FALSE)</f>
        <v>吕梁市</v>
      </c>
    </row>
    <row r="46" spans="1:7" ht="15.75" thickBot="1" x14ac:dyDescent="0.3">
      <c r="A46" t="s">
        <v>1503</v>
      </c>
      <c r="B46" s="1" t="s">
        <v>1504</v>
      </c>
      <c r="C46" s="1" t="s">
        <v>17</v>
      </c>
      <c r="D46" s="1" t="s">
        <v>1444</v>
      </c>
      <c r="E46" s="9">
        <v>7916</v>
      </c>
      <c r="F46" s="1" t="str">
        <f>VLOOKUP(D46,Table12[[Name]:[Native]],3,FALSE)</f>
        <v>柳林县</v>
      </c>
      <c r="G46" s="12" t="str">
        <f ca="1">VLOOKUP(F46,Table12[[Native]:[Population4]],5,FALSE)</f>
        <v>吕梁市</v>
      </c>
    </row>
    <row r="47" spans="1:7" ht="15.75" thickBot="1" x14ac:dyDescent="0.3">
      <c r="A47" t="s">
        <v>1505</v>
      </c>
      <c r="B47" s="1" t="s">
        <v>1506</v>
      </c>
      <c r="C47" s="1" t="s">
        <v>7</v>
      </c>
      <c r="D47" s="1" t="s">
        <v>1507</v>
      </c>
      <c r="E47" s="9">
        <v>30070</v>
      </c>
      <c r="F47" s="1" t="str">
        <f>VLOOKUP(D47,Table12[[Name]:[Native]],3,FALSE)</f>
        <v>汾阳市</v>
      </c>
      <c r="G47" s="12" t="str">
        <f ca="1">VLOOKUP(F47,Table12[[Native]:[Population4]],5,FALSE)</f>
        <v>吕梁市</v>
      </c>
    </row>
    <row r="48" spans="1:7" ht="15.75" thickBot="1" x14ac:dyDescent="0.3">
      <c r="A48" t="s">
        <v>1508</v>
      </c>
      <c r="B48" s="1" t="s">
        <v>1509</v>
      </c>
      <c r="C48" s="1" t="s">
        <v>31</v>
      </c>
      <c r="D48" s="1" t="s">
        <v>1427</v>
      </c>
      <c r="E48" s="9">
        <v>19637</v>
      </c>
      <c r="F48" s="1" t="str">
        <f>VLOOKUP(D48,Table12[[Name]:[Native]],3,FALSE)</f>
        <v>离石区</v>
      </c>
      <c r="G48" s="12" t="str">
        <f ca="1">VLOOKUP(F48,Table12[[Native]:[Population4]],5,FALSE)</f>
        <v>吕梁市</v>
      </c>
    </row>
    <row r="49" spans="1:7" ht="15.75" thickBot="1" x14ac:dyDescent="0.3">
      <c r="A49" t="s">
        <v>1510</v>
      </c>
      <c r="B49" s="1" t="s">
        <v>1511</v>
      </c>
      <c r="C49" s="1" t="s">
        <v>17</v>
      </c>
      <c r="D49" s="1" t="s">
        <v>1416</v>
      </c>
      <c r="E49" s="9">
        <v>7775</v>
      </c>
      <c r="F49" s="1" t="str">
        <f>VLOOKUP(D49,Table12[[Name]:[Native]],3,FALSE)</f>
        <v>兴县</v>
      </c>
      <c r="G49" s="12" t="str">
        <f ca="1">VLOOKUP(F49,Table12[[Native]:[Population4]],5,FALSE)</f>
        <v>吕梁市</v>
      </c>
    </row>
    <row r="50" spans="1:7" ht="15.75" thickBot="1" x14ac:dyDescent="0.3">
      <c r="A50" t="s">
        <v>1512</v>
      </c>
      <c r="B50" s="1" t="s">
        <v>1513</v>
      </c>
      <c r="C50" s="1" t="s">
        <v>17</v>
      </c>
      <c r="D50" s="1" t="s">
        <v>1423</v>
      </c>
      <c r="E50" s="9">
        <v>8510</v>
      </c>
      <c r="F50" s="1" t="str">
        <f>VLOOKUP(D50,Table12[[Name]:[Native]],3,FALSE)</f>
        <v>方山县</v>
      </c>
      <c r="G50" s="12" t="str">
        <f ca="1">VLOOKUP(F50,Table12[[Native]:[Population4]],5,FALSE)</f>
        <v>吕梁市</v>
      </c>
    </row>
    <row r="51" spans="1:7" ht="15.75" thickBot="1" x14ac:dyDescent="0.3">
      <c r="A51" t="s">
        <v>1514</v>
      </c>
      <c r="B51" s="1" t="s">
        <v>1515</v>
      </c>
      <c r="C51" s="1" t="s">
        <v>7</v>
      </c>
      <c r="D51" s="1" t="s">
        <v>1507</v>
      </c>
      <c r="E51" s="9">
        <v>39138</v>
      </c>
      <c r="F51" s="1" t="str">
        <f>VLOOKUP(D51,Table12[[Name]:[Native]],3,FALSE)</f>
        <v>汾阳市</v>
      </c>
      <c r="G51" s="12" t="str">
        <f ca="1">VLOOKUP(F51,Table12[[Native]:[Population4]],5,FALSE)</f>
        <v>吕梁市</v>
      </c>
    </row>
    <row r="52" spans="1:7" ht="15.75" thickBot="1" x14ac:dyDescent="0.3">
      <c r="A52" t="s">
        <v>1516</v>
      </c>
      <c r="B52" s="1" t="s">
        <v>1517</v>
      </c>
      <c r="C52" s="1" t="s">
        <v>7</v>
      </c>
      <c r="D52" s="1" t="s">
        <v>1456</v>
      </c>
      <c r="E52" s="9">
        <v>5371</v>
      </c>
      <c r="F52" s="1" t="str">
        <f>VLOOKUP(D52,Table12[[Name]:[Native]],3,FALSE)</f>
        <v>岚县</v>
      </c>
      <c r="G52" s="12" t="str">
        <f ca="1">VLOOKUP(F52,Table12[[Native]:[Population4]],5,FALSE)</f>
        <v>吕梁市</v>
      </c>
    </row>
    <row r="53" spans="1:7" ht="15.75" thickBot="1" x14ac:dyDescent="0.3">
      <c r="A53" t="s">
        <v>1518</v>
      </c>
      <c r="B53" s="1" t="s">
        <v>1519</v>
      </c>
      <c r="C53" s="1" t="s">
        <v>17</v>
      </c>
      <c r="D53" s="1" t="s">
        <v>1444</v>
      </c>
      <c r="E53" s="9">
        <v>10512</v>
      </c>
      <c r="F53" s="1" t="str">
        <f>VLOOKUP(D53,Table12[[Name]:[Native]],3,FALSE)</f>
        <v>柳林县</v>
      </c>
      <c r="G53" s="12" t="str">
        <f ca="1">VLOOKUP(F53,Table12[[Native]:[Population4]],5,FALSE)</f>
        <v>吕梁市</v>
      </c>
    </row>
    <row r="54" spans="1:7" ht="15.75" thickBot="1" x14ac:dyDescent="0.3">
      <c r="A54" t="s">
        <v>1520</v>
      </c>
      <c r="B54" s="1" t="s">
        <v>1521</v>
      </c>
      <c r="C54" s="1" t="s">
        <v>7</v>
      </c>
      <c r="D54" s="1" t="s">
        <v>1439</v>
      </c>
      <c r="E54" s="9">
        <v>21834</v>
      </c>
      <c r="F54" s="1" t="str">
        <f>VLOOKUP(D54,Table12[[Name]:[Native]],3,FALSE)</f>
        <v>中阳县</v>
      </c>
      <c r="G54" s="12" t="str">
        <f ca="1">VLOOKUP(F54,Table12[[Native]:[Population4]],5,FALSE)</f>
        <v>吕梁市</v>
      </c>
    </row>
    <row r="55" spans="1:7" ht="15.75" thickBot="1" x14ac:dyDescent="0.3">
      <c r="A55" t="s">
        <v>1522</v>
      </c>
      <c r="B55" s="1" t="s">
        <v>1523</v>
      </c>
      <c r="C55" s="1" t="s">
        <v>7</v>
      </c>
      <c r="D55" s="1" t="s">
        <v>1426</v>
      </c>
      <c r="E55" s="9">
        <v>34205</v>
      </c>
      <c r="F55" s="1" t="str">
        <f>VLOOKUP(D55,Table12[[Name]:[Native]],3,FALSE)</f>
        <v>文水县</v>
      </c>
      <c r="G55" s="12" t="str">
        <f ca="1">VLOOKUP(F55,Table12[[Native]:[Population4]],5,FALSE)</f>
        <v>吕梁市</v>
      </c>
    </row>
    <row r="56" spans="1:7" ht="15.75" thickBot="1" x14ac:dyDescent="0.3">
      <c r="A56" t="s">
        <v>1524</v>
      </c>
      <c r="B56" s="1" t="s">
        <v>1525</v>
      </c>
      <c r="C56" s="1" t="s">
        <v>7</v>
      </c>
      <c r="D56" s="1" t="s">
        <v>1502</v>
      </c>
      <c r="E56" s="9">
        <v>14867</v>
      </c>
      <c r="F56" s="1" t="str">
        <f>VLOOKUP(D56,Table12[[Name]:[Native]],3,FALSE)</f>
        <v>交口县</v>
      </c>
      <c r="G56" s="12" t="str">
        <f ca="1">VLOOKUP(F56,Table12[[Native]:[Population4]],5,FALSE)</f>
        <v>吕梁市</v>
      </c>
    </row>
    <row r="57" spans="1:7" ht="15.75" thickBot="1" x14ac:dyDescent="0.3">
      <c r="A57" t="s">
        <v>1526</v>
      </c>
      <c r="B57" s="1" t="s">
        <v>1527</v>
      </c>
      <c r="C57" s="1" t="s">
        <v>7</v>
      </c>
      <c r="D57" s="1" t="s">
        <v>1416</v>
      </c>
      <c r="E57" s="9">
        <v>17826</v>
      </c>
      <c r="F57" s="1" t="str">
        <f>VLOOKUP(D57,Table12[[Name]:[Native]],3,FALSE)</f>
        <v>兴县</v>
      </c>
      <c r="G57" s="12" t="str">
        <f ca="1">VLOOKUP(F57,Table12[[Native]:[Population4]],5,FALSE)</f>
        <v>吕梁市</v>
      </c>
    </row>
    <row r="58" spans="1:7" ht="15.75" thickBot="1" x14ac:dyDescent="0.3">
      <c r="A58" t="s">
        <v>1528</v>
      </c>
      <c r="B58" s="1" t="s">
        <v>1529</v>
      </c>
      <c r="C58" s="1" t="s">
        <v>7</v>
      </c>
      <c r="D58" s="1" t="s">
        <v>1411</v>
      </c>
      <c r="E58" s="9">
        <v>11751</v>
      </c>
      <c r="F58" s="1" t="str">
        <f>VLOOKUP(D58,Table12[[Name]:[Native]],3,FALSE)</f>
        <v>临县</v>
      </c>
      <c r="G58" s="12" t="str">
        <f ca="1">VLOOKUP(F58,Table12[[Native]:[Population4]],5,FALSE)</f>
        <v>吕梁市</v>
      </c>
    </row>
    <row r="59" spans="1:7" ht="15.75" thickBot="1" x14ac:dyDescent="0.3">
      <c r="A59" t="s">
        <v>1530</v>
      </c>
      <c r="B59" s="1" t="s">
        <v>1531</v>
      </c>
      <c r="C59" s="1" t="s">
        <v>7</v>
      </c>
      <c r="D59" s="1" t="s">
        <v>1456</v>
      </c>
      <c r="E59" s="9">
        <v>10736</v>
      </c>
      <c r="F59" s="1" t="str">
        <f>VLOOKUP(D59,Table12[[Name]:[Native]],3,FALSE)</f>
        <v>岚县</v>
      </c>
      <c r="G59" s="12" t="str">
        <f ca="1">VLOOKUP(F59,Table12[[Native]:[Population4]],5,FALSE)</f>
        <v>吕梁市</v>
      </c>
    </row>
    <row r="60" spans="1:7" ht="15.75" thickBot="1" x14ac:dyDescent="0.3">
      <c r="A60" t="s">
        <v>1532</v>
      </c>
      <c r="B60" s="1" t="s">
        <v>1533</v>
      </c>
      <c r="C60" s="1" t="s">
        <v>17</v>
      </c>
      <c r="D60" s="1" t="s">
        <v>1411</v>
      </c>
      <c r="E60" s="9">
        <v>15444</v>
      </c>
      <c r="F60" s="1" t="str">
        <f>VLOOKUP(D60,Table12[[Name]:[Native]],3,FALSE)</f>
        <v>临县</v>
      </c>
      <c r="G60" s="12" t="str">
        <f ca="1">VLOOKUP(F60,Table12[[Native]:[Population4]],5,FALSE)</f>
        <v>吕梁市</v>
      </c>
    </row>
    <row r="61" spans="1:7" ht="15.75" thickBot="1" x14ac:dyDescent="0.3">
      <c r="A61" t="s">
        <v>1534</v>
      </c>
      <c r="B61" s="1" t="s">
        <v>1535</v>
      </c>
      <c r="C61" s="1" t="s">
        <v>17</v>
      </c>
      <c r="D61" s="1" t="s">
        <v>1456</v>
      </c>
      <c r="E61" s="9">
        <v>12757</v>
      </c>
      <c r="F61" s="1" t="str">
        <f>VLOOKUP(D61,Table12[[Name]:[Native]],3,FALSE)</f>
        <v>岚县</v>
      </c>
      <c r="G61" s="12" t="str">
        <f ca="1">VLOOKUP(F61,Table12[[Native]:[Population4]],5,FALSE)</f>
        <v>吕梁市</v>
      </c>
    </row>
    <row r="62" spans="1:7" ht="15.75" thickBot="1" x14ac:dyDescent="0.3">
      <c r="A62" t="s">
        <v>1536</v>
      </c>
      <c r="B62" s="1" t="s">
        <v>1537</v>
      </c>
      <c r="C62" s="1" t="s">
        <v>31</v>
      </c>
      <c r="D62" s="1" t="s">
        <v>1427</v>
      </c>
      <c r="E62" s="9">
        <v>56131</v>
      </c>
      <c r="F62" s="1" t="str">
        <f>VLOOKUP(D62,Table12[[Name]:[Native]],3,FALSE)</f>
        <v>离石区</v>
      </c>
      <c r="G62" s="12" t="str">
        <f ca="1">VLOOKUP(F62,Table12[[Native]:[Population4]],5,FALSE)</f>
        <v>吕梁市</v>
      </c>
    </row>
    <row r="63" spans="1:7" ht="15.75" thickBot="1" x14ac:dyDescent="0.3">
      <c r="A63" t="s">
        <v>1538</v>
      </c>
      <c r="B63" s="1" t="s">
        <v>1539</v>
      </c>
      <c r="C63" s="1" t="s">
        <v>17</v>
      </c>
      <c r="D63" s="1" t="s">
        <v>1444</v>
      </c>
      <c r="E63" s="9">
        <v>13516</v>
      </c>
      <c r="F63" s="1" t="str">
        <f>VLOOKUP(D63,Table12[[Name]:[Native]],3,FALSE)</f>
        <v>柳林县</v>
      </c>
      <c r="G63" s="12" t="str">
        <f ca="1">VLOOKUP(F63,Table12[[Native]:[Population4]],5,FALSE)</f>
        <v>吕梁市</v>
      </c>
    </row>
    <row r="64" spans="1:7" ht="15.75" thickBot="1" x14ac:dyDescent="0.3">
      <c r="A64" t="s">
        <v>1540</v>
      </c>
      <c r="B64" s="1" t="s">
        <v>1541</v>
      </c>
      <c r="C64" s="1" t="s">
        <v>17</v>
      </c>
      <c r="D64" s="1" t="s">
        <v>1507</v>
      </c>
      <c r="E64" s="9">
        <v>24154</v>
      </c>
      <c r="F64" s="1" t="str">
        <f>VLOOKUP(D64,Table12[[Name]:[Native]],3,FALSE)</f>
        <v>汾阳市</v>
      </c>
      <c r="G64" s="12" t="str">
        <f ca="1">VLOOKUP(F64,Table12[[Native]:[Population4]],5,FALSE)</f>
        <v>吕梁市</v>
      </c>
    </row>
    <row r="65" spans="1:7" ht="15.75" thickBot="1" x14ac:dyDescent="0.3">
      <c r="A65" t="s">
        <v>1542</v>
      </c>
      <c r="B65" s="1" t="s">
        <v>1543</v>
      </c>
      <c r="C65" s="1" t="s">
        <v>17</v>
      </c>
      <c r="D65" s="1" t="s">
        <v>1469</v>
      </c>
      <c r="E65" s="9">
        <v>6560</v>
      </c>
      <c r="F65" s="1" t="str">
        <f>VLOOKUP(D65,Table12[[Name]:[Native]],3,FALSE)</f>
        <v>交城县</v>
      </c>
      <c r="G65" s="12" t="str">
        <f ca="1">VLOOKUP(F65,Table12[[Native]:[Population4]],5,FALSE)</f>
        <v>吕梁市</v>
      </c>
    </row>
    <row r="66" spans="1:7" ht="15.75" thickBot="1" x14ac:dyDescent="0.3">
      <c r="A66" t="s">
        <v>1544</v>
      </c>
      <c r="B66" s="1" t="s">
        <v>1545</v>
      </c>
      <c r="C66" s="1" t="s">
        <v>7</v>
      </c>
      <c r="D66" s="1" t="s">
        <v>1434</v>
      </c>
      <c r="E66" s="9">
        <v>41996</v>
      </c>
      <c r="F66" s="1" t="str">
        <f>VLOOKUP(D66,Table12[[Name]:[Native]],3,FALSE)</f>
        <v>石楼县</v>
      </c>
      <c r="G66" s="12" t="str">
        <f ca="1">VLOOKUP(F66,Table12[[Native]:[Population4]],5,FALSE)</f>
        <v>吕梁市</v>
      </c>
    </row>
    <row r="67" spans="1:7" ht="15.75" thickBot="1" x14ac:dyDescent="0.3">
      <c r="A67" t="s">
        <v>1546</v>
      </c>
      <c r="B67" s="1" t="s">
        <v>1547</v>
      </c>
      <c r="C67" s="1" t="s">
        <v>7</v>
      </c>
      <c r="D67" s="1" t="s">
        <v>1411</v>
      </c>
      <c r="E67" s="9">
        <v>24445</v>
      </c>
      <c r="F67" s="1" t="str">
        <f>VLOOKUP(D67,Table12[[Name]:[Native]],3,FALSE)</f>
        <v>临县</v>
      </c>
      <c r="G67" s="12" t="str">
        <f ca="1">VLOOKUP(F67,Table12[[Native]:[Population4]],5,FALSE)</f>
        <v>吕梁市</v>
      </c>
    </row>
    <row r="68" spans="1:7" ht="15.75" thickBot="1" x14ac:dyDescent="0.3">
      <c r="A68" t="s">
        <v>1548</v>
      </c>
      <c r="B68" s="1" t="s">
        <v>1549</v>
      </c>
      <c r="C68" s="1" t="s">
        <v>7</v>
      </c>
      <c r="D68" s="1" t="s">
        <v>1411</v>
      </c>
      <c r="E68" s="9">
        <v>91670</v>
      </c>
      <c r="F68" s="1" t="str">
        <f>VLOOKUP(D68,Table12[[Name]:[Native]],3,FALSE)</f>
        <v>临县</v>
      </c>
      <c r="G68" s="12" t="str">
        <f ca="1">VLOOKUP(F68,Table12[[Native]:[Population4]],5,FALSE)</f>
        <v>吕梁市</v>
      </c>
    </row>
    <row r="69" spans="1:7" ht="15.75" thickBot="1" x14ac:dyDescent="0.3">
      <c r="A69" t="s">
        <v>1550</v>
      </c>
      <c r="B69" s="1" t="s">
        <v>1551</v>
      </c>
      <c r="C69" s="1" t="s">
        <v>7</v>
      </c>
      <c r="D69" s="1" t="s">
        <v>1426</v>
      </c>
      <c r="E69" s="9">
        <v>37235</v>
      </c>
      <c r="F69" s="1" t="str">
        <f>VLOOKUP(D69,Table12[[Name]:[Native]],3,FALSE)</f>
        <v>文水县</v>
      </c>
      <c r="G69" s="12" t="str">
        <f ca="1">VLOOKUP(F69,Table12[[Native]:[Population4]],5,FALSE)</f>
        <v>吕梁市</v>
      </c>
    </row>
    <row r="70" spans="1:7" ht="15.75" thickBot="1" x14ac:dyDescent="0.3">
      <c r="A70" t="s">
        <v>1552</v>
      </c>
      <c r="B70" s="1" t="s">
        <v>1553</v>
      </c>
      <c r="C70" s="1" t="s">
        <v>7</v>
      </c>
      <c r="D70" s="1" t="s">
        <v>1411</v>
      </c>
      <c r="E70" s="9">
        <v>29131</v>
      </c>
      <c r="F70" s="1" t="str">
        <f>VLOOKUP(D70,Table12[[Name]:[Native]],3,FALSE)</f>
        <v>临县</v>
      </c>
      <c r="G70" s="12" t="str">
        <f ca="1">VLOOKUP(F70,Table12[[Native]:[Population4]],5,FALSE)</f>
        <v>吕梁市</v>
      </c>
    </row>
    <row r="71" spans="1:7" ht="15.75" thickBot="1" x14ac:dyDescent="0.3">
      <c r="A71" t="s">
        <v>1554</v>
      </c>
      <c r="B71" s="1" t="s">
        <v>1555</v>
      </c>
      <c r="C71" s="1" t="s">
        <v>7</v>
      </c>
      <c r="D71" s="1" t="s">
        <v>1444</v>
      </c>
      <c r="E71" s="9">
        <v>112913</v>
      </c>
      <c r="F71" s="1" t="str">
        <f>VLOOKUP(D71,Table12[[Name]:[Native]],3,FALSE)</f>
        <v>柳林县</v>
      </c>
      <c r="G71" s="12" t="str">
        <f ca="1">VLOOKUP(F71,Table12[[Native]:[Population4]],5,FALSE)</f>
        <v>吕梁市</v>
      </c>
    </row>
    <row r="72" spans="1:7" ht="15.75" thickBot="1" x14ac:dyDescent="0.3">
      <c r="A72" t="s">
        <v>1556</v>
      </c>
      <c r="B72" s="1" t="s">
        <v>1557</v>
      </c>
      <c r="C72" s="1" t="s">
        <v>7</v>
      </c>
      <c r="D72" s="1" t="s">
        <v>1444</v>
      </c>
      <c r="E72" s="9">
        <v>12606</v>
      </c>
      <c r="F72" s="1" t="str">
        <f>VLOOKUP(D72,Table12[[Name]:[Native]],3,FALSE)</f>
        <v>柳林县</v>
      </c>
      <c r="G72" s="12" t="str">
        <f ca="1">VLOOKUP(F72,Table12[[Native]:[Population4]],5,FALSE)</f>
        <v>吕梁市</v>
      </c>
    </row>
    <row r="73" spans="1:7" ht="15.75" thickBot="1" x14ac:dyDescent="0.3">
      <c r="A73" t="s">
        <v>1558</v>
      </c>
      <c r="B73" s="1" t="s">
        <v>1559</v>
      </c>
      <c r="C73" s="1" t="s">
        <v>17</v>
      </c>
      <c r="D73" s="1" t="s">
        <v>1434</v>
      </c>
      <c r="E73" s="9">
        <v>9703</v>
      </c>
      <c r="F73" s="1" t="str">
        <f>VLOOKUP(D73,Table12[[Name]:[Native]],3,FALSE)</f>
        <v>石楼县</v>
      </c>
      <c r="G73" s="12" t="str">
        <f ca="1">VLOOKUP(F73,Table12[[Native]:[Population4]],5,FALSE)</f>
        <v>吕梁市</v>
      </c>
    </row>
    <row r="74" spans="1:7" ht="15.75" thickBot="1" x14ac:dyDescent="0.3">
      <c r="A74" t="s">
        <v>1560</v>
      </c>
      <c r="B74" s="1" t="s">
        <v>1561</v>
      </c>
      <c r="C74" s="1" t="s">
        <v>7</v>
      </c>
      <c r="D74" s="1" t="s">
        <v>1434</v>
      </c>
      <c r="E74" s="9">
        <v>11656</v>
      </c>
      <c r="F74" s="1" t="str">
        <f>VLOOKUP(D74,Table12[[Name]:[Native]],3,FALSE)</f>
        <v>石楼县</v>
      </c>
      <c r="G74" s="12" t="str">
        <f ca="1">VLOOKUP(F74,Table12[[Native]:[Population4]],5,FALSE)</f>
        <v>吕梁市</v>
      </c>
    </row>
    <row r="75" spans="1:7" ht="15.75" thickBot="1" x14ac:dyDescent="0.3">
      <c r="A75" t="s">
        <v>1562</v>
      </c>
      <c r="B75" s="1" t="s">
        <v>1563</v>
      </c>
      <c r="C75" s="1" t="s">
        <v>7</v>
      </c>
      <c r="D75" s="1" t="s">
        <v>1416</v>
      </c>
      <c r="E75" s="9">
        <v>6893</v>
      </c>
      <c r="F75" s="1" t="str">
        <f>VLOOKUP(D75,Table12[[Name]:[Native]],3,FALSE)</f>
        <v>兴县</v>
      </c>
      <c r="G75" s="12" t="str">
        <f ca="1">VLOOKUP(F75,Table12[[Native]:[Population4]],5,FALSE)</f>
        <v>吕梁市</v>
      </c>
    </row>
    <row r="76" spans="1:7" ht="15.75" thickBot="1" x14ac:dyDescent="0.3">
      <c r="A76" t="s">
        <v>1564</v>
      </c>
      <c r="B76" s="1" t="s">
        <v>1565</v>
      </c>
      <c r="C76" s="1" t="s">
        <v>17</v>
      </c>
      <c r="D76" s="1" t="s">
        <v>1423</v>
      </c>
      <c r="E76" s="9">
        <v>9547</v>
      </c>
      <c r="F76" s="1" t="str">
        <f>VLOOKUP(D76,Table12[[Name]:[Native]],3,FALSE)</f>
        <v>方山县</v>
      </c>
      <c r="G76" s="12" t="str">
        <f ca="1">VLOOKUP(F76,Table12[[Native]:[Population4]],5,FALSE)</f>
        <v>吕梁市</v>
      </c>
    </row>
    <row r="77" spans="1:7" ht="15.75" thickBot="1" x14ac:dyDescent="0.3">
      <c r="A77" t="s">
        <v>1566</v>
      </c>
      <c r="B77" s="1" t="s">
        <v>1567</v>
      </c>
      <c r="C77" s="1" t="s">
        <v>7</v>
      </c>
      <c r="D77" s="1" t="s">
        <v>1423</v>
      </c>
      <c r="E77" s="9">
        <v>16652</v>
      </c>
      <c r="F77" s="1" t="str">
        <f>VLOOKUP(D77,Table12[[Name]:[Native]],3,FALSE)</f>
        <v>方山县</v>
      </c>
      <c r="G77" s="12" t="str">
        <f ca="1">VLOOKUP(F77,Table12[[Native]:[Population4]],5,FALSE)</f>
        <v>吕梁市</v>
      </c>
    </row>
    <row r="78" spans="1:7" ht="15.75" thickBot="1" x14ac:dyDescent="0.3">
      <c r="A78" t="s">
        <v>1568</v>
      </c>
      <c r="B78" s="1" t="s">
        <v>1569</v>
      </c>
      <c r="C78" s="1" t="s">
        <v>17</v>
      </c>
      <c r="D78" s="1" t="s">
        <v>1426</v>
      </c>
      <c r="E78" s="9">
        <v>11116</v>
      </c>
      <c r="F78" s="1" t="str">
        <f>VLOOKUP(D78,Table12[[Name]:[Native]],3,FALSE)</f>
        <v>文水县</v>
      </c>
      <c r="G78" s="12" t="str">
        <f ca="1">VLOOKUP(F78,Table12[[Native]:[Population4]],5,FALSE)</f>
        <v>吕梁市</v>
      </c>
    </row>
    <row r="79" spans="1:7" ht="15.75" thickBot="1" x14ac:dyDescent="0.3">
      <c r="A79" t="s">
        <v>1570</v>
      </c>
      <c r="B79" s="1" t="s">
        <v>1571</v>
      </c>
      <c r="C79" s="1" t="s">
        <v>17</v>
      </c>
      <c r="D79" s="1" t="s">
        <v>1416</v>
      </c>
      <c r="E79" s="9">
        <v>10645</v>
      </c>
      <c r="F79" s="1" t="str">
        <f>VLOOKUP(D79,Table12[[Name]:[Native]],3,FALSE)</f>
        <v>兴县</v>
      </c>
      <c r="G79" s="12" t="str">
        <f ca="1">VLOOKUP(F79,Table12[[Native]:[Population4]],5,FALSE)</f>
        <v>吕梁市</v>
      </c>
    </row>
    <row r="80" spans="1:7" ht="15.75" thickBot="1" x14ac:dyDescent="0.3">
      <c r="A80" t="s">
        <v>1572</v>
      </c>
      <c r="B80" s="1" t="s">
        <v>1573</v>
      </c>
      <c r="C80" s="1" t="s">
        <v>7</v>
      </c>
      <c r="D80" s="1" t="s">
        <v>1444</v>
      </c>
      <c r="E80" s="9">
        <v>15825</v>
      </c>
      <c r="F80" s="1" t="str">
        <f>VLOOKUP(D80,Table12[[Name]:[Native]],3,FALSE)</f>
        <v>柳林县</v>
      </c>
      <c r="G80" s="12" t="str">
        <f ca="1">VLOOKUP(F80,Table12[[Native]:[Population4]],5,FALSE)</f>
        <v>吕梁市</v>
      </c>
    </row>
    <row r="81" spans="1:7" ht="15.75" thickBot="1" x14ac:dyDescent="0.3">
      <c r="A81" t="s">
        <v>1574</v>
      </c>
      <c r="B81" s="1" t="s">
        <v>1575</v>
      </c>
      <c r="C81" s="1" t="s">
        <v>7</v>
      </c>
      <c r="D81" s="1" t="s">
        <v>1444</v>
      </c>
      <c r="E81" s="9">
        <v>34914</v>
      </c>
      <c r="F81" s="1" t="str">
        <f>VLOOKUP(D81,Table12[[Name]:[Native]],3,FALSE)</f>
        <v>柳林县</v>
      </c>
      <c r="G81" s="12" t="str">
        <f ca="1">VLOOKUP(F81,Table12[[Native]:[Population4]],5,FALSE)</f>
        <v>吕梁市</v>
      </c>
    </row>
    <row r="82" spans="1:7" ht="15.75" thickBot="1" x14ac:dyDescent="0.3">
      <c r="A82" t="s">
        <v>1576</v>
      </c>
      <c r="B82" s="1" t="s">
        <v>1577</v>
      </c>
      <c r="C82" s="1" t="s">
        <v>17</v>
      </c>
      <c r="D82" s="1" t="s">
        <v>1411</v>
      </c>
      <c r="E82" s="9">
        <v>18408</v>
      </c>
      <c r="F82" s="1" t="str">
        <f>VLOOKUP(D82,Table12[[Name]:[Native]],3,FALSE)</f>
        <v>临县</v>
      </c>
      <c r="G82" s="12" t="str">
        <f ca="1">VLOOKUP(F82,Table12[[Native]:[Population4]],5,FALSE)</f>
        <v>吕梁市</v>
      </c>
    </row>
    <row r="83" spans="1:7" ht="15.75" thickBot="1" x14ac:dyDescent="0.3">
      <c r="A83" t="s">
        <v>1578</v>
      </c>
      <c r="B83" s="1" t="s">
        <v>1579</v>
      </c>
      <c r="C83" s="1" t="s">
        <v>7</v>
      </c>
      <c r="D83" s="1" t="s">
        <v>1426</v>
      </c>
      <c r="E83" s="9">
        <v>34229</v>
      </c>
      <c r="F83" s="1" t="str">
        <f>VLOOKUP(D83,Table12[[Name]:[Native]],3,FALSE)</f>
        <v>文水县</v>
      </c>
      <c r="G83" s="12" t="str">
        <f ca="1">VLOOKUP(F83,Table12[[Native]:[Population4]],5,FALSE)</f>
        <v>吕梁市</v>
      </c>
    </row>
    <row r="84" spans="1:7" ht="15.75" thickBot="1" x14ac:dyDescent="0.3">
      <c r="A84" t="s">
        <v>1580</v>
      </c>
      <c r="B84" s="1" t="s">
        <v>1581</v>
      </c>
      <c r="C84" s="1" t="s">
        <v>17</v>
      </c>
      <c r="D84" s="1" t="s">
        <v>1426</v>
      </c>
      <c r="E84" s="9">
        <v>21765</v>
      </c>
      <c r="F84" s="1" t="str">
        <f>VLOOKUP(D84,Table12[[Name]:[Native]],3,FALSE)</f>
        <v>文水县</v>
      </c>
      <c r="G84" s="12" t="str">
        <f ca="1">VLOOKUP(F84,Table12[[Native]:[Population4]],5,FALSE)</f>
        <v>吕梁市</v>
      </c>
    </row>
    <row r="85" spans="1:7" ht="15.75" thickBot="1" x14ac:dyDescent="0.3">
      <c r="A85" t="s">
        <v>1582</v>
      </c>
      <c r="B85" s="1" t="s">
        <v>1583</v>
      </c>
      <c r="C85" s="1" t="s">
        <v>17</v>
      </c>
      <c r="D85" s="1" t="s">
        <v>1451</v>
      </c>
      <c r="E85" s="9">
        <v>6402</v>
      </c>
      <c r="F85" s="1" t="str">
        <f>VLOOKUP(D85,Table12[[Name]:[Native]],3,FALSE)</f>
        <v>孝义市</v>
      </c>
      <c r="G85" s="12" t="str">
        <f ca="1">VLOOKUP(F85,Table12[[Native]:[Population4]],5,FALSE)</f>
        <v>吕梁市</v>
      </c>
    </row>
    <row r="86" spans="1:7" ht="15.75" thickBot="1" x14ac:dyDescent="0.3">
      <c r="A86" t="s">
        <v>1584</v>
      </c>
      <c r="B86" s="1" t="s">
        <v>1585</v>
      </c>
      <c r="C86" s="1" t="s">
        <v>7</v>
      </c>
      <c r="D86" s="1" t="s">
        <v>1426</v>
      </c>
      <c r="E86" s="9">
        <v>20195</v>
      </c>
      <c r="F86" s="1" t="str">
        <f>VLOOKUP(D86,Table12[[Name]:[Native]],3,FALSE)</f>
        <v>文水县</v>
      </c>
      <c r="G86" s="12" t="str">
        <f ca="1">VLOOKUP(F86,Table12[[Native]:[Population4]],5,FALSE)</f>
        <v>吕梁市</v>
      </c>
    </row>
    <row r="87" spans="1:7" ht="15.75" thickBot="1" x14ac:dyDescent="0.3">
      <c r="A87" t="s">
        <v>1586</v>
      </c>
      <c r="B87" s="1" t="s">
        <v>1587</v>
      </c>
      <c r="C87" s="1" t="s">
        <v>7</v>
      </c>
      <c r="D87" s="1" t="s">
        <v>1439</v>
      </c>
      <c r="E87" s="9">
        <v>76490</v>
      </c>
      <c r="F87" s="1" t="str">
        <f>VLOOKUP(D87,Table12[[Name]:[Native]],3,FALSE)</f>
        <v>中阳县</v>
      </c>
      <c r="G87" s="12" t="str">
        <f ca="1">VLOOKUP(F87,Table12[[Native]:[Population4]],5,FALSE)</f>
        <v>吕梁市</v>
      </c>
    </row>
    <row r="88" spans="1:7" ht="15.75" thickBot="1" x14ac:dyDescent="0.3">
      <c r="A88" t="s">
        <v>1588</v>
      </c>
      <c r="B88" s="1" t="s">
        <v>1589</v>
      </c>
      <c r="C88" s="1" t="s">
        <v>7</v>
      </c>
      <c r="D88" s="1" t="s">
        <v>1439</v>
      </c>
      <c r="E88" s="9">
        <v>10728</v>
      </c>
      <c r="F88" s="1" t="str">
        <f>VLOOKUP(D88,Table12[[Name]:[Native]],3,FALSE)</f>
        <v>中阳县</v>
      </c>
      <c r="G88" s="12" t="str">
        <f ca="1">VLOOKUP(F88,Table12[[Native]:[Population4]],5,FALSE)</f>
        <v>吕梁市</v>
      </c>
    </row>
    <row r="89" spans="1:7" ht="15.75" thickBot="1" x14ac:dyDescent="0.3">
      <c r="A89" t="s">
        <v>1590</v>
      </c>
      <c r="B89" s="1" t="s">
        <v>1591</v>
      </c>
      <c r="C89" s="1" t="s">
        <v>7</v>
      </c>
      <c r="D89" s="1" t="s">
        <v>1469</v>
      </c>
      <c r="E89" s="9">
        <v>1706</v>
      </c>
      <c r="F89" s="1" t="str">
        <f>VLOOKUP(D89,Table12[[Name]:[Native]],3,FALSE)</f>
        <v>交城县</v>
      </c>
      <c r="G89" s="12" t="str">
        <f ca="1">VLOOKUP(F89,Table12[[Native]:[Population4]],5,FALSE)</f>
        <v>吕梁市</v>
      </c>
    </row>
    <row r="90" spans="1:7" ht="15.75" thickBot="1" x14ac:dyDescent="0.3">
      <c r="A90" t="s">
        <v>1592</v>
      </c>
      <c r="B90" s="1" t="s">
        <v>1593</v>
      </c>
      <c r="C90" s="1" t="s">
        <v>17</v>
      </c>
      <c r="D90" s="1" t="s">
        <v>1434</v>
      </c>
      <c r="E90" s="9">
        <v>7410</v>
      </c>
      <c r="F90" s="1" t="str">
        <f>VLOOKUP(D90,Table12[[Name]:[Native]],3,FALSE)</f>
        <v>石楼县</v>
      </c>
      <c r="G90" s="12" t="str">
        <f ca="1">VLOOKUP(F90,Table12[[Native]:[Population4]],5,FALSE)</f>
        <v>吕梁市</v>
      </c>
    </row>
    <row r="91" spans="1:7" ht="15.75" thickBot="1" x14ac:dyDescent="0.3">
      <c r="A91" t="s">
        <v>1594</v>
      </c>
      <c r="B91" s="1" t="s">
        <v>1595</v>
      </c>
      <c r="C91" s="1" t="s">
        <v>17</v>
      </c>
      <c r="D91" s="1" t="s">
        <v>1427</v>
      </c>
      <c r="E91" s="9">
        <v>8647</v>
      </c>
      <c r="F91" s="1" t="str">
        <f>VLOOKUP(D91,Table12[[Name]:[Native]],3,FALSE)</f>
        <v>离石区</v>
      </c>
      <c r="G91" s="12" t="str">
        <f ca="1">VLOOKUP(F91,Table12[[Native]:[Population4]],5,FALSE)</f>
        <v>吕梁市</v>
      </c>
    </row>
    <row r="92" spans="1:7" ht="15.75" thickBot="1" x14ac:dyDescent="0.3">
      <c r="A92" t="s">
        <v>1596</v>
      </c>
      <c r="B92" s="1" t="s">
        <v>1597</v>
      </c>
      <c r="C92" s="1" t="s">
        <v>7</v>
      </c>
      <c r="D92" s="1" t="s">
        <v>1456</v>
      </c>
      <c r="E92" s="9">
        <v>20875</v>
      </c>
      <c r="F92" s="1" t="str">
        <f>VLOOKUP(D92,Table12[[Name]:[Native]],3,FALSE)</f>
        <v>岚县</v>
      </c>
      <c r="G92" s="12" t="str">
        <f ca="1">VLOOKUP(F92,Table12[[Native]:[Population4]],5,FALSE)</f>
        <v>吕梁市</v>
      </c>
    </row>
    <row r="93" spans="1:7" ht="15.75" thickBot="1" x14ac:dyDescent="0.3">
      <c r="A93" t="s">
        <v>1598</v>
      </c>
      <c r="B93" s="1" t="s">
        <v>1599</v>
      </c>
      <c r="C93" s="1" t="s">
        <v>7</v>
      </c>
      <c r="D93" s="1" t="s">
        <v>1411</v>
      </c>
      <c r="E93" s="9">
        <v>30009</v>
      </c>
      <c r="F93" s="1" t="str">
        <f>VLOOKUP(D93,Table12[[Name]:[Native]],3,FALSE)</f>
        <v>临县</v>
      </c>
      <c r="G93" s="12" t="str">
        <f ca="1">VLOOKUP(F93,Table12[[Native]:[Population4]],5,FALSE)</f>
        <v>吕梁市</v>
      </c>
    </row>
    <row r="94" spans="1:7" ht="15.75" thickBot="1" x14ac:dyDescent="0.3">
      <c r="A94" t="s">
        <v>1600</v>
      </c>
      <c r="B94" s="1" t="s">
        <v>1601</v>
      </c>
      <c r="C94" s="1" t="s">
        <v>17</v>
      </c>
      <c r="D94" s="1" t="s">
        <v>1411</v>
      </c>
      <c r="E94" s="9">
        <v>15175</v>
      </c>
      <c r="F94" s="1" t="str">
        <f>VLOOKUP(D94,Table12[[Name]:[Native]],3,FALSE)</f>
        <v>临县</v>
      </c>
      <c r="G94" s="12" t="str">
        <f ca="1">VLOOKUP(F94,Table12[[Native]:[Population4]],5,FALSE)</f>
        <v>吕梁市</v>
      </c>
    </row>
    <row r="95" spans="1:7" ht="15.75" thickBot="1" x14ac:dyDescent="0.3">
      <c r="A95" t="s">
        <v>1602</v>
      </c>
      <c r="B95" s="1" t="s">
        <v>1603</v>
      </c>
      <c r="C95" s="1" t="s">
        <v>7</v>
      </c>
      <c r="D95" s="1" t="s">
        <v>1411</v>
      </c>
      <c r="E95" s="9">
        <v>26119</v>
      </c>
      <c r="F95" s="1" t="str">
        <f>VLOOKUP(D95,Table12[[Name]:[Native]],3,FALSE)</f>
        <v>临县</v>
      </c>
      <c r="G95" s="12" t="str">
        <f ca="1">VLOOKUP(F95,Table12[[Native]:[Population4]],5,FALSE)</f>
        <v>吕梁市</v>
      </c>
    </row>
    <row r="96" spans="1:7" ht="15.75" thickBot="1" x14ac:dyDescent="0.3">
      <c r="A96" t="s">
        <v>1604</v>
      </c>
      <c r="B96" s="1" t="s">
        <v>1605</v>
      </c>
      <c r="C96" s="1" t="s">
        <v>7</v>
      </c>
      <c r="D96" s="1" t="s">
        <v>1411</v>
      </c>
      <c r="E96" s="9">
        <v>51252</v>
      </c>
      <c r="F96" s="1" t="str">
        <f>VLOOKUP(D96,Table12[[Name]:[Native]],3,FALSE)</f>
        <v>临县</v>
      </c>
      <c r="G96" s="12" t="str">
        <f ca="1">VLOOKUP(F96,Table12[[Native]:[Population4]],5,FALSE)</f>
        <v>吕梁市</v>
      </c>
    </row>
    <row r="97" spans="1:7" ht="15.75" thickBot="1" x14ac:dyDescent="0.3">
      <c r="A97" t="s">
        <v>1604</v>
      </c>
      <c r="B97" s="1" t="s">
        <v>1605</v>
      </c>
      <c r="C97" s="1" t="s">
        <v>7</v>
      </c>
      <c r="D97" s="1" t="s">
        <v>1444</v>
      </c>
      <c r="E97" s="9">
        <v>11972</v>
      </c>
      <c r="F97" s="1" t="str">
        <f>VLOOKUP(D97,Table12[[Name]:[Native]],3,FALSE)</f>
        <v>柳林县</v>
      </c>
      <c r="G97" s="12" t="str">
        <f ca="1">VLOOKUP(F97,Table12[[Native]:[Population4]],5,FALSE)</f>
        <v>吕梁市</v>
      </c>
    </row>
    <row r="98" spans="1:7" ht="15.75" thickBot="1" x14ac:dyDescent="0.3">
      <c r="A98" t="s">
        <v>1606</v>
      </c>
      <c r="B98" s="1" t="s">
        <v>1607</v>
      </c>
      <c r="C98" s="1" t="s">
        <v>7</v>
      </c>
      <c r="D98" s="1" t="s">
        <v>1507</v>
      </c>
      <c r="E98" s="9">
        <v>32948</v>
      </c>
      <c r="F98" s="1" t="str">
        <f>VLOOKUP(D98,Table12[[Name]:[Native]],3,FALSE)</f>
        <v>汾阳市</v>
      </c>
      <c r="G98" s="12" t="str">
        <f ca="1">VLOOKUP(F98,Table12[[Native]:[Population4]],5,FALSE)</f>
        <v>吕梁市</v>
      </c>
    </row>
    <row r="99" spans="1:7" ht="15.75" thickBot="1" x14ac:dyDescent="0.3">
      <c r="A99" t="s">
        <v>1608</v>
      </c>
      <c r="B99" s="1" t="s">
        <v>1609</v>
      </c>
      <c r="C99" s="1" t="s">
        <v>17</v>
      </c>
      <c r="D99" s="1" t="s">
        <v>1456</v>
      </c>
      <c r="E99" s="9">
        <v>13705</v>
      </c>
      <c r="F99" s="1" t="str">
        <f>VLOOKUP(D99,Table12[[Name]:[Native]],3,FALSE)</f>
        <v>岚县</v>
      </c>
      <c r="G99" s="12" t="str">
        <f ca="1">VLOOKUP(F99,Table12[[Native]:[Population4]],5,FALSE)</f>
        <v>吕梁市</v>
      </c>
    </row>
    <row r="100" spans="1:7" ht="15.75" thickBot="1" x14ac:dyDescent="0.3">
      <c r="A100" t="s">
        <v>1610</v>
      </c>
      <c r="B100" s="1" t="s">
        <v>1611</v>
      </c>
      <c r="C100" s="1" t="s">
        <v>17</v>
      </c>
      <c r="D100" s="1" t="s">
        <v>1456</v>
      </c>
      <c r="E100" s="9">
        <v>15528</v>
      </c>
      <c r="F100" s="1" t="str">
        <f>VLOOKUP(D100,Table12[[Name]:[Native]],3,FALSE)</f>
        <v>岚县</v>
      </c>
      <c r="G100" s="12" t="str">
        <f ca="1">VLOOKUP(F100,Table12[[Native]:[Population4]],5,FALSE)</f>
        <v>吕梁市</v>
      </c>
    </row>
    <row r="101" spans="1:7" ht="15.75" thickBot="1" x14ac:dyDescent="0.3">
      <c r="A101" t="s">
        <v>1612</v>
      </c>
      <c r="B101" s="1" t="s">
        <v>1613</v>
      </c>
      <c r="C101" s="1" t="s">
        <v>31</v>
      </c>
      <c r="D101" s="1" t="s">
        <v>1451</v>
      </c>
      <c r="E101" s="9">
        <v>10198</v>
      </c>
      <c r="F101" s="1" t="str">
        <f>VLOOKUP(D101,Table12[[Name]:[Native]],3,FALSE)</f>
        <v>孝义市</v>
      </c>
      <c r="G101" s="12" t="str">
        <f ca="1">VLOOKUP(F101,Table12[[Native]:[Population4]],5,FALSE)</f>
        <v>吕梁市</v>
      </c>
    </row>
    <row r="102" spans="1:7" ht="15.75" thickBot="1" x14ac:dyDescent="0.3">
      <c r="A102" t="s">
        <v>1614</v>
      </c>
      <c r="B102" s="1" t="s">
        <v>1615</v>
      </c>
      <c r="C102" s="1" t="s">
        <v>17</v>
      </c>
      <c r="D102" s="1" t="s">
        <v>1411</v>
      </c>
      <c r="E102" s="9">
        <v>19765</v>
      </c>
      <c r="F102" s="1" t="str">
        <f>VLOOKUP(D102,Table12[[Name]:[Native]],3,FALSE)</f>
        <v>临县</v>
      </c>
      <c r="G102" s="12" t="str">
        <f ca="1">VLOOKUP(F102,Table12[[Native]:[Population4]],5,FALSE)</f>
        <v>吕梁市</v>
      </c>
    </row>
    <row r="103" spans="1:7" ht="15.75" thickBot="1" x14ac:dyDescent="0.3">
      <c r="A103" t="s">
        <v>1616</v>
      </c>
      <c r="B103" s="1" t="s">
        <v>1617</v>
      </c>
      <c r="C103" s="1" t="s">
        <v>17</v>
      </c>
      <c r="D103" s="1" t="s">
        <v>1502</v>
      </c>
      <c r="E103" s="9">
        <v>12874</v>
      </c>
      <c r="F103" s="1" t="str">
        <f>VLOOKUP(D103,Table12[[Name]:[Native]],3,FALSE)</f>
        <v>交口县</v>
      </c>
      <c r="G103" s="12" t="str">
        <f ca="1">VLOOKUP(F103,Table12[[Native]:[Population4]],5,FALSE)</f>
        <v>吕梁市</v>
      </c>
    </row>
    <row r="104" spans="1:7" ht="15.75" thickBot="1" x14ac:dyDescent="0.3">
      <c r="A104" t="s">
        <v>1618</v>
      </c>
      <c r="B104" s="1" t="s">
        <v>1619</v>
      </c>
      <c r="C104" s="1" t="s">
        <v>17</v>
      </c>
      <c r="D104" s="1" t="s">
        <v>1444</v>
      </c>
      <c r="E104" s="9">
        <v>8728</v>
      </c>
      <c r="F104" s="1" t="str">
        <f>VLOOKUP(D104,Table12[[Name]:[Native]],3,FALSE)</f>
        <v>柳林县</v>
      </c>
      <c r="G104" s="12" t="str">
        <f ca="1">VLOOKUP(F104,Table12[[Native]:[Population4]],5,FALSE)</f>
        <v>吕梁市</v>
      </c>
    </row>
    <row r="105" spans="1:7" ht="15.75" thickBot="1" x14ac:dyDescent="0.3">
      <c r="A105" t="s">
        <v>1620</v>
      </c>
      <c r="B105" s="1" t="s">
        <v>1621</v>
      </c>
      <c r="C105" s="1" t="s">
        <v>7</v>
      </c>
      <c r="D105" s="1" t="s">
        <v>1507</v>
      </c>
      <c r="E105" s="9">
        <v>8785</v>
      </c>
      <c r="F105" s="1" t="str">
        <f>VLOOKUP(D105,Table12[[Name]:[Native]],3,FALSE)</f>
        <v>汾阳市</v>
      </c>
      <c r="G105" s="12" t="str">
        <f ca="1">VLOOKUP(F105,Table12[[Native]:[Population4]],5,FALSE)</f>
        <v>吕梁市</v>
      </c>
    </row>
    <row r="106" spans="1:7" ht="15.75" thickBot="1" x14ac:dyDescent="0.3">
      <c r="A106" t="s">
        <v>1622</v>
      </c>
      <c r="B106" s="1" t="s">
        <v>1623</v>
      </c>
      <c r="C106" s="1" t="s">
        <v>7</v>
      </c>
      <c r="D106" s="1" t="s">
        <v>1502</v>
      </c>
      <c r="E106" s="9">
        <v>22926</v>
      </c>
      <c r="F106" s="1" t="str">
        <f>VLOOKUP(D106,Table12[[Name]:[Native]],3,FALSE)</f>
        <v>交口县</v>
      </c>
      <c r="G106" s="12" t="str">
        <f ca="1">VLOOKUP(F106,Table12[[Native]:[Population4]],5,FALSE)</f>
        <v>吕梁市</v>
      </c>
    </row>
    <row r="107" spans="1:7" ht="15.75" thickBot="1" x14ac:dyDescent="0.3">
      <c r="A107" t="s">
        <v>1624</v>
      </c>
      <c r="B107" s="1" t="s">
        <v>1625</v>
      </c>
      <c r="C107" s="1" t="s">
        <v>7</v>
      </c>
      <c r="D107" s="1" t="s">
        <v>1502</v>
      </c>
      <c r="E107" s="9">
        <v>29755</v>
      </c>
      <c r="F107" s="1" t="str">
        <f>VLOOKUP(D107,Table12[[Name]:[Native]],3,FALSE)</f>
        <v>交口县</v>
      </c>
      <c r="G107" s="12" t="str">
        <f ca="1">VLOOKUP(F107,Table12[[Native]:[Population4]],5,FALSE)</f>
        <v>吕梁市</v>
      </c>
    </row>
    <row r="108" spans="1:7" ht="15.75" thickBot="1" x14ac:dyDescent="0.3">
      <c r="A108" t="s">
        <v>1626</v>
      </c>
      <c r="B108" s="1" t="s">
        <v>1627</v>
      </c>
      <c r="C108" s="1" t="s">
        <v>7</v>
      </c>
      <c r="D108" s="1" t="s">
        <v>1469</v>
      </c>
      <c r="E108" s="9">
        <v>13292</v>
      </c>
      <c r="F108" s="1" t="str">
        <f>VLOOKUP(D108,Table12[[Name]:[Native]],3,FALSE)</f>
        <v>交城县</v>
      </c>
      <c r="G108" s="12" t="str">
        <f ca="1">VLOOKUP(F108,Table12[[Native]:[Population4]],5,FALSE)</f>
        <v>吕梁市</v>
      </c>
    </row>
    <row r="109" spans="1:7" ht="15.75" thickBot="1" x14ac:dyDescent="0.3">
      <c r="A109" t="s">
        <v>1628</v>
      </c>
      <c r="B109" s="1" t="s">
        <v>1629</v>
      </c>
      <c r="C109" s="1" t="s">
        <v>17</v>
      </c>
      <c r="D109" s="1" t="s">
        <v>1456</v>
      </c>
      <c r="E109" s="9">
        <v>8437</v>
      </c>
      <c r="F109" s="1" t="str">
        <f>VLOOKUP(D109,Table12[[Name]:[Native]],3,FALSE)</f>
        <v>岚县</v>
      </c>
      <c r="G109" s="12" t="str">
        <f ca="1">VLOOKUP(F109,Table12[[Native]:[Population4]],5,FALSE)</f>
        <v>吕梁市</v>
      </c>
    </row>
    <row r="110" spans="1:7" ht="15.75" thickBot="1" x14ac:dyDescent="0.3">
      <c r="A110" t="s">
        <v>1630</v>
      </c>
      <c r="B110" s="1" t="s">
        <v>1631</v>
      </c>
      <c r="C110" s="1" t="s">
        <v>31</v>
      </c>
      <c r="D110" s="1" t="s">
        <v>1507</v>
      </c>
      <c r="E110" s="9">
        <v>39867</v>
      </c>
      <c r="F110" s="1" t="str">
        <f>VLOOKUP(D110,Table12[[Name]:[Native]],3,FALSE)</f>
        <v>汾阳市</v>
      </c>
      <c r="G110" s="12" t="str">
        <f ca="1">VLOOKUP(F110,Table12[[Native]:[Population4]],5,FALSE)</f>
        <v>吕梁市</v>
      </c>
    </row>
    <row r="111" spans="1:7" ht="15.75" thickBot="1" x14ac:dyDescent="0.3">
      <c r="A111" t="s">
        <v>1632</v>
      </c>
      <c r="B111" s="1" t="s">
        <v>1633</v>
      </c>
      <c r="C111" s="1" t="s">
        <v>7</v>
      </c>
      <c r="D111" s="1" t="s">
        <v>1502</v>
      </c>
      <c r="E111" s="9">
        <v>16378</v>
      </c>
      <c r="F111" s="1" t="str">
        <f>VLOOKUP(D111,Table12[[Name]:[Native]],3,FALSE)</f>
        <v>交口县</v>
      </c>
      <c r="G111" s="12" t="str">
        <f ca="1">VLOOKUP(F111,Table12[[Native]:[Population4]],5,FALSE)</f>
        <v>吕梁市</v>
      </c>
    </row>
    <row r="112" spans="1:7" ht="15.75" thickBot="1" x14ac:dyDescent="0.3">
      <c r="A112" t="s">
        <v>1634</v>
      </c>
      <c r="B112" s="1" t="s">
        <v>1635</v>
      </c>
      <c r="C112" s="1" t="s">
        <v>31</v>
      </c>
      <c r="D112" s="1" t="s">
        <v>1427</v>
      </c>
      <c r="E112" s="9">
        <v>14904</v>
      </c>
      <c r="F112" s="1" t="str">
        <f>VLOOKUP(D112,Table12[[Name]:[Native]],3,FALSE)</f>
        <v>离石区</v>
      </c>
      <c r="G112" s="12" t="str">
        <f ca="1">VLOOKUP(F112,Table12[[Native]:[Population4]],5,FALSE)</f>
        <v>吕梁市</v>
      </c>
    </row>
    <row r="113" spans="1:7" ht="15.75" thickBot="1" x14ac:dyDescent="0.3">
      <c r="A113" t="s">
        <v>1636</v>
      </c>
      <c r="B113" s="1" t="s">
        <v>1637</v>
      </c>
      <c r="C113" s="1" t="s">
        <v>7</v>
      </c>
      <c r="D113" s="1" t="s">
        <v>1469</v>
      </c>
      <c r="E113" s="9">
        <v>100523</v>
      </c>
      <c r="F113" s="1" t="str">
        <f>VLOOKUP(D113,Table12[[Name]:[Native]],3,FALSE)</f>
        <v>交城县</v>
      </c>
      <c r="G113" s="12" t="str">
        <f ca="1">VLOOKUP(F113,Table12[[Native]:[Population4]],5,FALSE)</f>
        <v>吕梁市</v>
      </c>
    </row>
    <row r="114" spans="1:7" ht="15.75" thickBot="1" x14ac:dyDescent="0.3">
      <c r="A114" t="s">
        <v>1638</v>
      </c>
      <c r="B114" s="1" t="s">
        <v>1639</v>
      </c>
      <c r="C114" s="1" t="s">
        <v>7</v>
      </c>
      <c r="D114" s="1" t="s">
        <v>1411</v>
      </c>
      <c r="E114" s="9">
        <v>16687</v>
      </c>
      <c r="F114" s="1" t="str">
        <f>VLOOKUP(D114,Table12[[Name]:[Native]],3,FALSE)</f>
        <v>临县</v>
      </c>
      <c r="G114" s="12" t="str">
        <f ca="1">VLOOKUP(F114,Table12[[Native]:[Population4]],5,FALSE)</f>
        <v>吕梁市</v>
      </c>
    </row>
    <row r="115" spans="1:7" ht="15.75" thickBot="1" x14ac:dyDescent="0.3">
      <c r="A115" t="s">
        <v>1640</v>
      </c>
      <c r="B115" s="1" t="s">
        <v>1641</v>
      </c>
      <c r="C115" s="1" t="s">
        <v>7</v>
      </c>
      <c r="D115" s="1" t="s">
        <v>1411</v>
      </c>
      <c r="E115" s="9">
        <v>21710</v>
      </c>
      <c r="F115" s="1" t="str">
        <f>VLOOKUP(D115,Table12[[Name]:[Native]],3,FALSE)</f>
        <v>临县</v>
      </c>
      <c r="G115" s="12" t="str">
        <f ca="1">VLOOKUP(F115,Table12[[Native]:[Population4]],5,FALSE)</f>
        <v>吕梁市</v>
      </c>
    </row>
    <row r="116" spans="1:7" ht="15.75" thickBot="1" x14ac:dyDescent="0.3">
      <c r="A116" t="s">
        <v>1642</v>
      </c>
      <c r="B116" s="1" t="s">
        <v>1643</v>
      </c>
      <c r="C116" s="1" t="s">
        <v>17</v>
      </c>
      <c r="D116" s="1" t="s">
        <v>1456</v>
      </c>
      <c r="E116" s="9">
        <v>5486</v>
      </c>
      <c r="F116" s="1" t="str">
        <f>VLOOKUP(D116,Table12[[Name]:[Native]],3,FALSE)</f>
        <v>岚县</v>
      </c>
      <c r="G116" s="12" t="str">
        <f ca="1">VLOOKUP(F116,Table12[[Native]:[Population4]],5,FALSE)</f>
        <v>吕梁市</v>
      </c>
    </row>
    <row r="117" spans="1:7" ht="15.75" thickBot="1" x14ac:dyDescent="0.3">
      <c r="A117" t="s">
        <v>1644</v>
      </c>
      <c r="B117" s="1" t="s">
        <v>1645</v>
      </c>
      <c r="C117" s="1" t="s">
        <v>17</v>
      </c>
      <c r="D117" s="1" t="s">
        <v>1444</v>
      </c>
      <c r="E117" s="9">
        <v>12355</v>
      </c>
      <c r="F117" s="1" t="str">
        <f>VLOOKUP(D117,Table12[[Name]:[Native]],3,FALSE)</f>
        <v>柳林县</v>
      </c>
      <c r="G117" s="12" t="str">
        <f ca="1">VLOOKUP(F117,Table12[[Native]:[Population4]],5,FALSE)</f>
        <v>吕梁市</v>
      </c>
    </row>
    <row r="118" spans="1:7" ht="15.75" thickBot="1" x14ac:dyDescent="0.3">
      <c r="A118" t="s">
        <v>1646</v>
      </c>
      <c r="B118" s="1" t="s">
        <v>1647</v>
      </c>
      <c r="C118" s="1" t="s">
        <v>17</v>
      </c>
      <c r="D118" s="1" t="s">
        <v>1456</v>
      </c>
      <c r="E118" s="9">
        <v>10127</v>
      </c>
      <c r="F118" s="1" t="str">
        <f>VLOOKUP(D118,Table12[[Name]:[Native]],3,FALSE)</f>
        <v>岚县</v>
      </c>
      <c r="G118" s="12" t="str">
        <f ca="1">VLOOKUP(F118,Table12[[Native]:[Population4]],5,FALSE)</f>
        <v>吕梁市</v>
      </c>
    </row>
    <row r="119" spans="1:7" ht="15.75" thickBot="1" x14ac:dyDescent="0.3">
      <c r="A119" t="s">
        <v>1648</v>
      </c>
      <c r="B119" s="1" t="s">
        <v>1649</v>
      </c>
      <c r="C119" s="1" t="s">
        <v>7</v>
      </c>
      <c r="D119" s="1" t="s">
        <v>1416</v>
      </c>
      <c r="E119" s="9">
        <v>15840</v>
      </c>
      <c r="F119" s="1" t="str">
        <f>VLOOKUP(D119,Table12[[Name]:[Native]],3,FALSE)</f>
        <v>兴县</v>
      </c>
      <c r="G119" s="12" t="str">
        <f ca="1">VLOOKUP(F119,Table12[[Native]:[Population4]],5,FALSE)</f>
        <v>吕梁市</v>
      </c>
    </row>
    <row r="120" spans="1:7" ht="15.75" thickBot="1" x14ac:dyDescent="0.3">
      <c r="A120" t="s">
        <v>1650</v>
      </c>
      <c r="B120" s="1" t="s">
        <v>1651</v>
      </c>
      <c r="C120" s="1" t="s">
        <v>7</v>
      </c>
      <c r="D120" s="1" t="s">
        <v>1416</v>
      </c>
      <c r="E120" s="9">
        <v>23079</v>
      </c>
      <c r="F120" s="1" t="str">
        <f>VLOOKUP(D120,Table12[[Name]:[Native]],3,FALSE)</f>
        <v>兴县</v>
      </c>
      <c r="G120" s="12" t="str">
        <f ca="1">VLOOKUP(F120,Table12[[Native]:[Population4]],5,FALSE)</f>
        <v>吕梁市</v>
      </c>
    </row>
    <row r="121" spans="1:7" ht="15.75" thickBot="1" x14ac:dyDescent="0.3">
      <c r="A121" t="s">
        <v>1652</v>
      </c>
      <c r="B121" s="1" t="s">
        <v>1653</v>
      </c>
      <c r="C121" s="1" t="s">
        <v>31</v>
      </c>
      <c r="D121" s="1" t="s">
        <v>1507</v>
      </c>
      <c r="E121" s="9">
        <v>37970</v>
      </c>
      <c r="F121" s="1" t="str">
        <f>VLOOKUP(D121,Table12[[Name]:[Native]],3,FALSE)</f>
        <v>汾阳市</v>
      </c>
      <c r="G121" s="12" t="str">
        <f ca="1">VLOOKUP(F121,Table12[[Native]:[Population4]],5,FALSE)</f>
        <v>吕梁市</v>
      </c>
    </row>
    <row r="122" spans="1:7" ht="15.75" thickBot="1" x14ac:dyDescent="0.3">
      <c r="A122" t="s">
        <v>1654</v>
      </c>
      <c r="B122" s="1" t="s">
        <v>1655</v>
      </c>
      <c r="C122" s="1" t="s">
        <v>17</v>
      </c>
      <c r="D122" s="1" t="s">
        <v>1502</v>
      </c>
      <c r="E122" s="9">
        <v>9535</v>
      </c>
      <c r="F122" s="1" t="str">
        <f>VLOOKUP(D122,Table12[[Name]:[Native]],3,FALSE)</f>
        <v>交口县</v>
      </c>
      <c r="G122" s="12" t="str">
        <f ca="1">VLOOKUP(F122,Table12[[Native]:[Population4]],5,FALSE)</f>
        <v>吕梁市</v>
      </c>
    </row>
    <row r="123" spans="1:7" ht="15.75" thickBot="1" x14ac:dyDescent="0.3">
      <c r="A123" t="s">
        <v>1656</v>
      </c>
      <c r="B123" s="1" t="s">
        <v>1657</v>
      </c>
      <c r="C123" s="1" t="s">
        <v>7</v>
      </c>
      <c r="D123" s="1" t="s">
        <v>1427</v>
      </c>
      <c r="E123" s="9">
        <v>9158</v>
      </c>
      <c r="F123" s="1" t="str">
        <f>VLOOKUP(D123,Table12[[Name]:[Native]],3,FALSE)</f>
        <v>离石区</v>
      </c>
      <c r="G123" s="12" t="str">
        <f ca="1">VLOOKUP(F123,Table12[[Native]:[Population4]],5,FALSE)</f>
        <v>吕梁市</v>
      </c>
    </row>
    <row r="124" spans="1:7" ht="15.75" thickBot="1" x14ac:dyDescent="0.3">
      <c r="A124" t="s">
        <v>1658</v>
      </c>
      <c r="B124" s="1" t="s">
        <v>1659</v>
      </c>
      <c r="C124" s="1" t="s">
        <v>7</v>
      </c>
      <c r="D124" s="1" t="s">
        <v>1439</v>
      </c>
      <c r="E124" s="9">
        <v>7585</v>
      </c>
      <c r="F124" s="1" t="str">
        <f>VLOOKUP(D124,Table12[[Name]:[Native]],3,FALSE)</f>
        <v>中阳县</v>
      </c>
      <c r="G124" s="12" t="str">
        <f ca="1">VLOOKUP(F124,Table12[[Native]:[Population4]],5,FALSE)</f>
        <v>吕梁市</v>
      </c>
    </row>
    <row r="125" spans="1:7" ht="15.75" thickBot="1" x14ac:dyDescent="0.3">
      <c r="A125" t="s">
        <v>1660</v>
      </c>
      <c r="B125" s="1" t="s">
        <v>1661</v>
      </c>
      <c r="C125" s="1" t="s">
        <v>7</v>
      </c>
      <c r="D125" s="1" t="s">
        <v>1451</v>
      </c>
      <c r="E125" s="9">
        <v>26766</v>
      </c>
      <c r="F125" s="1" t="str">
        <f>VLOOKUP(D125,Table12[[Name]:[Native]],3,FALSE)</f>
        <v>孝义市</v>
      </c>
      <c r="G125" s="12" t="str">
        <f ca="1">VLOOKUP(F125,Table12[[Native]:[Population4]],5,FALSE)</f>
        <v>吕梁市</v>
      </c>
    </row>
    <row r="126" spans="1:7" ht="15.75" thickBot="1" x14ac:dyDescent="0.3">
      <c r="A126" t="s">
        <v>1662</v>
      </c>
      <c r="B126" s="1" t="s">
        <v>1663</v>
      </c>
      <c r="C126" s="1" t="s">
        <v>7</v>
      </c>
      <c r="D126" s="1" t="s">
        <v>1451</v>
      </c>
      <c r="E126" s="9">
        <v>18119</v>
      </c>
      <c r="F126" s="1" t="str">
        <f>VLOOKUP(D126,Table12[[Name]:[Native]],3,FALSE)</f>
        <v>孝义市</v>
      </c>
      <c r="G126" s="12" t="str">
        <f ca="1">VLOOKUP(F126,Table12[[Native]:[Population4]],5,FALSE)</f>
        <v>吕梁市</v>
      </c>
    </row>
    <row r="127" spans="1:7" ht="15.75" thickBot="1" x14ac:dyDescent="0.3">
      <c r="A127" t="s">
        <v>1664</v>
      </c>
      <c r="B127" s="1" t="s">
        <v>1665</v>
      </c>
      <c r="C127" s="1" t="s">
        <v>7</v>
      </c>
      <c r="D127" s="1" t="s">
        <v>1469</v>
      </c>
      <c r="E127" s="9">
        <v>36525</v>
      </c>
      <c r="F127" s="1" t="str">
        <f>VLOOKUP(D127,Table12[[Name]:[Native]],3,FALSE)</f>
        <v>交城县</v>
      </c>
      <c r="G127" s="12" t="str">
        <f ca="1">VLOOKUP(F127,Table12[[Native]:[Population4]],5,FALSE)</f>
        <v>吕梁市</v>
      </c>
    </row>
    <row r="128" spans="1:7" ht="15.75" thickBot="1" x14ac:dyDescent="0.3">
      <c r="A128" t="s">
        <v>1666</v>
      </c>
      <c r="B128" s="1" t="s">
        <v>1667</v>
      </c>
      <c r="C128" s="1" t="s">
        <v>7</v>
      </c>
      <c r="D128" s="1" t="s">
        <v>1507</v>
      </c>
      <c r="E128" s="9">
        <v>32757</v>
      </c>
      <c r="F128" s="1" t="str">
        <f>VLOOKUP(D128,Table12[[Name]:[Native]],3,FALSE)</f>
        <v>汾阳市</v>
      </c>
      <c r="G128" s="12" t="str">
        <f ca="1">VLOOKUP(F128,Table12[[Native]:[Population4]],5,FALSE)</f>
        <v>吕梁市</v>
      </c>
    </row>
    <row r="129" spans="1:7" ht="15.75" thickBot="1" x14ac:dyDescent="0.3">
      <c r="A129" t="s">
        <v>1668</v>
      </c>
      <c r="B129" s="1" t="s">
        <v>1669</v>
      </c>
      <c r="C129" s="1" t="s">
        <v>7</v>
      </c>
      <c r="D129" s="1" t="s">
        <v>1434</v>
      </c>
      <c r="E129" s="9">
        <v>9310</v>
      </c>
      <c r="F129" s="1" t="str">
        <f>VLOOKUP(D129,Table12[[Name]:[Native]],3,FALSE)</f>
        <v>石楼县</v>
      </c>
      <c r="G129" s="12" t="str">
        <f ca="1">VLOOKUP(F129,Table12[[Native]:[Population4]],5,FALSE)</f>
        <v>吕梁市</v>
      </c>
    </row>
    <row r="130" spans="1:7" ht="15.75" thickBot="1" x14ac:dyDescent="0.3">
      <c r="A130" t="s">
        <v>1670</v>
      </c>
      <c r="B130" s="1" t="s">
        <v>1671</v>
      </c>
      <c r="C130" s="1" t="s">
        <v>7</v>
      </c>
      <c r="D130" s="1" t="s">
        <v>1426</v>
      </c>
      <c r="E130" s="9">
        <v>27981</v>
      </c>
      <c r="F130" s="1" t="str">
        <f>VLOOKUP(D130,Table12[[Name]:[Native]],3,FALSE)</f>
        <v>文水县</v>
      </c>
      <c r="G130" s="12" t="str">
        <f ca="1">VLOOKUP(F130,Table12[[Native]:[Population4]],5,FALSE)</f>
        <v>吕梁市</v>
      </c>
    </row>
    <row r="131" spans="1:7" ht="15.75" thickBot="1" x14ac:dyDescent="0.3">
      <c r="A131" t="s">
        <v>1672</v>
      </c>
      <c r="B131" s="1" t="s">
        <v>1673</v>
      </c>
      <c r="C131" s="1" t="s">
        <v>7</v>
      </c>
      <c r="D131" s="1" t="s">
        <v>1426</v>
      </c>
      <c r="E131" s="9">
        <v>39332</v>
      </c>
      <c r="F131" s="1" t="str">
        <f>VLOOKUP(D131,Table12[[Name]:[Native]],3,FALSE)</f>
        <v>文水县</v>
      </c>
      <c r="G131" s="12" t="str">
        <f ca="1">VLOOKUP(F131,Table12[[Native]:[Population4]],5,FALSE)</f>
        <v>吕梁市</v>
      </c>
    </row>
    <row r="132" spans="1:7" ht="15.75" thickBot="1" x14ac:dyDescent="0.3">
      <c r="A132" t="s">
        <v>1674</v>
      </c>
      <c r="B132" s="1" t="s">
        <v>1675</v>
      </c>
      <c r="C132" s="1" t="s">
        <v>17</v>
      </c>
      <c r="D132" s="1" t="s">
        <v>1439</v>
      </c>
      <c r="E132" s="9">
        <v>8047</v>
      </c>
      <c r="F132" s="1" t="str">
        <f>VLOOKUP(D132,Table12[[Name]:[Native]],3,FALSE)</f>
        <v>中阳县</v>
      </c>
      <c r="G132" s="12" t="str">
        <f ca="1">VLOOKUP(F132,Table12[[Native]:[Population4]],5,FALSE)</f>
        <v>吕梁市</v>
      </c>
    </row>
    <row r="133" spans="1:7" ht="15.75" thickBot="1" x14ac:dyDescent="0.3">
      <c r="A133" t="s">
        <v>1676</v>
      </c>
      <c r="B133" s="1" t="s">
        <v>1677</v>
      </c>
      <c r="C133" s="1" t="s">
        <v>17</v>
      </c>
      <c r="D133" s="1" t="s">
        <v>1451</v>
      </c>
      <c r="E133" s="9">
        <v>15037</v>
      </c>
      <c r="F133" s="1" t="str">
        <f>VLOOKUP(D133,Table12[[Name]:[Native]],3,FALSE)</f>
        <v>孝义市</v>
      </c>
      <c r="G133" s="12" t="str">
        <f ca="1">VLOOKUP(F133,Table12[[Native]:[Population4]],5,FALSE)</f>
        <v>吕梁市</v>
      </c>
    </row>
    <row r="134" spans="1:7" ht="15.75" thickBot="1" x14ac:dyDescent="0.3">
      <c r="A134" t="s">
        <v>1678</v>
      </c>
      <c r="B134" s="1" t="s">
        <v>1679</v>
      </c>
      <c r="C134" s="1" t="s">
        <v>17</v>
      </c>
      <c r="D134" s="1" t="s">
        <v>1426</v>
      </c>
      <c r="E134" s="9">
        <v>15990</v>
      </c>
      <c r="F134" s="1" t="str">
        <f>VLOOKUP(D134,Table12[[Name]:[Native]],3,FALSE)</f>
        <v>文水县</v>
      </c>
      <c r="G134" s="12" t="str">
        <f ca="1">VLOOKUP(F134,Table12[[Native]:[Population4]],5,FALSE)</f>
        <v>吕梁市</v>
      </c>
    </row>
    <row r="135" spans="1:7" ht="15.75" thickBot="1" x14ac:dyDescent="0.3">
      <c r="A135" t="s">
        <v>1680</v>
      </c>
      <c r="B135" s="1" t="s">
        <v>1681</v>
      </c>
      <c r="C135" s="1" t="s">
        <v>17</v>
      </c>
      <c r="D135" s="1" t="s">
        <v>1426</v>
      </c>
      <c r="E135" s="9">
        <v>25475</v>
      </c>
      <c r="F135" s="1" t="str">
        <f>VLOOKUP(D135,Table12[[Name]:[Native]],3,FALSE)</f>
        <v>文水县</v>
      </c>
      <c r="G135" s="12" t="str">
        <f ca="1">VLOOKUP(F135,Table12[[Native]:[Population4]],5,FALSE)</f>
        <v>吕梁市</v>
      </c>
    </row>
    <row r="136" spans="1:7" ht="15.75" thickBot="1" x14ac:dyDescent="0.3">
      <c r="A136" t="s">
        <v>757</v>
      </c>
      <c r="B136" s="1" t="s">
        <v>758</v>
      </c>
      <c r="C136" s="1" t="s">
        <v>17</v>
      </c>
      <c r="D136" s="1" t="s">
        <v>1507</v>
      </c>
      <c r="E136" s="9">
        <v>35057</v>
      </c>
      <c r="F136" s="1" t="str">
        <f>VLOOKUP(D136,Table12[[Name]:[Native]],3,FALSE)</f>
        <v>汾阳市</v>
      </c>
      <c r="G136" s="12" t="str">
        <f ca="1">VLOOKUP(F136,Table12[[Native]:[Population4]],5,FALSE)</f>
        <v>吕梁市</v>
      </c>
    </row>
    <row r="137" spans="1:7" ht="15.75" thickBot="1" x14ac:dyDescent="0.3">
      <c r="A137" t="s">
        <v>1682</v>
      </c>
      <c r="B137" s="1" t="s">
        <v>1683</v>
      </c>
      <c r="C137" s="1" t="s">
        <v>7</v>
      </c>
      <c r="D137" s="1" t="s">
        <v>1507</v>
      </c>
      <c r="E137" s="9">
        <v>30546</v>
      </c>
      <c r="F137" s="1" t="str">
        <f>VLOOKUP(D137,Table12[[Name]:[Native]],3,FALSE)</f>
        <v>汾阳市</v>
      </c>
      <c r="G137" s="12" t="str">
        <f ca="1">VLOOKUP(F137,Table12[[Native]:[Population4]],5,FALSE)</f>
        <v>吕梁市</v>
      </c>
    </row>
    <row r="138" spans="1:7" ht="15.75" thickBot="1" x14ac:dyDescent="0.3">
      <c r="A138" t="s">
        <v>1684</v>
      </c>
      <c r="B138" s="1" t="s">
        <v>1685</v>
      </c>
      <c r="C138" s="1" t="s">
        <v>7</v>
      </c>
      <c r="D138" s="1" t="s">
        <v>1434</v>
      </c>
      <c r="E138" s="9">
        <v>8446</v>
      </c>
      <c r="F138" s="1" t="str">
        <f>VLOOKUP(D138,Table12[[Name]:[Native]],3,FALSE)</f>
        <v>石楼县</v>
      </c>
      <c r="G138" s="12" t="str">
        <f ca="1">VLOOKUP(F138,Table12[[Native]:[Population4]],5,FALSE)</f>
        <v>吕梁市</v>
      </c>
    </row>
    <row r="139" spans="1:7" ht="15.75" thickBot="1" x14ac:dyDescent="0.3">
      <c r="A139" t="s">
        <v>1686</v>
      </c>
      <c r="B139" s="1" t="s">
        <v>1687</v>
      </c>
      <c r="C139" s="1" t="s">
        <v>31</v>
      </c>
      <c r="D139" s="1" t="s">
        <v>1451</v>
      </c>
      <c r="E139" s="9">
        <v>110545</v>
      </c>
      <c r="F139" s="1" t="str">
        <f>VLOOKUP(D139,Table12[[Name]:[Native]],3,FALSE)</f>
        <v>孝义市</v>
      </c>
      <c r="G139" s="12" t="str">
        <f ca="1">VLOOKUP(F139,Table12[[Native]:[Population4]],5,FALSE)</f>
        <v>吕梁市</v>
      </c>
    </row>
    <row r="140" spans="1:7" ht="15.75" thickBot="1" x14ac:dyDescent="0.3">
      <c r="A140" t="s">
        <v>1688</v>
      </c>
      <c r="B140" s="1" t="s">
        <v>1689</v>
      </c>
      <c r="C140" s="1" t="s">
        <v>7</v>
      </c>
      <c r="D140" s="1" t="s">
        <v>1427</v>
      </c>
      <c r="E140" s="9">
        <v>9689</v>
      </c>
      <c r="F140" s="1" t="str">
        <f>VLOOKUP(D140,Table12[[Name]:[Native]],3,FALSE)</f>
        <v>离石区</v>
      </c>
      <c r="G140" s="12" t="str">
        <f ca="1">VLOOKUP(F140,Table12[[Native]:[Population4]],5,FALSE)</f>
        <v>吕梁市</v>
      </c>
    </row>
    <row r="141" spans="1:7" ht="15.75" thickBot="1" x14ac:dyDescent="0.3">
      <c r="A141" t="s">
        <v>1690</v>
      </c>
      <c r="B141" s="1" t="s">
        <v>1691</v>
      </c>
      <c r="C141" s="1" t="s">
        <v>7</v>
      </c>
      <c r="D141" s="1" t="s">
        <v>1469</v>
      </c>
      <c r="E141" s="9">
        <v>10695</v>
      </c>
      <c r="F141" s="1" t="str">
        <f>VLOOKUP(D141,Table12[[Name]:[Native]],3,FALSE)</f>
        <v>交城县</v>
      </c>
      <c r="G141" s="12" t="str">
        <f ca="1">VLOOKUP(F141,Table12[[Native]:[Population4]],5,FALSE)</f>
        <v>吕梁市</v>
      </c>
    </row>
    <row r="142" spans="1:7" ht="15.75" thickBot="1" x14ac:dyDescent="0.3">
      <c r="A142" t="s">
        <v>1692</v>
      </c>
      <c r="B142" s="1" t="s">
        <v>1693</v>
      </c>
      <c r="C142" s="1" t="s">
        <v>31</v>
      </c>
      <c r="D142" s="1" t="s">
        <v>1427</v>
      </c>
      <c r="E142" s="9">
        <v>18383</v>
      </c>
      <c r="F142" s="1" t="str">
        <f>VLOOKUP(D142,Table12[[Name]:[Native]],3,FALSE)</f>
        <v>离石区</v>
      </c>
      <c r="G142" s="12" t="str">
        <f ca="1">VLOOKUP(F142,Table12[[Native]:[Population4]],5,FALSE)</f>
        <v>吕梁市</v>
      </c>
    </row>
    <row r="143" spans="1:7" ht="15.75" thickBot="1" x14ac:dyDescent="0.3">
      <c r="A143" t="s">
        <v>1694</v>
      </c>
      <c r="B143" s="1" t="s">
        <v>1695</v>
      </c>
      <c r="C143" s="1" t="s">
        <v>7</v>
      </c>
      <c r="D143" s="1" t="s">
        <v>1451</v>
      </c>
      <c r="E143" s="9">
        <v>16839</v>
      </c>
      <c r="F143" s="1" t="str">
        <f>VLOOKUP(D143,Table12[[Name]:[Native]],3,FALSE)</f>
        <v>孝义市</v>
      </c>
      <c r="G143" s="12" t="str">
        <f ca="1">VLOOKUP(F143,Table12[[Native]:[Population4]],5,FALSE)</f>
        <v>吕梁市</v>
      </c>
    </row>
    <row r="144" spans="1:7" ht="15.75" thickBot="1" x14ac:dyDescent="0.3">
      <c r="A144" t="s">
        <v>289</v>
      </c>
      <c r="B144" s="1" t="s">
        <v>290</v>
      </c>
      <c r="C144" s="1" t="s">
        <v>7</v>
      </c>
      <c r="D144" s="1" t="s">
        <v>1469</v>
      </c>
      <c r="E144" s="9">
        <v>28563</v>
      </c>
      <c r="F144" s="1" t="str">
        <f>VLOOKUP(D144,Table12[[Name]:[Native]],3,FALSE)</f>
        <v>交城县</v>
      </c>
      <c r="G144" s="12" t="str">
        <f ca="1">VLOOKUP(F144,Table12[[Native]:[Population4]],5,FALSE)</f>
        <v>吕梁市</v>
      </c>
    </row>
    <row r="145" spans="1:7" ht="15.75" thickBot="1" x14ac:dyDescent="0.3">
      <c r="A145" t="s">
        <v>1696</v>
      </c>
      <c r="B145" s="1" t="s">
        <v>1697</v>
      </c>
      <c r="C145" s="1" t="s">
        <v>7</v>
      </c>
      <c r="D145" s="1" t="s">
        <v>1444</v>
      </c>
      <c r="E145" s="9">
        <v>15173</v>
      </c>
      <c r="F145" s="1" t="str">
        <f>VLOOKUP(D145,Table12[[Name]:[Native]],3,FALSE)</f>
        <v>柳林县</v>
      </c>
      <c r="G145" s="12" t="str">
        <f ca="1">VLOOKUP(F145,Table12[[Native]:[Population4]],5,FALSE)</f>
        <v>吕梁市</v>
      </c>
    </row>
    <row r="146" spans="1:7" ht="15.75" thickBot="1" x14ac:dyDescent="0.3">
      <c r="A146" t="s">
        <v>1698</v>
      </c>
      <c r="B146" s="1" t="s">
        <v>1699</v>
      </c>
      <c r="C146" s="1" t="s">
        <v>17</v>
      </c>
      <c r="D146" s="1" t="s">
        <v>1507</v>
      </c>
      <c r="E146" s="9">
        <v>42592</v>
      </c>
      <c r="F146" s="1" t="str">
        <f>VLOOKUP(D146,Table12[[Name]:[Native]],3,FALSE)</f>
        <v>汾阳市</v>
      </c>
      <c r="G146" s="12" t="str">
        <f ca="1">VLOOKUP(F146,Table12[[Native]:[Population4]],5,FALSE)</f>
        <v>吕梁市</v>
      </c>
    </row>
    <row r="147" spans="1:7" ht="15.75" thickBot="1" x14ac:dyDescent="0.3">
      <c r="A147" t="s">
        <v>1700</v>
      </c>
      <c r="B147" s="1" t="s">
        <v>1701</v>
      </c>
      <c r="C147" s="1" t="s">
        <v>7</v>
      </c>
      <c r="D147" s="1" t="s">
        <v>1507</v>
      </c>
      <c r="E147" s="9">
        <v>14177</v>
      </c>
      <c r="F147" s="1" t="str">
        <f>VLOOKUP(D147,Table12[[Name]:[Native]],3,FALSE)</f>
        <v>汾阳市</v>
      </c>
      <c r="G147" s="12" t="str">
        <f ca="1">VLOOKUP(F147,Table12[[Native]:[Population4]],5,FALSE)</f>
        <v>吕梁市</v>
      </c>
    </row>
    <row r="148" spans="1:7" ht="15.75" thickBot="1" x14ac:dyDescent="0.3">
      <c r="A148" t="s">
        <v>1702</v>
      </c>
      <c r="B148" s="1" t="s">
        <v>1703</v>
      </c>
      <c r="C148" s="1" t="s">
        <v>7</v>
      </c>
      <c r="D148" s="1" t="s">
        <v>1451</v>
      </c>
      <c r="E148" s="9">
        <v>34570</v>
      </c>
      <c r="F148" s="1" t="str">
        <f>VLOOKUP(D148,Table12[[Name]:[Native]],3,FALSE)</f>
        <v>孝义市</v>
      </c>
      <c r="G148" s="12" t="str">
        <f ca="1">VLOOKUP(F148,Table12[[Native]:[Population4]],5,FALSE)</f>
        <v>吕梁市</v>
      </c>
    </row>
    <row r="149" spans="1:7" ht="15.75" thickBot="1" x14ac:dyDescent="0.3">
      <c r="A149" t="s">
        <v>1704</v>
      </c>
      <c r="B149" s="1" t="s">
        <v>1705</v>
      </c>
      <c r="C149" s="1" t="s">
        <v>7</v>
      </c>
      <c r="D149" s="1" t="s">
        <v>1507</v>
      </c>
      <c r="E149" s="9">
        <v>27352</v>
      </c>
      <c r="F149" s="1" t="str">
        <f>VLOOKUP(D149,Table12[[Name]:[Native]],3,FALSE)</f>
        <v>汾阳市</v>
      </c>
      <c r="G149" s="12" t="str">
        <f ca="1">VLOOKUP(F149,Table12[[Native]:[Population4]],5,FALSE)</f>
        <v>吕梁市</v>
      </c>
    </row>
    <row r="150" spans="1:7" ht="15.75" thickBot="1" x14ac:dyDescent="0.3">
      <c r="A150" t="s">
        <v>1706</v>
      </c>
      <c r="B150" s="1" t="s">
        <v>1707</v>
      </c>
      <c r="C150" s="1" t="s">
        <v>7</v>
      </c>
      <c r="D150" s="1" t="s">
        <v>1434</v>
      </c>
      <c r="E150" s="9">
        <v>6759</v>
      </c>
      <c r="F150" s="1" t="str">
        <f>VLOOKUP(D150,Table12[[Name]:[Native]],3,FALSE)</f>
        <v>石楼县</v>
      </c>
      <c r="G150" s="12" t="str">
        <f ca="1">VLOOKUP(F150,Table12[[Native]:[Population4]],5,FALSE)</f>
        <v>吕梁市</v>
      </c>
    </row>
    <row r="151" spans="1:7" ht="15.75" thickBot="1" x14ac:dyDescent="0.3">
      <c r="A151" t="s">
        <v>1708</v>
      </c>
      <c r="B151" s="1" t="s">
        <v>1709</v>
      </c>
      <c r="C151" s="1" t="s">
        <v>17</v>
      </c>
      <c r="D151" s="1" t="s">
        <v>1451</v>
      </c>
      <c r="E151" s="9">
        <v>7793</v>
      </c>
      <c r="F151" s="1" t="str">
        <f>VLOOKUP(D151,Table12[[Name]:[Native]],3,FALSE)</f>
        <v>孝义市</v>
      </c>
      <c r="G151" s="12" t="str">
        <f ca="1">VLOOKUP(F151,Table12[[Native]:[Population4]],5,FALSE)</f>
        <v>吕梁市</v>
      </c>
    </row>
    <row r="152" spans="1:7" ht="15.75" thickBot="1" x14ac:dyDescent="0.3">
      <c r="A152" t="s">
        <v>1710</v>
      </c>
      <c r="B152" s="1" t="s">
        <v>1711</v>
      </c>
      <c r="C152" s="1" t="s">
        <v>7</v>
      </c>
      <c r="D152" s="1" t="s">
        <v>1507</v>
      </c>
      <c r="E152" s="9">
        <v>20799</v>
      </c>
      <c r="F152" s="1" t="str">
        <f>VLOOKUP(D152,Table12[[Name]:[Native]],3,FALSE)</f>
        <v>汾阳市</v>
      </c>
      <c r="G152" s="12" t="str">
        <f ca="1">VLOOKUP(F152,Table12[[Native]:[Population4]],5,FALSE)</f>
        <v>吕梁市</v>
      </c>
    </row>
    <row r="153" spans="1:7" ht="15.75" thickBot="1" x14ac:dyDescent="0.3">
      <c r="A153" t="s">
        <v>1712</v>
      </c>
      <c r="B153" s="1" t="s">
        <v>1713</v>
      </c>
      <c r="C153" s="1" t="s">
        <v>7</v>
      </c>
      <c r="D153" s="1" t="s">
        <v>1416</v>
      </c>
      <c r="E153" s="9">
        <v>100615</v>
      </c>
      <c r="F153" s="1" t="str">
        <f>VLOOKUP(D153,Table12[[Name]:[Native]],3,FALSE)</f>
        <v>兴县</v>
      </c>
      <c r="G153" s="12" t="str">
        <f ca="1">VLOOKUP(F153,Table12[[Native]:[Population4]],5,FALSE)</f>
        <v>吕梁市</v>
      </c>
    </row>
    <row r="154" spans="1:7" ht="15.75" thickBot="1" x14ac:dyDescent="0.3">
      <c r="A154" t="s">
        <v>1714</v>
      </c>
      <c r="B154" s="1" t="s">
        <v>1715</v>
      </c>
      <c r="C154" s="1" t="s">
        <v>7</v>
      </c>
      <c r="D154" s="1" t="s">
        <v>1423</v>
      </c>
      <c r="E154" s="9">
        <v>25530</v>
      </c>
      <c r="F154" s="1" t="str">
        <f>VLOOKUP(D154,Table12[[Name]:[Native]],3,FALSE)</f>
        <v>方山县</v>
      </c>
      <c r="G154" s="12" t="str">
        <f ca="1">VLOOKUP(F154,Table12[[Native]:[Population4]],5,FALSE)</f>
        <v>吕梁市</v>
      </c>
    </row>
    <row r="155" spans="1:7" ht="15.75" thickBot="1" x14ac:dyDescent="0.3">
      <c r="A155" t="s">
        <v>1716</v>
      </c>
      <c r="B155" s="1" t="s">
        <v>1717</v>
      </c>
      <c r="C155" s="1" t="s">
        <v>17</v>
      </c>
      <c r="D155" s="1" t="s">
        <v>1411</v>
      </c>
      <c r="E155" s="9">
        <v>17670</v>
      </c>
      <c r="F155" s="1" t="str">
        <f>VLOOKUP(D155,Table12[[Name]:[Native]],3,FALSE)</f>
        <v>临县</v>
      </c>
      <c r="G155" s="12" t="str">
        <f ca="1">VLOOKUP(F155,Table12[[Native]:[Population4]],5,FALSE)</f>
        <v>吕梁市</v>
      </c>
    </row>
    <row r="156" spans="1:7" ht="15.75" thickBot="1" x14ac:dyDescent="0.3">
      <c r="A156" t="s">
        <v>1718</v>
      </c>
      <c r="B156" s="1" t="s">
        <v>1719</v>
      </c>
      <c r="C156" s="1" t="s">
        <v>17</v>
      </c>
      <c r="D156" s="1" t="s">
        <v>1427</v>
      </c>
      <c r="E156" s="9">
        <v>7774</v>
      </c>
      <c r="F156" s="1" t="str">
        <f>VLOOKUP(D156,Table12[[Name]:[Native]],3,FALSE)</f>
        <v>离石区</v>
      </c>
      <c r="G156" s="12" t="str">
        <f ca="1">VLOOKUP(F156,Table12[[Native]:[Population4]],5,FALSE)</f>
        <v>吕梁市</v>
      </c>
    </row>
    <row r="157" spans="1:7" ht="15.75" thickBot="1" x14ac:dyDescent="0.3">
      <c r="A157" t="s">
        <v>1720</v>
      </c>
      <c r="B157" s="1" t="s">
        <v>1721</v>
      </c>
      <c r="C157" s="1" t="s">
        <v>17</v>
      </c>
      <c r="D157" s="1" t="s">
        <v>1416</v>
      </c>
      <c r="E157" s="9">
        <v>4139</v>
      </c>
      <c r="F157" s="1" t="str">
        <f>VLOOKUP(D157,Table12[[Name]:[Native]],3,FALSE)</f>
        <v>兴县</v>
      </c>
      <c r="G157" s="12" t="str">
        <f ca="1">VLOOKUP(F157,Table12[[Native]:[Population4]],5,FALSE)</f>
        <v>吕梁市</v>
      </c>
    </row>
    <row r="158" spans="1:7" ht="15.75" thickBot="1" x14ac:dyDescent="0.3">
      <c r="A158" t="s">
        <v>1722</v>
      </c>
      <c r="B158" s="1" t="s">
        <v>1723</v>
      </c>
      <c r="C158" s="1" t="s">
        <v>7</v>
      </c>
      <c r="D158" s="1" t="s">
        <v>1411</v>
      </c>
      <c r="E158" s="9">
        <v>14342</v>
      </c>
      <c r="F158" s="1" t="str">
        <f>VLOOKUP(D158,Table12[[Name]:[Native]],3,FALSE)</f>
        <v>临县</v>
      </c>
      <c r="G158" s="12" t="str">
        <f ca="1">VLOOKUP(F158,Table12[[Native]:[Population4]],5,FALSE)</f>
        <v>吕梁市</v>
      </c>
    </row>
    <row r="159" spans="1:7" ht="15.75" thickBot="1" x14ac:dyDescent="0.3">
      <c r="A159" t="s">
        <v>1724</v>
      </c>
      <c r="B159" s="1" t="s">
        <v>1725</v>
      </c>
      <c r="C159" s="1" t="s">
        <v>31</v>
      </c>
      <c r="D159" s="1" t="s">
        <v>1451</v>
      </c>
      <c r="E159" s="9">
        <v>14809</v>
      </c>
      <c r="F159" s="1" t="str">
        <f>VLOOKUP(D159,Table12[[Name]:[Native]],3,FALSE)</f>
        <v>孝义市</v>
      </c>
      <c r="G159" s="12" t="str">
        <f ca="1">VLOOKUP(F159,Table12[[Native]:[Population4]],5,FALSE)</f>
        <v>吕梁市</v>
      </c>
    </row>
    <row r="160" spans="1:7" ht="15.75" thickBot="1" x14ac:dyDescent="0.3">
      <c r="A160" t="s">
        <v>1726</v>
      </c>
      <c r="B160" s="1" t="s">
        <v>1727</v>
      </c>
      <c r="C160" s="1" t="s">
        <v>7</v>
      </c>
      <c r="D160" s="1" t="s">
        <v>1439</v>
      </c>
      <c r="E160" s="9">
        <v>6861</v>
      </c>
      <c r="F160" s="1" t="str">
        <f>VLOOKUP(D160,Table12[[Name]:[Native]],3,FALSE)</f>
        <v>中阳县</v>
      </c>
      <c r="G160" s="12" t="str">
        <f ca="1">VLOOKUP(F160,Table12[[Native]:[Population4]],5,FALSE)</f>
        <v>吕梁市</v>
      </c>
    </row>
    <row r="161" spans="1:7" ht="15.75" thickBot="1" x14ac:dyDescent="0.3">
      <c r="A161" t="s">
        <v>1728</v>
      </c>
      <c r="B161" s="1" t="s">
        <v>1729</v>
      </c>
      <c r="C161" s="1" t="s">
        <v>31</v>
      </c>
      <c r="D161" s="1" t="s">
        <v>1451</v>
      </c>
      <c r="E161" s="9">
        <v>37596</v>
      </c>
      <c r="F161" s="1" t="str">
        <f>VLOOKUP(D161,Table12[[Name]:[Native]],3,FALSE)</f>
        <v>孝义市</v>
      </c>
      <c r="G161" s="12" t="str">
        <f ca="1">VLOOKUP(F161,Table12[[Native]:[Population4]],5,FALSE)</f>
        <v>吕梁市</v>
      </c>
    </row>
    <row r="162" spans="1:7" ht="15.75" thickBot="1" x14ac:dyDescent="0.3">
      <c r="A162" t="s">
        <v>1730</v>
      </c>
      <c r="B162" s="1" t="s">
        <v>1731</v>
      </c>
      <c r="C162" s="1" t="s">
        <v>7</v>
      </c>
      <c r="D162" s="1" t="s">
        <v>1444</v>
      </c>
      <c r="E162" s="9">
        <v>18442</v>
      </c>
      <c r="F162" s="1" t="str">
        <f>VLOOKUP(D162,Table12[[Name]:[Native]],3,FALSE)</f>
        <v>柳林县</v>
      </c>
      <c r="G162" s="12" t="str">
        <f ca="1">VLOOKUP(F162,Table12[[Native]:[Population4]],5,FALSE)</f>
        <v>吕梁市</v>
      </c>
    </row>
    <row r="163" spans="1:7" ht="15.75" thickBot="1" x14ac:dyDescent="0.3">
      <c r="A163" t="s">
        <v>1732</v>
      </c>
      <c r="B163" s="1" t="s">
        <v>1733</v>
      </c>
      <c r="C163" s="1" t="s">
        <v>7</v>
      </c>
      <c r="D163" s="1" t="s">
        <v>1451</v>
      </c>
      <c r="E163" s="9">
        <v>10445</v>
      </c>
      <c r="F163" s="8" t="str">
        <f>VLOOKUP(D163,Table12[[Name]:[Native]],3,FALSE)</f>
        <v>孝义市</v>
      </c>
      <c r="G163" s="12" t="str">
        <f ca="1">VLOOKUP(F163,Table12[[Native]:[Population4]],5,FALSE)</f>
        <v>吕梁市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8861-26B5-4A96-A580-4D3AC376B60A}">
  <dimension ref="A1:G78"/>
  <sheetViews>
    <sheetView topLeftCell="A53" workbookViewId="0">
      <selection activeCell="G2" sqref="A2:G7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1734</v>
      </c>
      <c r="B2" s="1" t="s">
        <v>1735</v>
      </c>
      <c r="C2" s="1" t="s">
        <v>17</v>
      </c>
      <c r="D2" s="1" t="s">
        <v>1736</v>
      </c>
      <c r="E2" s="9">
        <v>11023</v>
      </c>
      <c r="F2" s="7" t="str">
        <f>VLOOKUP(D2,Table12[[Name]:[Native]],3,FALSE)</f>
        <v>山阴县</v>
      </c>
      <c r="G2" s="12" t="str">
        <f ca="1">VLOOKUP(F2,Table12[[Native]:[Population4]],5,FALSE)</f>
        <v>朔州市</v>
      </c>
    </row>
    <row r="3" spans="1:7" ht="15.75" thickBot="1" x14ac:dyDescent="0.3">
      <c r="A3" t="s">
        <v>1737</v>
      </c>
      <c r="B3" s="1" t="s">
        <v>1738</v>
      </c>
      <c r="C3" s="1" t="s">
        <v>17</v>
      </c>
      <c r="D3" s="1" t="s">
        <v>1739</v>
      </c>
      <c r="E3" s="9">
        <v>11731</v>
      </c>
      <c r="F3" s="1" t="str">
        <f>VLOOKUP(D3,Table12[[Name]:[Native]],3,FALSE)</f>
        <v>应县</v>
      </c>
      <c r="G3" s="12" t="str">
        <f ca="1">VLOOKUP(F3,Table12[[Native]:[Population4]],5,FALSE)</f>
        <v>朔州市</v>
      </c>
    </row>
    <row r="4" spans="1:7" ht="15.75" thickBot="1" x14ac:dyDescent="0.3">
      <c r="A4" t="s">
        <v>1740</v>
      </c>
      <c r="B4" s="1" t="s">
        <v>1741</v>
      </c>
      <c r="C4" s="1" t="s">
        <v>17</v>
      </c>
      <c r="D4" s="1" t="s">
        <v>1742</v>
      </c>
      <c r="E4" s="9">
        <v>15531</v>
      </c>
      <c r="F4" s="1" t="str">
        <f>VLOOKUP(D4,Table12[[Name]:[Native]],3,FALSE)</f>
        <v>平鲁区</v>
      </c>
      <c r="G4" s="12" t="str">
        <f ca="1">VLOOKUP(F4,Table12[[Native]:[Population4]],5,FALSE)</f>
        <v>朔州市</v>
      </c>
    </row>
    <row r="5" spans="1:7" ht="15.75" thickBot="1" x14ac:dyDescent="0.3">
      <c r="A5" t="s">
        <v>1743</v>
      </c>
      <c r="B5" s="1" t="s">
        <v>1744</v>
      </c>
      <c r="C5" s="1" t="s">
        <v>17</v>
      </c>
      <c r="D5" s="1" t="s">
        <v>1745</v>
      </c>
      <c r="E5" s="9">
        <v>5687</v>
      </c>
      <c r="F5" s="1" t="str">
        <f>VLOOKUP(D5,Table12[[Name]:[Native]],3,FALSE)</f>
        <v>右玉县</v>
      </c>
      <c r="G5" s="12" t="str">
        <f ca="1">VLOOKUP(F5,Table12[[Native]:[Population4]],5,FALSE)</f>
        <v>朔州市</v>
      </c>
    </row>
    <row r="6" spans="1:7" ht="15.75" thickBot="1" x14ac:dyDescent="0.3">
      <c r="A6" t="s">
        <v>621</v>
      </c>
      <c r="B6" s="1" t="s">
        <v>622</v>
      </c>
      <c r="C6" s="1" t="s">
        <v>31</v>
      </c>
      <c r="D6" s="1" t="s">
        <v>1746</v>
      </c>
      <c r="E6" s="9">
        <v>76132</v>
      </c>
      <c r="F6" s="1" t="str">
        <f>VLOOKUP(D6,Table12[[Name]:[Native]],3,FALSE)</f>
        <v>朔城区</v>
      </c>
      <c r="G6" s="12" t="str">
        <f ca="1">VLOOKUP(F6,Table12[[Native]:[Population4]],5,FALSE)</f>
        <v>朔州市</v>
      </c>
    </row>
    <row r="7" spans="1:7" ht="15.75" thickBot="1" x14ac:dyDescent="0.3">
      <c r="A7" t="s">
        <v>1747</v>
      </c>
      <c r="B7" s="1" t="s">
        <v>1748</v>
      </c>
      <c r="C7" s="1" t="s">
        <v>31</v>
      </c>
      <c r="D7" s="1" t="s">
        <v>1746</v>
      </c>
      <c r="E7" s="9">
        <v>100797</v>
      </c>
      <c r="F7" s="1" t="str">
        <f>VLOOKUP(D7,Table12[[Name]:[Native]],3,FALSE)</f>
        <v>朔城区</v>
      </c>
      <c r="G7" s="12" t="str">
        <f ca="1">VLOOKUP(F7,Table12[[Native]:[Population4]],5,FALSE)</f>
        <v>朔州市</v>
      </c>
    </row>
    <row r="8" spans="1:7" ht="15.75" thickBot="1" x14ac:dyDescent="0.3">
      <c r="A8" t="s">
        <v>1749</v>
      </c>
      <c r="B8" s="1" t="s">
        <v>1750</v>
      </c>
      <c r="C8" s="1" t="s">
        <v>7</v>
      </c>
      <c r="D8" s="1" t="s">
        <v>1736</v>
      </c>
      <c r="E8" s="9">
        <v>21667</v>
      </c>
      <c r="F8" s="1" t="str">
        <f>VLOOKUP(D8,Table12[[Name]:[Native]],3,FALSE)</f>
        <v>山阴县</v>
      </c>
      <c r="G8" s="12" t="str">
        <f ca="1">VLOOKUP(F8,Table12[[Native]:[Population4]],5,FALSE)</f>
        <v>朔州市</v>
      </c>
    </row>
    <row r="9" spans="1:7" ht="15.75" thickBot="1" x14ac:dyDescent="0.3">
      <c r="A9" t="s">
        <v>1751</v>
      </c>
      <c r="B9" s="1" t="s">
        <v>1752</v>
      </c>
      <c r="C9" s="1" t="s">
        <v>17</v>
      </c>
      <c r="D9" s="1" t="s">
        <v>1739</v>
      </c>
      <c r="E9" s="9">
        <v>13908</v>
      </c>
      <c r="F9" s="1" t="str">
        <f>VLOOKUP(D9,Table12[[Name]:[Native]],3,FALSE)</f>
        <v>应县</v>
      </c>
      <c r="G9" s="12" t="str">
        <f ca="1">VLOOKUP(F9,Table12[[Native]:[Population4]],5,FALSE)</f>
        <v>朔州市</v>
      </c>
    </row>
    <row r="10" spans="1:7" ht="15.75" thickBot="1" x14ac:dyDescent="0.3">
      <c r="A10" t="s">
        <v>1753</v>
      </c>
      <c r="B10" s="1" t="s">
        <v>1754</v>
      </c>
      <c r="C10" s="1" t="s">
        <v>7</v>
      </c>
      <c r="D10" s="1" t="s">
        <v>1736</v>
      </c>
      <c r="E10" s="9">
        <v>35894</v>
      </c>
      <c r="F10" s="1" t="str">
        <f>VLOOKUP(D10,Table12[[Name]:[Native]],3,FALSE)</f>
        <v>山阴县</v>
      </c>
      <c r="G10" s="12" t="str">
        <f ca="1">VLOOKUP(F10,Table12[[Native]:[Population4]],5,FALSE)</f>
        <v>朔州市</v>
      </c>
    </row>
    <row r="11" spans="1:7" ht="15.75" thickBot="1" x14ac:dyDescent="0.3">
      <c r="A11" t="s">
        <v>1755</v>
      </c>
      <c r="B11" s="1" t="s">
        <v>1756</v>
      </c>
      <c r="C11" s="1" t="s">
        <v>17</v>
      </c>
      <c r="D11" s="1" t="s">
        <v>1739</v>
      </c>
      <c r="E11" s="9">
        <v>29407</v>
      </c>
      <c r="F11" s="1" t="str">
        <f>VLOOKUP(D11,Table12[[Name]:[Native]],3,FALSE)</f>
        <v>应县</v>
      </c>
      <c r="G11" s="12" t="str">
        <f ca="1">VLOOKUP(F11,Table12[[Native]:[Population4]],5,FALSE)</f>
        <v>朔州市</v>
      </c>
    </row>
    <row r="12" spans="1:7" ht="15.75" thickBot="1" x14ac:dyDescent="0.3">
      <c r="A12" t="s">
        <v>1757</v>
      </c>
      <c r="B12" s="1" t="s">
        <v>1758</v>
      </c>
      <c r="C12" s="1" t="s">
        <v>17</v>
      </c>
      <c r="D12" s="1" t="s">
        <v>1745</v>
      </c>
      <c r="E12" s="9">
        <v>2335</v>
      </c>
      <c r="F12" s="1" t="str">
        <f>VLOOKUP(D12,Table12[[Name]:[Native]],3,FALSE)</f>
        <v>右玉县</v>
      </c>
      <c r="G12" s="12" t="str">
        <f ca="1">VLOOKUP(F12,Table12[[Native]:[Population4]],5,FALSE)</f>
        <v>朔州市</v>
      </c>
    </row>
    <row r="13" spans="1:7" ht="15.75" thickBot="1" x14ac:dyDescent="0.3">
      <c r="A13" t="s">
        <v>1759</v>
      </c>
      <c r="B13" s="1" t="s">
        <v>1760</v>
      </c>
      <c r="C13" s="1" t="s">
        <v>31</v>
      </c>
      <c r="D13" s="1" t="s">
        <v>1736</v>
      </c>
      <c r="E13" s="9">
        <v>23593</v>
      </c>
      <c r="F13" s="1" t="str">
        <f>VLOOKUP(D13,Table12[[Name]:[Native]],3,FALSE)</f>
        <v>山阴县</v>
      </c>
      <c r="G13" s="12" t="str">
        <f ca="1">VLOOKUP(F13,Table12[[Native]:[Population4]],5,FALSE)</f>
        <v>朔州市</v>
      </c>
    </row>
    <row r="14" spans="1:7" ht="15.75" thickBot="1" x14ac:dyDescent="0.3">
      <c r="A14" t="s">
        <v>1761</v>
      </c>
      <c r="B14" s="1" t="s">
        <v>1762</v>
      </c>
      <c r="C14" s="1" t="s">
        <v>7</v>
      </c>
      <c r="D14" s="1" t="s">
        <v>1742</v>
      </c>
      <c r="E14" s="9">
        <v>5622</v>
      </c>
      <c r="F14" s="1" t="str">
        <f>VLOOKUP(D14,Table12[[Name]:[Native]],3,FALSE)</f>
        <v>平鲁区</v>
      </c>
      <c r="G14" s="12" t="str">
        <f ca="1">VLOOKUP(F14,Table12[[Native]:[Population4]],5,FALSE)</f>
        <v>朔州市</v>
      </c>
    </row>
    <row r="15" spans="1:7" ht="15.75" thickBot="1" x14ac:dyDescent="0.3">
      <c r="A15" t="s">
        <v>1763</v>
      </c>
      <c r="B15" s="1" t="s">
        <v>1764</v>
      </c>
      <c r="C15" s="1" t="s">
        <v>17</v>
      </c>
      <c r="D15" s="1" t="s">
        <v>1746</v>
      </c>
      <c r="E15" s="9">
        <v>11592</v>
      </c>
      <c r="F15" s="1" t="str">
        <f>VLOOKUP(D15,Table12[[Name]:[Native]],3,FALSE)</f>
        <v>朔城区</v>
      </c>
      <c r="G15" s="12" t="str">
        <f ca="1">VLOOKUP(F15,Table12[[Native]:[Population4]],5,FALSE)</f>
        <v>朔州市</v>
      </c>
    </row>
    <row r="16" spans="1:7" ht="15.75" thickBot="1" x14ac:dyDescent="0.3">
      <c r="A16" t="s">
        <v>1765</v>
      </c>
      <c r="B16" s="1" t="s">
        <v>1766</v>
      </c>
      <c r="C16" s="1" t="s">
        <v>17</v>
      </c>
      <c r="D16" s="1" t="s">
        <v>1745</v>
      </c>
      <c r="E16" s="9">
        <v>6958</v>
      </c>
      <c r="F16" s="1" t="str">
        <f>VLOOKUP(D16,Table12[[Name]:[Native]],3,FALSE)</f>
        <v>右玉县</v>
      </c>
      <c r="G16" s="12" t="str">
        <f ca="1">VLOOKUP(F16,Table12[[Native]:[Population4]],5,FALSE)</f>
        <v>朔州市</v>
      </c>
    </row>
    <row r="17" spans="1:7" ht="15.75" thickBot="1" x14ac:dyDescent="0.3">
      <c r="A17" t="s">
        <v>1767</v>
      </c>
      <c r="B17" s="1" t="s">
        <v>1768</v>
      </c>
      <c r="C17" s="1" t="s">
        <v>17</v>
      </c>
      <c r="D17" s="1" t="s">
        <v>1742</v>
      </c>
      <c r="E17" s="9">
        <v>6235</v>
      </c>
      <c r="F17" s="1" t="str">
        <f>VLOOKUP(D17,Table12[[Name]:[Native]],3,FALSE)</f>
        <v>平鲁区</v>
      </c>
      <c r="G17" s="12" t="str">
        <f ca="1">VLOOKUP(F17,Table12[[Native]:[Population4]],5,FALSE)</f>
        <v>朔州市</v>
      </c>
    </row>
    <row r="18" spans="1:7" ht="15.75" thickBot="1" x14ac:dyDescent="0.3">
      <c r="A18" t="s">
        <v>387</v>
      </c>
      <c r="B18" s="1" t="s">
        <v>388</v>
      </c>
      <c r="C18" s="1" t="s">
        <v>7</v>
      </c>
      <c r="D18" s="1" t="s">
        <v>1736</v>
      </c>
      <c r="E18" s="9">
        <v>18253</v>
      </c>
      <c r="F18" s="1" t="str">
        <f>VLOOKUP(D18,Table12[[Name]:[Native]],3,FALSE)</f>
        <v>山阴县</v>
      </c>
      <c r="G18" s="12" t="str">
        <f ca="1">VLOOKUP(F18,Table12[[Native]:[Population4]],5,FALSE)</f>
        <v>朔州市</v>
      </c>
    </row>
    <row r="19" spans="1:7" ht="15.75" thickBot="1" x14ac:dyDescent="0.3">
      <c r="A19" t="s">
        <v>1769</v>
      </c>
      <c r="B19" s="1" t="s">
        <v>1770</v>
      </c>
      <c r="C19" s="1" t="s">
        <v>17</v>
      </c>
      <c r="D19" s="1" t="s">
        <v>1771</v>
      </c>
      <c r="E19" s="9">
        <v>14013</v>
      </c>
      <c r="F19" s="1" t="str">
        <f>VLOOKUP(D19,Table12[[Name]:[Native]],3,FALSE)</f>
        <v>怀仁市</v>
      </c>
      <c r="G19" s="12" t="str">
        <f ca="1">VLOOKUP(F19,Table12[[Native]:[Population4]],5,FALSE)</f>
        <v>朔州市</v>
      </c>
    </row>
    <row r="20" spans="1:7" ht="15.75" thickBot="1" x14ac:dyDescent="0.3">
      <c r="A20" t="s">
        <v>1772</v>
      </c>
      <c r="B20" s="1" t="s">
        <v>1773</v>
      </c>
      <c r="C20" s="1" t="s">
        <v>17</v>
      </c>
      <c r="D20" s="1" t="s">
        <v>1771</v>
      </c>
      <c r="E20" s="9">
        <v>21186</v>
      </c>
      <c r="F20" s="1" t="str">
        <f>VLOOKUP(D20,Table12[[Name]:[Native]],3,FALSE)</f>
        <v>怀仁市</v>
      </c>
      <c r="G20" s="12" t="str">
        <f ca="1">VLOOKUP(F20,Table12[[Native]:[Population4]],5,FALSE)</f>
        <v>朔州市</v>
      </c>
    </row>
    <row r="21" spans="1:7" ht="15.75" thickBot="1" x14ac:dyDescent="0.3">
      <c r="A21" t="s">
        <v>1774</v>
      </c>
      <c r="B21" s="1" t="s">
        <v>1775</v>
      </c>
      <c r="C21" s="1" t="s">
        <v>17</v>
      </c>
      <c r="D21" s="1" t="s">
        <v>1736</v>
      </c>
      <c r="E21" s="9">
        <v>8861</v>
      </c>
      <c r="F21" s="1" t="str">
        <f>VLOOKUP(D21,Table12[[Name]:[Native]],3,FALSE)</f>
        <v>山阴县</v>
      </c>
      <c r="G21" s="12" t="str">
        <f ca="1">VLOOKUP(F21,Table12[[Native]:[Population4]],5,FALSE)</f>
        <v>朔州市</v>
      </c>
    </row>
    <row r="22" spans="1:7" ht="15.75" thickBot="1" x14ac:dyDescent="0.3">
      <c r="A22" t="s">
        <v>1776</v>
      </c>
      <c r="B22" s="1" t="s">
        <v>1777</v>
      </c>
      <c r="C22" s="1" t="s">
        <v>17</v>
      </c>
      <c r="D22" s="1" t="s">
        <v>1771</v>
      </c>
      <c r="E22" s="9">
        <v>8682</v>
      </c>
      <c r="F22" s="1" t="str">
        <f>VLOOKUP(D22,Table12[[Name]:[Native]],3,FALSE)</f>
        <v>怀仁市</v>
      </c>
      <c r="G22" s="12" t="str">
        <f ca="1">VLOOKUP(F22,Table12[[Native]:[Population4]],5,FALSE)</f>
        <v>朔州市</v>
      </c>
    </row>
    <row r="23" spans="1:7" ht="15.75" thickBot="1" x14ac:dyDescent="0.3">
      <c r="A23" t="s">
        <v>1778</v>
      </c>
      <c r="B23" s="1" t="s">
        <v>1779</v>
      </c>
      <c r="C23" s="1" t="s">
        <v>17</v>
      </c>
      <c r="D23" s="1" t="s">
        <v>1736</v>
      </c>
      <c r="E23" s="9">
        <v>14110</v>
      </c>
      <c r="F23" s="1" t="str">
        <f>VLOOKUP(D23,Table12[[Name]:[Native]],3,FALSE)</f>
        <v>山阴县</v>
      </c>
      <c r="G23" s="12" t="str">
        <f ca="1">VLOOKUP(F23,Table12[[Native]:[Population4]],5,FALSE)</f>
        <v>朔州市</v>
      </c>
    </row>
    <row r="24" spans="1:7" ht="15.75" thickBot="1" x14ac:dyDescent="0.3">
      <c r="A24" t="s">
        <v>1780</v>
      </c>
      <c r="B24" s="1" t="s">
        <v>1781</v>
      </c>
      <c r="C24" s="1" t="s">
        <v>17</v>
      </c>
      <c r="D24" s="1" t="s">
        <v>1746</v>
      </c>
      <c r="E24" s="9">
        <v>14283</v>
      </c>
      <c r="F24" s="1" t="str">
        <f>VLOOKUP(D24,Table12[[Name]:[Native]],3,FALSE)</f>
        <v>朔城区</v>
      </c>
      <c r="G24" s="12" t="str">
        <f ca="1">VLOOKUP(F24,Table12[[Native]:[Population4]],5,FALSE)</f>
        <v>朔州市</v>
      </c>
    </row>
    <row r="25" spans="1:7" ht="15.75" thickBot="1" x14ac:dyDescent="0.3">
      <c r="A25" t="s">
        <v>1782</v>
      </c>
      <c r="B25" s="1" t="s">
        <v>1783</v>
      </c>
      <c r="C25" s="1" t="s">
        <v>7</v>
      </c>
      <c r="D25" s="1" t="s">
        <v>1739</v>
      </c>
      <c r="E25" s="9">
        <v>105038</v>
      </c>
      <c r="F25" s="1" t="str">
        <f>VLOOKUP(D25,Table12[[Name]:[Native]],3,FALSE)</f>
        <v>应县</v>
      </c>
      <c r="G25" s="12" t="str">
        <f ca="1">VLOOKUP(F25,Table12[[Native]:[Population4]],5,FALSE)</f>
        <v>朔州市</v>
      </c>
    </row>
    <row r="26" spans="1:7" ht="15.75" thickBot="1" x14ac:dyDescent="0.3">
      <c r="A26" t="s">
        <v>1784</v>
      </c>
      <c r="B26" s="1" t="s">
        <v>1785</v>
      </c>
      <c r="C26" s="1" t="s">
        <v>7</v>
      </c>
      <c r="D26" s="1" t="s">
        <v>1742</v>
      </c>
      <c r="E26" s="9">
        <v>101297</v>
      </c>
      <c r="F26" s="1" t="str">
        <f>VLOOKUP(D26,Table12[[Name]:[Native]],3,FALSE)</f>
        <v>平鲁区</v>
      </c>
      <c r="G26" s="12" t="str">
        <f ca="1">VLOOKUP(F26,Table12[[Native]:[Population4]],5,FALSE)</f>
        <v>朔州市</v>
      </c>
    </row>
    <row r="27" spans="1:7" ht="15.75" thickBot="1" x14ac:dyDescent="0.3">
      <c r="A27" t="s">
        <v>1786</v>
      </c>
      <c r="B27" s="1" t="s">
        <v>1787</v>
      </c>
      <c r="C27" s="1" t="s">
        <v>7</v>
      </c>
      <c r="D27" s="1" t="s">
        <v>1771</v>
      </c>
      <c r="E27" s="9">
        <v>21144</v>
      </c>
      <c r="F27" s="1" t="str">
        <f>VLOOKUP(D27,Table12[[Name]:[Native]],3,FALSE)</f>
        <v>怀仁市</v>
      </c>
      <c r="G27" s="12" t="str">
        <f ca="1">VLOOKUP(F27,Table12[[Native]:[Population4]],5,FALSE)</f>
        <v>朔州市</v>
      </c>
    </row>
    <row r="28" spans="1:7" ht="15.75" thickBot="1" x14ac:dyDescent="0.3">
      <c r="A28" t="s">
        <v>1788</v>
      </c>
      <c r="B28" s="1" t="s">
        <v>1789</v>
      </c>
      <c r="C28" s="1" t="s">
        <v>17</v>
      </c>
      <c r="D28" s="1" t="s">
        <v>1745</v>
      </c>
      <c r="E28" s="9">
        <v>6478</v>
      </c>
      <c r="F28" s="1" t="str">
        <f>VLOOKUP(D28,Table12[[Name]:[Native]],3,FALSE)</f>
        <v>右玉县</v>
      </c>
      <c r="G28" s="12" t="str">
        <f ca="1">VLOOKUP(F28,Table12[[Native]:[Population4]],5,FALSE)</f>
        <v>朔州市</v>
      </c>
    </row>
    <row r="29" spans="1:7" ht="15.75" thickBot="1" x14ac:dyDescent="0.3">
      <c r="A29" t="s">
        <v>1790</v>
      </c>
      <c r="B29" s="1" t="s">
        <v>1791</v>
      </c>
      <c r="C29" s="1" t="s">
        <v>7</v>
      </c>
      <c r="D29" s="1" t="s">
        <v>1746</v>
      </c>
      <c r="E29" s="9">
        <v>7925</v>
      </c>
      <c r="F29" s="1" t="str">
        <f>VLOOKUP(D29,Table12[[Name]:[Native]],3,FALSE)</f>
        <v>朔城区</v>
      </c>
      <c r="G29" s="12" t="str">
        <f ca="1">VLOOKUP(F29,Table12[[Native]:[Population4]],5,FALSE)</f>
        <v>朔州市</v>
      </c>
    </row>
    <row r="30" spans="1:7" ht="15.75" thickBot="1" x14ac:dyDescent="0.3">
      <c r="A30" t="s">
        <v>1792</v>
      </c>
      <c r="B30" s="1" t="s">
        <v>1793</v>
      </c>
      <c r="C30" s="1" t="s">
        <v>7</v>
      </c>
      <c r="D30" s="1" t="s">
        <v>1771</v>
      </c>
      <c r="E30" s="9">
        <v>12800</v>
      </c>
      <c r="F30" s="1" t="str">
        <f>VLOOKUP(D30,Table12[[Name]:[Native]],3,FALSE)</f>
        <v>怀仁市</v>
      </c>
      <c r="G30" s="12" t="str">
        <f ca="1">VLOOKUP(F30,Table12[[Native]:[Population4]],5,FALSE)</f>
        <v>朔州市</v>
      </c>
    </row>
    <row r="31" spans="1:7" ht="15.75" thickBot="1" x14ac:dyDescent="0.3">
      <c r="A31" t="s">
        <v>1794</v>
      </c>
      <c r="B31" s="1" t="s">
        <v>1795</v>
      </c>
      <c r="C31" s="1" t="s">
        <v>17</v>
      </c>
      <c r="D31" s="1" t="s">
        <v>1771</v>
      </c>
      <c r="E31" s="9">
        <v>5141</v>
      </c>
      <c r="F31" s="1" t="str">
        <f>VLOOKUP(D31,Table12[[Name]:[Native]],3,FALSE)</f>
        <v>怀仁市</v>
      </c>
      <c r="G31" s="12" t="str">
        <f ca="1">VLOOKUP(F31,Table12[[Native]:[Population4]],5,FALSE)</f>
        <v>朔州市</v>
      </c>
    </row>
    <row r="32" spans="1:7" ht="15.75" thickBot="1" x14ac:dyDescent="0.3">
      <c r="A32" t="s">
        <v>1796</v>
      </c>
      <c r="B32" s="1" t="s">
        <v>1797</v>
      </c>
      <c r="C32" s="1" t="s">
        <v>17</v>
      </c>
      <c r="D32" s="1" t="s">
        <v>1736</v>
      </c>
      <c r="E32" s="9">
        <v>10437</v>
      </c>
      <c r="F32" s="1" t="str">
        <f>VLOOKUP(D32,Table12[[Name]:[Native]],3,FALSE)</f>
        <v>山阴县</v>
      </c>
      <c r="G32" s="12" t="str">
        <f ca="1">VLOOKUP(F32,Table12[[Native]:[Population4]],5,FALSE)</f>
        <v>朔州市</v>
      </c>
    </row>
    <row r="33" spans="1:7" ht="15.75" thickBot="1" x14ac:dyDescent="0.3">
      <c r="A33" t="s">
        <v>1798</v>
      </c>
      <c r="B33" s="1" t="s">
        <v>1799</v>
      </c>
      <c r="C33" s="1" t="s">
        <v>17</v>
      </c>
      <c r="D33" s="1" t="s">
        <v>1736</v>
      </c>
      <c r="E33" s="9">
        <v>13065</v>
      </c>
      <c r="F33" s="1" t="str">
        <f>VLOOKUP(D33,Table12[[Name]:[Native]],3,FALSE)</f>
        <v>山阴县</v>
      </c>
      <c r="G33" s="12" t="str">
        <f ca="1">VLOOKUP(F33,Table12[[Native]:[Population4]],5,FALSE)</f>
        <v>朔州市</v>
      </c>
    </row>
    <row r="34" spans="1:7" ht="15.75" thickBot="1" x14ac:dyDescent="0.3">
      <c r="A34" t="s">
        <v>721</v>
      </c>
      <c r="B34" s="1" t="s">
        <v>722</v>
      </c>
      <c r="C34" s="1" t="s">
        <v>31</v>
      </c>
      <c r="D34" s="1" t="s">
        <v>1746</v>
      </c>
      <c r="E34" s="9">
        <v>105760</v>
      </c>
      <c r="F34" s="1" t="str">
        <f>VLOOKUP(D34,Table12[[Name]:[Native]],3,FALSE)</f>
        <v>朔城区</v>
      </c>
      <c r="G34" s="12" t="str">
        <f ca="1">VLOOKUP(F34,Table12[[Native]:[Population4]],5,FALSE)</f>
        <v>朔州市</v>
      </c>
    </row>
    <row r="35" spans="1:7" ht="15.75" thickBot="1" x14ac:dyDescent="0.3">
      <c r="A35" t="s">
        <v>1800</v>
      </c>
      <c r="B35" s="1" t="s">
        <v>1801</v>
      </c>
      <c r="C35" s="1" t="s">
        <v>7</v>
      </c>
      <c r="D35" s="1" t="s">
        <v>1739</v>
      </c>
      <c r="E35" s="9">
        <v>38602</v>
      </c>
      <c r="F35" s="1" t="str">
        <f>VLOOKUP(D35,Table12[[Name]:[Native]],3,FALSE)</f>
        <v>应县</v>
      </c>
      <c r="G35" s="12" t="str">
        <f ca="1">VLOOKUP(F35,Table12[[Native]:[Population4]],5,FALSE)</f>
        <v>朔州市</v>
      </c>
    </row>
    <row r="36" spans="1:7" ht="15.75" thickBot="1" x14ac:dyDescent="0.3">
      <c r="A36" t="s">
        <v>189</v>
      </c>
      <c r="B36" s="1" t="s">
        <v>190</v>
      </c>
      <c r="C36" s="1" t="s">
        <v>17</v>
      </c>
      <c r="D36" s="1" t="s">
        <v>1739</v>
      </c>
      <c r="E36" s="9">
        <v>16195</v>
      </c>
      <c r="F36" s="1" t="str">
        <f>VLOOKUP(D36,Table12[[Name]:[Native]],3,FALSE)</f>
        <v>应县</v>
      </c>
      <c r="G36" s="12" t="str">
        <f ca="1">VLOOKUP(F36,Table12[[Native]:[Population4]],5,FALSE)</f>
        <v>朔州市</v>
      </c>
    </row>
    <row r="37" spans="1:7" ht="15.75" thickBot="1" x14ac:dyDescent="0.3">
      <c r="A37" t="s">
        <v>469</v>
      </c>
      <c r="B37" s="1" t="s">
        <v>470</v>
      </c>
      <c r="C37" s="1" t="s">
        <v>17</v>
      </c>
      <c r="D37" s="1" t="s">
        <v>1746</v>
      </c>
      <c r="E37" s="9">
        <v>8013</v>
      </c>
      <c r="F37" s="1" t="str">
        <f>VLOOKUP(D37,Table12[[Name]:[Native]],3,FALSE)</f>
        <v>朔城区</v>
      </c>
      <c r="G37" s="12" t="str">
        <f ca="1">VLOOKUP(F37,Table12[[Native]:[Population4]],5,FALSE)</f>
        <v>朔州市</v>
      </c>
    </row>
    <row r="38" spans="1:7" ht="15.75" thickBot="1" x14ac:dyDescent="0.3">
      <c r="A38" t="s">
        <v>1802</v>
      </c>
      <c r="B38" s="1" t="s">
        <v>1803</v>
      </c>
      <c r="C38" s="1" t="s">
        <v>17</v>
      </c>
      <c r="D38" s="1" t="s">
        <v>1745</v>
      </c>
      <c r="E38" s="9">
        <v>4455</v>
      </c>
      <c r="F38" s="1" t="str">
        <f>VLOOKUP(D38,Table12[[Name]:[Native]],3,FALSE)</f>
        <v>右玉县</v>
      </c>
      <c r="G38" s="12" t="str">
        <f ca="1">VLOOKUP(F38,Table12[[Native]:[Population4]],5,FALSE)</f>
        <v>朔州市</v>
      </c>
    </row>
    <row r="39" spans="1:7" ht="15.75" thickBot="1" x14ac:dyDescent="0.3">
      <c r="A39" t="s">
        <v>1804</v>
      </c>
      <c r="B39" s="1" t="s">
        <v>1805</v>
      </c>
      <c r="C39" s="1" t="s">
        <v>17</v>
      </c>
      <c r="D39" s="1" t="s">
        <v>1771</v>
      </c>
      <c r="E39" s="9">
        <v>20470</v>
      </c>
      <c r="F39" s="1" t="str">
        <f>VLOOKUP(D39,Table12[[Name]:[Native]],3,FALSE)</f>
        <v>怀仁市</v>
      </c>
      <c r="G39" s="12" t="str">
        <f ca="1">VLOOKUP(F39,Table12[[Native]:[Population4]],5,FALSE)</f>
        <v>朔州市</v>
      </c>
    </row>
    <row r="40" spans="1:7" ht="15.75" thickBot="1" x14ac:dyDescent="0.3">
      <c r="A40" t="s">
        <v>1806</v>
      </c>
      <c r="B40" s="1" t="s">
        <v>1807</v>
      </c>
      <c r="C40" s="1" t="s">
        <v>17</v>
      </c>
      <c r="D40" s="1" t="s">
        <v>1746</v>
      </c>
      <c r="E40" s="9">
        <v>14100</v>
      </c>
      <c r="F40" s="1" t="str">
        <f>VLOOKUP(D40,Table12[[Name]:[Native]],3,FALSE)</f>
        <v>朔城区</v>
      </c>
      <c r="G40" s="12" t="str">
        <f ca="1">VLOOKUP(F40,Table12[[Native]:[Population4]],5,FALSE)</f>
        <v>朔州市</v>
      </c>
    </row>
    <row r="41" spans="1:7" ht="15.75" thickBot="1" x14ac:dyDescent="0.3">
      <c r="A41" t="s">
        <v>1808</v>
      </c>
      <c r="B41" s="1" t="s">
        <v>1809</v>
      </c>
      <c r="C41" s="1" t="s">
        <v>35</v>
      </c>
      <c r="D41" s="1" t="s">
        <v>1736</v>
      </c>
      <c r="E41" s="9">
        <v>2535</v>
      </c>
      <c r="F41" s="1" t="str">
        <f>VLOOKUP(D41,Table12[[Name]:[Native]],3,FALSE)</f>
        <v>山阴县</v>
      </c>
      <c r="G41" s="12" t="str">
        <f ca="1">VLOOKUP(F41,Table12[[Native]:[Population4]],5,FALSE)</f>
        <v>朔州市</v>
      </c>
    </row>
    <row r="42" spans="1:7" ht="15.75" thickBot="1" x14ac:dyDescent="0.3">
      <c r="A42" t="s">
        <v>1810</v>
      </c>
      <c r="B42" s="1" t="s">
        <v>1811</v>
      </c>
      <c r="C42" s="1" t="s">
        <v>31</v>
      </c>
      <c r="D42" s="1" t="s">
        <v>1746</v>
      </c>
      <c r="E42" s="9">
        <v>30498</v>
      </c>
      <c r="F42" s="1" t="str">
        <f>VLOOKUP(D42,Table12[[Name]:[Native]],3,FALSE)</f>
        <v>朔城区</v>
      </c>
      <c r="G42" s="12" t="str">
        <f ca="1">VLOOKUP(F42,Table12[[Native]:[Population4]],5,FALSE)</f>
        <v>朔州市</v>
      </c>
    </row>
    <row r="43" spans="1:7" ht="15.75" thickBot="1" x14ac:dyDescent="0.3">
      <c r="A43" t="s">
        <v>1812</v>
      </c>
      <c r="B43" s="1" t="s">
        <v>1813</v>
      </c>
      <c r="C43" s="1" t="s">
        <v>7</v>
      </c>
      <c r="D43" s="1" t="s">
        <v>1746</v>
      </c>
      <c r="E43" s="9">
        <v>29458</v>
      </c>
      <c r="F43" s="1" t="str">
        <f>VLOOKUP(D43,Table12[[Name]:[Native]],3,FALSE)</f>
        <v>朔城区</v>
      </c>
      <c r="G43" s="12" t="str">
        <f ca="1">VLOOKUP(F43,Table12[[Native]:[Population4]],5,FALSE)</f>
        <v>朔州市</v>
      </c>
    </row>
    <row r="44" spans="1:7" ht="15.75" thickBot="1" x14ac:dyDescent="0.3">
      <c r="A44" t="s">
        <v>1814</v>
      </c>
      <c r="B44" s="1" t="s">
        <v>1815</v>
      </c>
      <c r="C44" s="1" t="s">
        <v>17</v>
      </c>
      <c r="D44" s="1" t="s">
        <v>1742</v>
      </c>
      <c r="E44" s="9">
        <v>4048</v>
      </c>
      <c r="F44" s="1" t="str">
        <f>VLOOKUP(D44,Table12[[Name]:[Native]],3,FALSE)</f>
        <v>平鲁区</v>
      </c>
      <c r="G44" s="12" t="str">
        <f ca="1">VLOOKUP(F44,Table12[[Native]:[Population4]],5,FALSE)</f>
        <v>朔州市</v>
      </c>
    </row>
    <row r="45" spans="1:7" ht="15.75" thickBot="1" x14ac:dyDescent="0.3">
      <c r="A45" t="s">
        <v>1816</v>
      </c>
      <c r="B45" s="1" t="s">
        <v>1817</v>
      </c>
      <c r="C45" s="1" t="s">
        <v>35</v>
      </c>
      <c r="D45" s="1" t="s">
        <v>1746</v>
      </c>
      <c r="E45" s="9">
        <v>25066</v>
      </c>
      <c r="F45" s="1" t="str">
        <f>VLOOKUP(D45,Table12[[Name]:[Native]],3,FALSE)</f>
        <v>朔城区</v>
      </c>
      <c r="G45" s="12" t="str">
        <f ca="1">VLOOKUP(F45,Table12[[Native]:[Population4]],5,FALSE)</f>
        <v>朔州市</v>
      </c>
    </row>
    <row r="46" spans="1:7" ht="15.75" thickBot="1" x14ac:dyDescent="0.3">
      <c r="A46" t="s">
        <v>1818</v>
      </c>
      <c r="B46" s="1" t="s">
        <v>1819</v>
      </c>
      <c r="C46" s="1" t="s">
        <v>17</v>
      </c>
      <c r="D46" s="1" t="s">
        <v>1742</v>
      </c>
      <c r="E46" s="9">
        <v>13387</v>
      </c>
      <c r="F46" s="1" t="str">
        <f>VLOOKUP(D46,Table12[[Name]:[Native]],3,FALSE)</f>
        <v>平鲁区</v>
      </c>
      <c r="G46" s="12" t="str">
        <f ca="1">VLOOKUP(F46,Table12[[Native]:[Population4]],5,FALSE)</f>
        <v>朔州市</v>
      </c>
    </row>
    <row r="47" spans="1:7" ht="15.75" thickBot="1" x14ac:dyDescent="0.3">
      <c r="A47" t="s">
        <v>1820</v>
      </c>
      <c r="B47" s="1" t="s">
        <v>1821</v>
      </c>
      <c r="C47" s="1" t="s">
        <v>7</v>
      </c>
      <c r="D47" s="1" t="s">
        <v>1745</v>
      </c>
      <c r="E47" s="9">
        <v>8468</v>
      </c>
      <c r="F47" s="1" t="str">
        <f>VLOOKUP(D47,Table12[[Name]:[Native]],3,FALSE)</f>
        <v>右玉县</v>
      </c>
      <c r="G47" s="12" t="str">
        <f ca="1">VLOOKUP(F47,Table12[[Native]:[Population4]],5,FALSE)</f>
        <v>朔州市</v>
      </c>
    </row>
    <row r="48" spans="1:7" ht="15.75" thickBot="1" x14ac:dyDescent="0.3">
      <c r="A48" t="s">
        <v>1822</v>
      </c>
      <c r="B48" s="1" t="s">
        <v>1823</v>
      </c>
      <c r="C48" s="1" t="s">
        <v>7</v>
      </c>
      <c r="D48" s="1" t="s">
        <v>1771</v>
      </c>
      <c r="E48" s="9">
        <v>8117</v>
      </c>
      <c r="F48" s="1" t="str">
        <f>VLOOKUP(D48,Table12[[Name]:[Native]],3,FALSE)</f>
        <v>怀仁市</v>
      </c>
      <c r="G48" s="12" t="str">
        <f ca="1">VLOOKUP(F48,Table12[[Native]:[Population4]],5,FALSE)</f>
        <v>朔州市</v>
      </c>
    </row>
    <row r="49" spans="1:7" ht="15.75" thickBot="1" x14ac:dyDescent="0.3">
      <c r="A49" t="s">
        <v>1824</v>
      </c>
      <c r="B49" s="1" t="s">
        <v>1825</v>
      </c>
      <c r="C49" s="1" t="s">
        <v>17</v>
      </c>
      <c r="D49" s="1" t="s">
        <v>1736</v>
      </c>
      <c r="E49" s="9">
        <v>2455</v>
      </c>
      <c r="F49" s="1" t="str">
        <f>VLOOKUP(D49,Table12[[Name]:[Native]],3,FALSE)</f>
        <v>山阴县</v>
      </c>
      <c r="G49" s="12" t="str">
        <f ca="1">VLOOKUP(F49,Table12[[Native]:[Population4]],5,FALSE)</f>
        <v>朔州市</v>
      </c>
    </row>
    <row r="50" spans="1:7" ht="15.75" thickBot="1" x14ac:dyDescent="0.3">
      <c r="A50" t="s">
        <v>1826</v>
      </c>
      <c r="B50" s="1" t="s">
        <v>1827</v>
      </c>
      <c r="C50" s="1" t="s">
        <v>17</v>
      </c>
      <c r="D50" s="1" t="s">
        <v>1736</v>
      </c>
      <c r="E50" s="9">
        <v>3207</v>
      </c>
      <c r="F50" s="1" t="str">
        <f>VLOOKUP(D50,Table12[[Name]:[Native]],3,FALSE)</f>
        <v>山阴县</v>
      </c>
      <c r="G50" s="12" t="str">
        <f ca="1">VLOOKUP(F50,Table12[[Native]:[Population4]],5,FALSE)</f>
        <v>朔州市</v>
      </c>
    </row>
    <row r="51" spans="1:7" ht="15.75" thickBot="1" x14ac:dyDescent="0.3">
      <c r="A51" t="s">
        <v>1828</v>
      </c>
      <c r="B51" s="1" t="s">
        <v>1829</v>
      </c>
      <c r="C51" s="1" t="s">
        <v>17</v>
      </c>
      <c r="D51" s="1" t="s">
        <v>1739</v>
      </c>
      <c r="E51" s="9">
        <v>9922</v>
      </c>
      <c r="F51" s="1" t="str">
        <f>VLOOKUP(D51,Table12[[Name]:[Native]],3,FALSE)</f>
        <v>应县</v>
      </c>
      <c r="G51" s="12" t="str">
        <f ca="1">VLOOKUP(F51,Table12[[Native]:[Population4]],5,FALSE)</f>
        <v>朔州市</v>
      </c>
    </row>
    <row r="52" spans="1:7" ht="15.75" thickBot="1" x14ac:dyDescent="0.3">
      <c r="A52" t="s">
        <v>1830</v>
      </c>
      <c r="B52" s="1" t="s">
        <v>1831</v>
      </c>
      <c r="C52" s="1" t="s">
        <v>17</v>
      </c>
      <c r="D52" s="1" t="s">
        <v>1742</v>
      </c>
      <c r="E52" s="9">
        <v>14755</v>
      </c>
      <c r="F52" s="1" t="str">
        <f>VLOOKUP(D52,Table12[[Name]:[Native]],3,FALSE)</f>
        <v>平鲁区</v>
      </c>
      <c r="G52" s="12" t="str">
        <f ca="1">VLOOKUP(F52,Table12[[Native]:[Population4]],5,FALSE)</f>
        <v>朔州市</v>
      </c>
    </row>
    <row r="53" spans="1:7" ht="15.75" thickBot="1" x14ac:dyDescent="0.3">
      <c r="A53" t="s">
        <v>1832</v>
      </c>
      <c r="B53" s="1" t="s">
        <v>1833</v>
      </c>
      <c r="C53" s="1" t="s">
        <v>17</v>
      </c>
      <c r="D53" s="1" t="s">
        <v>1742</v>
      </c>
      <c r="E53" s="9">
        <v>2241</v>
      </c>
      <c r="F53" s="1" t="str">
        <f>VLOOKUP(D53,Table12[[Name]:[Native]],3,FALSE)</f>
        <v>平鲁区</v>
      </c>
      <c r="G53" s="12" t="str">
        <f ca="1">VLOOKUP(F53,Table12[[Native]:[Population4]],5,FALSE)</f>
        <v>朔州市</v>
      </c>
    </row>
    <row r="54" spans="1:7" ht="15.75" thickBot="1" x14ac:dyDescent="0.3">
      <c r="A54" t="s">
        <v>1834</v>
      </c>
      <c r="B54" s="1" t="s">
        <v>1835</v>
      </c>
      <c r="C54" s="1" t="s">
        <v>17</v>
      </c>
      <c r="D54" s="1" t="s">
        <v>1742</v>
      </c>
      <c r="E54" s="9">
        <v>12380</v>
      </c>
      <c r="F54" s="1" t="str">
        <f>VLOOKUP(D54,Table12[[Name]:[Native]],3,FALSE)</f>
        <v>平鲁区</v>
      </c>
      <c r="G54" s="12" t="str">
        <f ca="1">VLOOKUP(F54,Table12[[Native]:[Population4]],5,FALSE)</f>
        <v>朔州市</v>
      </c>
    </row>
    <row r="55" spans="1:7" ht="15.75" thickBot="1" x14ac:dyDescent="0.3">
      <c r="A55" t="s">
        <v>1836</v>
      </c>
      <c r="B55" s="1" t="s">
        <v>1837</v>
      </c>
      <c r="C55" s="1" t="s">
        <v>17</v>
      </c>
      <c r="D55" s="1" t="s">
        <v>1746</v>
      </c>
      <c r="E55" s="9">
        <v>23658</v>
      </c>
      <c r="F55" s="1" t="str">
        <f>VLOOKUP(D55,Table12[[Name]:[Native]],3,FALSE)</f>
        <v>朔城区</v>
      </c>
      <c r="G55" s="12" t="str">
        <f ca="1">VLOOKUP(F55,Table12[[Native]:[Population4]],5,FALSE)</f>
        <v>朔州市</v>
      </c>
    </row>
    <row r="56" spans="1:7" ht="15.75" thickBot="1" x14ac:dyDescent="0.3">
      <c r="A56" t="s">
        <v>1838</v>
      </c>
      <c r="B56" s="1" t="s">
        <v>1839</v>
      </c>
      <c r="C56" s="1" t="s">
        <v>7</v>
      </c>
      <c r="D56" s="1" t="s">
        <v>1739</v>
      </c>
      <c r="E56" s="9">
        <v>21781</v>
      </c>
      <c r="F56" s="1" t="str">
        <f>VLOOKUP(D56,Table12[[Name]:[Native]],3,FALSE)</f>
        <v>应县</v>
      </c>
      <c r="G56" s="12" t="str">
        <f ca="1">VLOOKUP(F56,Table12[[Native]:[Population4]],5,FALSE)</f>
        <v>朔州市</v>
      </c>
    </row>
    <row r="57" spans="1:7" ht="15.75" thickBot="1" x14ac:dyDescent="0.3">
      <c r="A57" t="s">
        <v>1840</v>
      </c>
      <c r="B57" s="1" t="s">
        <v>1841</v>
      </c>
      <c r="C57" s="1" t="s">
        <v>17</v>
      </c>
      <c r="D57" s="1" t="s">
        <v>1742</v>
      </c>
      <c r="E57" s="9">
        <v>7050</v>
      </c>
      <c r="F57" s="1" t="str">
        <f>VLOOKUP(D57,Table12[[Name]:[Native]],3,FALSE)</f>
        <v>平鲁区</v>
      </c>
      <c r="G57" s="12" t="str">
        <f ca="1">VLOOKUP(F57,Table12[[Native]:[Population4]],5,FALSE)</f>
        <v>朔州市</v>
      </c>
    </row>
    <row r="58" spans="1:7" ht="15.75" thickBot="1" x14ac:dyDescent="0.3">
      <c r="A58" t="s">
        <v>1842</v>
      </c>
      <c r="B58" s="1" t="s">
        <v>1843</v>
      </c>
      <c r="C58" s="1" t="s">
        <v>17</v>
      </c>
      <c r="D58" s="1" t="s">
        <v>1746</v>
      </c>
      <c r="E58" s="9">
        <v>25141</v>
      </c>
      <c r="F58" s="1" t="str">
        <f>VLOOKUP(D58,Table12[[Name]:[Native]],3,FALSE)</f>
        <v>朔城区</v>
      </c>
      <c r="G58" s="12" t="str">
        <f ca="1">VLOOKUP(F58,Table12[[Native]:[Population4]],5,FALSE)</f>
        <v>朔州市</v>
      </c>
    </row>
    <row r="59" spans="1:7" ht="15.75" thickBot="1" x14ac:dyDescent="0.3">
      <c r="A59" t="s">
        <v>1844</v>
      </c>
      <c r="B59" s="1" t="s">
        <v>1845</v>
      </c>
      <c r="C59" s="1" t="s">
        <v>31</v>
      </c>
      <c r="D59" s="1" t="s">
        <v>1736</v>
      </c>
      <c r="E59" s="9">
        <v>46031</v>
      </c>
      <c r="F59" s="1" t="str">
        <f>VLOOKUP(D59,Table12[[Name]:[Native]],3,FALSE)</f>
        <v>山阴县</v>
      </c>
      <c r="G59" s="12" t="str">
        <f ca="1">VLOOKUP(F59,Table12[[Native]:[Population4]],5,FALSE)</f>
        <v>朔州市</v>
      </c>
    </row>
    <row r="60" spans="1:7" ht="15.75" thickBot="1" x14ac:dyDescent="0.3">
      <c r="A60" t="s">
        <v>1345</v>
      </c>
      <c r="B60" s="1" t="s">
        <v>1346</v>
      </c>
      <c r="C60" s="1" t="s">
        <v>7</v>
      </c>
      <c r="D60" s="1" t="s">
        <v>1745</v>
      </c>
      <c r="E60" s="9">
        <v>52903</v>
      </c>
      <c r="F60" s="1" t="str">
        <f>VLOOKUP(D60,Table12[[Name]:[Native]],3,FALSE)</f>
        <v>右玉县</v>
      </c>
      <c r="G60" s="12" t="str">
        <f ca="1">VLOOKUP(F60,Table12[[Native]:[Population4]],5,FALSE)</f>
        <v>朔州市</v>
      </c>
    </row>
    <row r="61" spans="1:7" ht="15.75" thickBot="1" x14ac:dyDescent="0.3">
      <c r="A61" t="s">
        <v>1846</v>
      </c>
      <c r="B61" s="1" t="s">
        <v>1847</v>
      </c>
      <c r="C61" s="1" t="s">
        <v>17</v>
      </c>
      <c r="D61" s="1" t="s">
        <v>1739</v>
      </c>
      <c r="E61" s="9">
        <v>16971</v>
      </c>
      <c r="F61" s="1" t="str">
        <f>VLOOKUP(D61,Table12[[Name]:[Native]],3,FALSE)</f>
        <v>应县</v>
      </c>
      <c r="G61" s="12" t="str">
        <f ca="1">VLOOKUP(F61,Table12[[Native]:[Population4]],5,FALSE)</f>
        <v>朔州市</v>
      </c>
    </row>
    <row r="62" spans="1:7" ht="15.75" thickBot="1" x14ac:dyDescent="0.3">
      <c r="A62" t="s">
        <v>1848</v>
      </c>
      <c r="B62" s="1" t="s">
        <v>1849</v>
      </c>
      <c r="C62" s="1" t="s">
        <v>17</v>
      </c>
      <c r="D62" s="1" t="s">
        <v>1771</v>
      </c>
      <c r="E62" s="9">
        <v>45815</v>
      </c>
      <c r="F62" s="1" t="str">
        <f>VLOOKUP(D62,Table12[[Name]:[Native]],3,FALSE)</f>
        <v>怀仁市</v>
      </c>
      <c r="G62" s="12" t="str">
        <f ca="1">VLOOKUP(F62,Table12[[Native]:[Population4]],5,FALSE)</f>
        <v>朔州市</v>
      </c>
    </row>
    <row r="63" spans="1:7" ht="15.75" thickBot="1" x14ac:dyDescent="0.3">
      <c r="A63" t="s">
        <v>1850</v>
      </c>
      <c r="B63" s="1" t="s">
        <v>1851</v>
      </c>
      <c r="C63" s="1" t="s">
        <v>17</v>
      </c>
      <c r="D63" s="1" t="s">
        <v>1742</v>
      </c>
      <c r="E63" s="9">
        <v>4768</v>
      </c>
      <c r="F63" s="1" t="str">
        <f>VLOOKUP(D63,Table12[[Name]:[Native]],3,FALSE)</f>
        <v>平鲁区</v>
      </c>
      <c r="G63" s="12" t="str">
        <f ca="1">VLOOKUP(F63,Table12[[Native]:[Population4]],5,FALSE)</f>
        <v>朔州市</v>
      </c>
    </row>
    <row r="64" spans="1:7" ht="15.75" thickBot="1" x14ac:dyDescent="0.3">
      <c r="A64" t="s">
        <v>1852</v>
      </c>
      <c r="B64" s="1" t="s">
        <v>1853</v>
      </c>
      <c r="C64" s="1" t="s">
        <v>17</v>
      </c>
      <c r="D64" s="1" t="s">
        <v>1736</v>
      </c>
      <c r="E64" s="9">
        <v>9379</v>
      </c>
      <c r="F64" s="1" t="str">
        <f>VLOOKUP(D64,Table12[[Name]:[Native]],3,FALSE)</f>
        <v>山阴县</v>
      </c>
      <c r="G64" s="12" t="str">
        <f ca="1">VLOOKUP(F64,Table12[[Native]:[Population4]],5,FALSE)</f>
        <v>朔州市</v>
      </c>
    </row>
    <row r="65" spans="1:7" ht="15.75" thickBot="1" x14ac:dyDescent="0.3">
      <c r="A65" t="s">
        <v>1854</v>
      </c>
      <c r="B65" s="1" t="s">
        <v>1855</v>
      </c>
      <c r="C65" s="1" t="s">
        <v>17</v>
      </c>
      <c r="D65" s="1" t="s">
        <v>1745</v>
      </c>
      <c r="E65" s="9">
        <v>2925</v>
      </c>
      <c r="F65" s="1" t="str">
        <f>VLOOKUP(D65,Table12[[Name]:[Native]],3,FALSE)</f>
        <v>右玉县</v>
      </c>
      <c r="G65" s="12" t="str">
        <f ca="1">VLOOKUP(F65,Table12[[Native]:[Population4]],5,FALSE)</f>
        <v>朔州市</v>
      </c>
    </row>
    <row r="66" spans="1:7" ht="15.75" thickBot="1" x14ac:dyDescent="0.3">
      <c r="A66" t="s">
        <v>1856</v>
      </c>
      <c r="B66" s="1" t="s">
        <v>1857</v>
      </c>
      <c r="C66" s="1" t="s">
        <v>17</v>
      </c>
      <c r="D66" s="1" t="s">
        <v>1746</v>
      </c>
      <c r="E66" s="9">
        <v>10195</v>
      </c>
      <c r="F66" s="1" t="str">
        <f>VLOOKUP(D66,Table12[[Name]:[Native]],3,FALSE)</f>
        <v>朔城区</v>
      </c>
      <c r="G66" s="12" t="str">
        <f ca="1">VLOOKUP(F66,Table12[[Native]:[Population4]],5,FALSE)</f>
        <v>朔州市</v>
      </c>
    </row>
    <row r="67" spans="1:7" ht="15.75" thickBot="1" x14ac:dyDescent="0.3">
      <c r="A67" t="s">
        <v>1858</v>
      </c>
      <c r="B67" s="1" t="s">
        <v>1859</v>
      </c>
      <c r="C67" s="1" t="s">
        <v>17</v>
      </c>
      <c r="D67" s="1" t="s">
        <v>1739</v>
      </c>
      <c r="E67" s="9">
        <v>19905</v>
      </c>
      <c r="F67" s="1" t="str">
        <f>VLOOKUP(D67,Table12[[Name]:[Native]],3,FALSE)</f>
        <v>应县</v>
      </c>
      <c r="G67" s="12" t="str">
        <f ca="1">VLOOKUP(F67,Table12[[Native]:[Population4]],5,FALSE)</f>
        <v>朔州市</v>
      </c>
    </row>
    <row r="68" spans="1:7" ht="15.75" thickBot="1" x14ac:dyDescent="0.3">
      <c r="A68" t="s">
        <v>1860</v>
      </c>
      <c r="B68" s="1" t="s">
        <v>1861</v>
      </c>
      <c r="C68" s="1" t="s">
        <v>7</v>
      </c>
      <c r="D68" s="1" t="s">
        <v>1745</v>
      </c>
      <c r="E68" s="9">
        <v>10017</v>
      </c>
      <c r="F68" s="1" t="str">
        <f>VLOOKUP(D68,Table12[[Name]:[Native]],3,FALSE)</f>
        <v>右玉县</v>
      </c>
      <c r="G68" s="12" t="str">
        <f ca="1">VLOOKUP(F68,Table12[[Native]:[Population4]],5,FALSE)</f>
        <v>朔州市</v>
      </c>
    </row>
    <row r="69" spans="1:7" ht="15.75" thickBot="1" x14ac:dyDescent="0.3">
      <c r="A69" t="s">
        <v>1862</v>
      </c>
      <c r="B69" s="1" t="s">
        <v>1863</v>
      </c>
      <c r="C69" s="1" t="s">
        <v>7</v>
      </c>
      <c r="D69" s="1" t="s">
        <v>1745</v>
      </c>
      <c r="E69" s="9">
        <v>11837</v>
      </c>
      <c r="F69" s="1" t="str">
        <f>VLOOKUP(D69,Table12[[Name]:[Native]],3,FALSE)</f>
        <v>右玉县</v>
      </c>
      <c r="G69" s="12" t="str">
        <f ca="1">VLOOKUP(F69,Table12[[Native]:[Population4]],5,FALSE)</f>
        <v>朔州市</v>
      </c>
    </row>
    <row r="70" spans="1:7" ht="15.75" thickBot="1" x14ac:dyDescent="0.3">
      <c r="A70" t="s">
        <v>1864</v>
      </c>
      <c r="B70" s="1" t="s">
        <v>1865</v>
      </c>
      <c r="C70" s="1" t="s">
        <v>7</v>
      </c>
      <c r="D70" s="1" t="s">
        <v>1736</v>
      </c>
      <c r="E70" s="9">
        <v>11863</v>
      </c>
      <c r="F70" s="1" t="str">
        <f>VLOOKUP(D70,Table12[[Name]:[Native]],3,FALSE)</f>
        <v>山阴县</v>
      </c>
      <c r="G70" s="12" t="str">
        <f ca="1">VLOOKUP(F70,Table12[[Native]:[Population4]],5,FALSE)</f>
        <v>朔州市</v>
      </c>
    </row>
    <row r="71" spans="1:7" ht="15.75" thickBot="1" x14ac:dyDescent="0.3">
      <c r="A71" t="s">
        <v>1866</v>
      </c>
      <c r="B71" s="1" t="s">
        <v>1867</v>
      </c>
      <c r="C71" s="1" t="s">
        <v>17</v>
      </c>
      <c r="D71" s="1" t="s">
        <v>1742</v>
      </c>
      <c r="E71" s="9">
        <v>9925</v>
      </c>
      <c r="F71" s="1" t="str">
        <f>VLOOKUP(D71,Table12[[Name]:[Native]],3,FALSE)</f>
        <v>平鲁区</v>
      </c>
      <c r="G71" s="12" t="str">
        <f ca="1">VLOOKUP(F71,Table12[[Native]:[Population4]],5,FALSE)</f>
        <v>朔州市</v>
      </c>
    </row>
    <row r="72" spans="1:7" ht="15.75" thickBot="1" x14ac:dyDescent="0.3">
      <c r="A72" t="s">
        <v>1868</v>
      </c>
      <c r="B72" s="1" t="s">
        <v>1869</v>
      </c>
      <c r="C72" s="1" t="s">
        <v>7</v>
      </c>
      <c r="D72" s="1" t="s">
        <v>1771</v>
      </c>
      <c r="E72" s="9">
        <v>169481</v>
      </c>
      <c r="F72" s="1" t="str">
        <f>VLOOKUP(D72,Table12[[Name]:[Native]],3,FALSE)</f>
        <v>怀仁市</v>
      </c>
      <c r="G72" s="12" t="str">
        <f ca="1">VLOOKUP(F72,Table12[[Native]:[Population4]],5,FALSE)</f>
        <v>朔州市</v>
      </c>
    </row>
    <row r="73" spans="1:7" ht="15.75" thickBot="1" x14ac:dyDescent="0.3">
      <c r="A73" t="s">
        <v>1870</v>
      </c>
      <c r="B73" s="1" t="s">
        <v>1871</v>
      </c>
      <c r="C73" s="1" t="s">
        <v>17</v>
      </c>
      <c r="D73" s="1" t="s">
        <v>1739</v>
      </c>
      <c r="E73" s="9">
        <v>26009</v>
      </c>
      <c r="F73" s="1" t="str">
        <f>VLOOKUP(D73,Table12[[Name]:[Native]],3,FALSE)</f>
        <v>应县</v>
      </c>
      <c r="G73" s="12" t="str">
        <f ca="1">VLOOKUP(F73,Table12[[Native]:[Population4]],5,FALSE)</f>
        <v>朔州市</v>
      </c>
    </row>
    <row r="74" spans="1:7" ht="15.75" thickBot="1" x14ac:dyDescent="0.3">
      <c r="A74" t="s">
        <v>1872</v>
      </c>
      <c r="B74" s="1" t="s">
        <v>1873</v>
      </c>
      <c r="C74" s="1" t="s">
        <v>17</v>
      </c>
      <c r="D74" s="1" t="s">
        <v>1746</v>
      </c>
      <c r="E74" s="9">
        <v>9108</v>
      </c>
      <c r="F74" s="1" t="str">
        <f>VLOOKUP(D74,Table12[[Name]:[Native]],3,FALSE)</f>
        <v>朔城区</v>
      </c>
      <c r="G74" s="12" t="str">
        <f ca="1">VLOOKUP(F74,Table12[[Native]:[Population4]],5,FALSE)</f>
        <v>朔州市</v>
      </c>
    </row>
    <row r="75" spans="1:7" ht="15.75" thickBot="1" x14ac:dyDescent="0.3">
      <c r="A75" t="s">
        <v>1874</v>
      </c>
      <c r="B75" s="1" t="s">
        <v>1875</v>
      </c>
      <c r="C75" s="1" t="s">
        <v>17</v>
      </c>
      <c r="D75" s="1" t="s">
        <v>1736</v>
      </c>
      <c r="E75" s="9">
        <v>6512</v>
      </c>
      <c r="F75" s="1" t="str">
        <f>VLOOKUP(D75,Table12[[Name]:[Native]],3,FALSE)</f>
        <v>山阴县</v>
      </c>
      <c r="G75" s="12" t="str">
        <f ca="1">VLOOKUP(F75,Table12[[Native]:[Population4]],5,FALSE)</f>
        <v>朔州市</v>
      </c>
    </row>
    <row r="76" spans="1:7" ht="15.75" thickBot="1" x14ac:dyDescent="0.3">
      <c r="A76" t="s">
        <v>1876</v>
      </c>
      <c r="B76" s="1" t="s">
        <v>1877</v>
      </c>
      <c r="C76" s="1" t="s">
        <v>17</v>
      </c>
      <c r="D76" s="1" t="s">
        <v>1739</v>
      </c>
      <c r="E76" s="9">
        <v>18504</v>
      </c>
      <c r="F76" s="1" t="str">
        <f>VLOOKUP(D76,Table12[[Name]:[Native]],3,FALSE)</f>
        <v>应县</v>
      </c>
      <c r="G76" s="12" t="str">
        <f ca="1">VLOOKUP(F76,Table12[[Native]:[Population4]],5,FALSE)</f>
        <v>朔州市</v>
      </c>
    </row>
    <row r="77" spans="1:7" ht="15.75" thickBot="1" x14ac:dyDescent="0.3">
      <c r="A77" t="s">
        <v>1878</v>
      </c>
      <c r="B77" s="1" t="s">
        <v>1879</v>
      </c>
      <c r="C77" s="1" t="s">
        <v>17</v>
      </c>
      <c r="D77" s="1" t="s">
        <v>1746</v>
      </c>
      <c r="E77" s="9">
        <v>13568</v>
      </c>
      <c r="F77" s="1" t="str">
        <f>VLOOKUP(D77,Table12[[Name]:[Native]],3,FALSE)</f>
        <v>朔城区</v>
      </c>
      <c r="G77" s="12" t="str">
        <f ca="1">VLOOKUP(F77,Table12[[Native]:[Population4]],5,FALSE)</f>
        <v>朔州市</v>
      </c>
    </row>
    <row r="78" spans="1:7" ht="15.75" thickBot="1" x14ac:dyDescent="0.3">
      <c r="A78" t="s">
        <v>1880</v>
      </c>
      <c r="B78" s="1" t="s">
        <v>1881</v>
      </c>
      <c r="C78" s="1" t="s">
        <v>17</v>
      </c>
      <c r="D78" s="1" t="s">
        <v>1742</v>
      </c>
      <c r="E78" s="9">
        <v>6554</v>
      </c>
      <c r="F78" s="8" t="str">
        <f>VLOOKUP(D78,Table12[[Name]:[Native]],3,FALSE)</f>
        <v>平鲁区</v>
      </c>
      <c r="G78" s="12" t="str">
        <f ca="1">VLOOKUP(F78,Table12[[Native]:[Population4]],5,FALSE)</f>
        <v>朔州市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75F2F-EB41-4D1E-B0C4-5405B8D03F7D}">
  <dimension ref="A1:G110"/>
  <sheetViews>
    <sheetView topLeftCell="A85" workbookViewId="0">
      <selection activeCell="G2" sqref="A2:G11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1882</v>
      </c>
      <c r="B2" s="1" t="s">
        <v>1883</v>
      </c>
      <c r="C2" s="1" t="s">
        <v>17</v>
      </c>
      <c r="D2" s="1" t="s">
        <v>1884</v>
      </c>
      <c r="E2" s="9">
        <v>11105</v>
      </c>
      <c r="F2" s="7" t="str">
        <f>VLOOKUP(D2,Table12[[Name]:[Native]],3,FALSE)</f>
        <v>尖草坪区</v>
      </c>
      <c r="G2" s="12" t="str">
        <f ca="1">VLOOKUP(F2,Table12[[Native]:[Population4]],5,FALSE)</f>
        <v>太原市</v>
      </c>
    </row>
    <row r="3" spans="1:7" ht="15.75" thickBot="1" x14ac:dyDescent="0.3">
      <c r="A3" t="s">
        <v>1885</v>
      </c>
      <c r="B3" s="1" t="s">
        <v>1886</v>
      </c>
      <c r="C3" s="1" t="s">
        <v>31</v>
      </c>
      <c r="D3" s="1" t="s">
        <v>1887</v>
      </c>
      <c r="E3" s="9">
        <v>30685</v>
      </c>
      <c r="F3" s="1" t="str">
        <f>VLOOKUP(D3,Table12[[Name]:[Native]],3,FALSE)</f>
        <v>万柏林区</v>
      </c>
      <c r="G3" s="12" t="str">
        <f ca="1">VLOOKUP(F3,Table12[[Native]:[Population4]],5,FALSE)</f>
        <v>太原市</v>
      </c>
    </row>
    <row r="4" spans="1:7" ht="15.75" thickBot="1" x14ac:dyDescent="0.3">
      <c r="A4" t="s">
        <v>1888</v>
      </c>
      <c r="B4" s="1" t="s">
        <v>1889</v>
      </c>
      <c r="C4" s="1" t="s">
        <v>31</v>
      </c>
      <c r="D4" s="1" t="s">
        <v>1890</v>
      </c>
      <c r="E4" s="9">
        <v>44988</v>
      </c>
      <c r="F4" s="1" t="str">
        <f>VLOOKUP(D4,Table12[[Name]:[Native]],3,FALSE)</f>
        <v>杏花岭区</v>
      </c>
      <c r="G4" s="12" t="str">
        <f ca="1">VLOOKUP(F4,Table12[[Native]:[Population4]],5,FALSE)</f>
        <v>太原市</v>
      </c>
    </row>
    <row r="5" spans="1:7" ht="15.75" thickBot="1" x14ac:dyDescent="0.3">
      <c r="A5" t="s">
        <v>1891</v>
      </c>
      <c r="B5" s="1" t="s">
        <v>1892</v>
      </c>
      <c r="C5" s="1" t="s">
        <v>7</v>
      </c>
      <c r="D5" s="1" t="s">
        <v>1893</v>
      </c>
      <c r="E5" s="9">
        <v>36394</v>
      </c>
      <c r="F5" s="1" t="str">
        <f>VLOOKUP(D5,Table12[[Name]:[Native]],3,FALSE)</f>
        <v>小店区</v>
      </c>
      <c r="G5" s="12" t="str">
        <f ca="1">VLOOKUP(F5,Table12[[Native]:[Population4]],5,FALSE)</f>
        <v>太原市</v>
      </c>
    </row>
    <row r="6" spans="1:7" ht="15.75" thickBot="1" x14ac:dyDescent="0.3">
      <c r="A6" t="s">
        <v>1894</v>
      </c>
      <c r="B6" s="1" t="s">
        <v>1895</v>
      </c>
      <c r="C6" s="1" t="s">
        <v>17</v>
      </c>
      <c r="D6" s="1" t="s">
        <v>1896</v>
      </c>
      <c r="E6" s="9">
        <v>1638</v>
      </c>
      <c r="F6" s="1" t="str">
        <f>VLOOKUP(D6,Table12[[Name]:[Native]],3,FALSE)</f>
        <v>阳曲县</v>
      </c>
      <c r="G6" s="12" t="str">
        <f ca="1">VLOOKUP(F6,Table12[[Native]:[Population4]],5,FALSE)</f>
        <v>太原市</v>
      </c>
    </row>
    <row r="7" spans="1:7" ht="15.75" thickBot="1" x14ac:dyDescent="0.3">
      <c r="A7" t="s">
        <v>1897</v>
      </c>
      <c r="B7" s="1" t="s">
        <v>1898</v>
      </c>
      <c r="C7" s="1" t="s">
        <v>31</v>
      </c>
      <c r="D7" s="1" t="s">
        <v>1893</v>
      </c>
      <c r="E7" s="9">
        <v>53257</v>
      </c>
      <c r="F7" s="1" t="str">
        <f>VLOOKUP(D7,Table12[[Name]:[Native]],3,FALSE)</f>
        <v>小店区</v>
      </c>
      <c r="G7" s="12" t="str">
        <f ca="1">VLOOKUP(F7,Table12[[Native]:[Population4]],5,FALSE)</f>
        <v>太原市</v>
      </c>
    </row>
    <row r="8" spans="1:7" ht="15.75" thickBot="1" x14ac:dyDescent="0.3">
      <c r="A8" t="s">
        <v>1899</v>
      </c>
      <c r="B8" s="1" t="s">
        <v>1900</v>
      </c>
      <c r="C8" s="1" t="s">
        <v>31</v>
      </c>
      <c r="D8" s="1" t="s">
        <v>1884</v>
      </c>
      <c r="E8" s="9">
        <v>40143</v>
      </c>
      <c r="F8" s="1" t="str">
        <f>VLOOKUP(D8,Table12[[Name]:[Native]],3,FALSE)</f>
        <v>尖草坪区</v>
      </c>
      <c r="G8" s="12" t="str">
        <f ca="1">VLOOKUP(F8,Table12[[Native]:[Population4]],5,FALSE)</f>
        <v>太原市</v>
      </c>
    </row>
    <row r="9" spans="1:7" ht="15.75" thickBot="1" x14ac:dyDescent="0.3">
      <c r="A9" t="s">
        <v>1901</v>
      </c>
      <c r="B9" s="1" t="s">
        <v>1902</v>
      </c>
      <c r="C9" s="1" t="s">
        <v>17</v>
      </c>
      <c r="D9" s="1" t="s">
        <v>1903</v>
      </c>
      <c r="E9" s="9">
        <v>6629</v>
      </c>
      <c r="F9" s="1" t="str">
        <f>VLOOKUP(D9,Table12[[Name]:[Native]],3,FALSE)</f>
        <v>古交市</v>
      </c>
      <c r="G9" s="12" t="str">
        <f ca="1">VLOOKUP(F9,Table12[[Native]:[Population4]],5,FALSE)</f>
        <v>太原市</v>
      </c>
    </row>
    <row r="10" spans="1:7" ht="15.75" thickBot="1" x14ac:dyDescent="0.3">
      <c r="A10" t="s">
        <v>1904</v>
      </c>
      <c r="B10" s="1" t="s">
        <v>1905</v>
      </c>
      <c r="C10" s="1" t="s">
        <v>17</v>
      </c>
      <c r="D10" s="1" t="s">
        <v>1903</v>
      </c>
      <c r="E10" s="9">
        <v>6123</v>
      </c>
      <c r="F10" s="1" t="str">
        <f>VLOOKUP(D10,Table12[[Name]:[Native]],3,FALSE)</f>
        <v>古交市</v>
      </c>
      <c r="G10" s="12" t="str">
        <f ca="1">VLOOKUP(F10,Table12[[Native]:[Population4]],5,FALSE)</f>
        <v>太原市</v>
      </c>
    </row>
    <row r="11" spans="1:7" ht="15.75" thickBot="1" x14ac:dyDescent="0.3">
      <c r="A11" t="s">
        <v>1906</v>
      </c>
      <c r="B11" s="1" t="s">
        <v>1907</v>
      </c>
      <c r="C11" s="1" t="s">
        <v>31</v>
      </c>
      <c r="D11" s="1" t="s">
        <v>1887</v>
      </c>
      <c r="E11" s="9">
        <v>82649</v>
      </c>
      <c r="F11" s="1" t="str">
        <f>VLOOKUP(D11,Table12[[Name]:[Native]],3,FALSE)</f>
        <v>万柏林区</v>
      </c>
      <c r="G11" s="12" t="str">
        <f ca="1">VLOOKUP(F11,Table12[[Native]:[Population4]],5,FALSE)</f>
        <v>太原市</v>
      </c>
    </row>
    <row r="12" spans="1:7" ht="15.75" thickBot="1" x14ac:dyDescent="0.3">
      <c r="A12" t="s">
        <v>1908</v>
      </c>
      <c r="B12" s="1" t="s">
        <v>1909</v>
      </c>
      <c r="C12" s="1" t="s">
        <v>31</v>
      </c>
      <c r="D12" s="1" t="s">
        <v>1890</v>
      </c>
      <c r="E12" s="9">
        <v>54955</v>
      </c>
      <c r="F12" s="1" t="str">
        <f>VLOOKUP(D12,Table12[[Name]:[Native]],3,FALSE)</f>
        <v>杏花岭区</v>
      </c>
      <c r="G12" s="12" t="str">
        <f ca="1">VLOOKUP(F12,Table12[[Native]:[Population4]],5,FALSE)</f>
        <v>太原市</v>
      </c>
    </row>
    <row r="13" spans="1:7" ht="15.75" thickBot="1" x14ac:dyDescent="0.3">
      <c r="A13" t="s">
        <v>1910</v>
      </c>
      <c r="B13" s="1" t="s">
        <v>1911</v>
      </c>
      <c r="C13" s="1" t="s">
        <v>7</v>
      </c>
      <c r="D13" s="1" t="s">
        <v>1896</v>
      </c>
      <c r="E13" s="9">
        <v>10959</v>
      </c>
      <c r="F13" s="1" t="str">
        <f>VLOOKUP(D13,Table12[[Name]:[Native]],3,FALSE)</f>
        <v>阳曲县</v>
      </c>
      <c r="G13" s="12" t="str">
        <f ca="1">VLOOKUP(F13,Table12[[Native]:[Population4]],5,FALSE)</f>
        <v>太原市</v>
      </c>
    </row>
    <row r="14" spans="1:7" ht="15.75" thickBot="1" x14ac:dyDescent="0.3">
      <c r="A14" t="s">
        <v>1912</v>
      </c>
      <c r="B14" s="1" t="s">
        <v>1913</v>
      </c>
      <c r="C14" s="1" t="s">
        <v>7</v>
      </c>
      <c r="D14" s="1" t="s">
        <v>1896</v>
      </c>
      <c r="E14" s="9">
        <v>9722</v>
      </c>
      <c r="F14" s="1" t="str">
        <f>VLOOKUP(D14,Table12[[Name]:[Native]],3,FALSE)</f>
        <v>阳曲县</v>
      </c>
      <c r="G14" s="12" t="str">
        <f ca="1">VLOOKUP(F14,Table12[[Native]:[Population4]],5,FALSE)</f>
        <v>太原市</v>
      </c>
    </row>
    <row r="15" spans="1:7" ht="15.75" thickBot="1" x14ac:dyDescent="0.3">
      <c r="A15" t="s">
        <v>1914</v>
      </c>
      <c r="B15" s="1" t="s">
        <v>1915</v>
      </c>
      <c r="C15" s="1" t="s">
        <v>31</v>
      </c>
      <c r="D15" s="1" t="s">
        <v>1903</v>
      </c>
      <c r="E15" s="9">
        <v>40872</v>
      </c>
      <c r="F15" s="1" t="str">
        <f>VLOOKUP(D15,Table12[[Name]:[Native]],3,FALSE)</f>
        <v>古交市</v>
      </c>
      <c r="G15" s="12" t="str">
        <f ca="1">VLOOKUP(F15,Table12[[Native]:[Population4]],5,FALSE)</f>
        <v>太原市</v>
      </c>
    </row>
    <row r="16" spans="1:7" ht="15.75" thickBot="1" x14ac:dyDescent="0.3">
      <c r="A16" t="s">
        <v>1916</v>
      </c>
      <c r="B16" s="1" t="s">
        <v>1917</v>
      </c>
      <c r="C16" s="1" t="s">
        <v>31</v>
      </c>
      <c r="D16" s="1" t="s">
        <v>1887</v>
      </c>
      <c r="E16" s="9">
        <v>25427</v>
      </c>
      <c r="F16" s="1" t="str">
        <f>VLOOKUP(D16,Table12[[Name]:[Native]],3,FALSE)</f>
        <v>万柏林区</v>
      </c>
      <c r="G16" s="12" t="str">
        <f ca="1">VLOOKUP(F16,Table12[[Native]:[Population4]],5,FALSE)</f>
        <v>太原市</v>
      </c>
    </row>
    <row r="17" spans="1:7" ht="15.75" thickBot="1" x14ac:dyDescent="0.3">
      <c r="A17" t="s">
        <v>1918</v>
      </c>
      <c r="B17" s="1" t="s">
        <v>1919</v>
      </c>
      <c r="C17" s="1" t="s">
        <v>7</v>
      </c>
      <c r="D17" s="1" t="s">
        <v>1920</v>
      </c>
      <c r="E17" s="9">
        <v>27620</v>
      </c>
      <c r="F17" s="1" t="str">
        <f>VLOOKUP(D17,Table12[[Name]:[Native]],3,FALSE)</f>
        <v>清徐县</v>
      </c>
      <c r="G17" s="12" t="str">
        <f ca="1">VLOOKUP(F17,Table12[[Native]:[Population4]],5,FALSE)</f>
        <v>太原市</v>
      </c>
    </row>
    <row r="18" spans="1:7" ht="15.75" thickBot="1" x14ac:dyDescent="0.3">
      <c r="A18" t="s">
        <v>1921</v>
      </c>
      <c r="B18" s="1" t="s">
        <v>1922</v>
      </c>
      <c r="C18" s="1" t="s">
        <v>31</v>
      </c>
      <c r="D18" s="1" t="s">
        <v>1887</v>
      </c>
      <c r="E18" s="9">
        <v>28470</v>
      </c>
      <c r="F18" s="1" t="str">
        <f>VLOOKUP(D18,Table12[[Name]:[Native]],3,FALSE)</f>
        <v>万柏林区</v>
      </c>
      <c r="G18" s="12" t="str">
        <f ca="1">VLOOKUP(F18,Table12[[Native]:[Population4]],5,FALSE)</f>
        <v>太原市</v>
      </c>
    </row>
    <row r="19" spans="1:7" ht="15.75" thickBot="1" x14ac:dyDescent="0.3">
      <c r="A19" t="s">
        <v>1923</v>
      </c>
      <c r="B19" s="1" t="s">
        <v>1924</v>
      </c>
      <c r="C19" s="1" t="s">
        <v>7</v>
      </c>
      <c r="D19" s="1" t="s">
        <v>1925</v>
      </c>
      <c r="E19" s="9">
        <v>4493</v>
      </c>
      <c r="F19" s="1" t="str">
        <f>VLOOKUP(D19,Table12[[Name]:[Native]],3,FALSE)</f>
        <v>娄烦县</v>
      </c>
      <c r="G19" s="12" t="str">
        <f ca="1">VLOOKUP(F19,Table12[[Native]:[Population4]],5,FALSE)</f>
        <v>太原市</v>
      </c>
    </row>
    <row r="20" spans="1:7" ht="15.75" thickBot="1" x14ac:dyDescent="0.3">
      <c r="A20" t="s">
        <v>1926</v>
      </c>
      <c r="B20" s="1" t="s">
        <v>1927</v>
      </c>
      <c r="C20" s="1" t="s">
        <v>31</v>
      </c>
      <c r="D20" s="1" t="s">
        <v>1890</v>
      </c>
      <c r="E20" s="9">
        <v>79265</v>
      </c>
      <c r="F20" s="1" t="str">
        <f>VLOOKUP(D20,Table12[[Name]:[Native]],3,FALSE)</f>
        <v>杏花岭区</v>
      </c>
      <c r="G20" s="12" t="str">
        <f ca="1">VLOOKUP(F20,Table12[[Native]:[Population4]],5,FALSE)</f>
        <v>太原市</v>
      </c>
    </row>
    <row r="21" spans="1:7" ht="15.75" thickBot="1" x14ac:dyDescent="0.3">
      <c r="A21" t="s">
        <v>1928</v>
      </c>
      <c r="B21" s="1" t="s">
        <v>1929</v>
      </c>
      <c r="C21" s="1" t="s">
        <v>17</v>
      </c>
      <c r="D21" s="1" t="s">
        <v>1925</v>
      </c>
      <c r="E21" s="9">
        <v>4768</v>
      </c>
      <c r="F21" s="1" t="str">
        <f>VLOOKUP(D21,Table12[[Name]:[Native]],3,FALSE)</f>
        <v>娄烦县</v>
      </c>
      <c r="G21" s="12" t="str">
        <f ca="1">VLOOKUP(F21,Table12[[Native]:[Population4]],5,FALSE)</f>
        <v>太原市</v>
      </c>
    </row>
    <row r="22" spans="1:7" ht="15.75" thickBot="1" x14ac:dyDescent="0.3">
      <c r="A22" t="s">
        <v>1140</v>
      </c>
      <c r="B22" s="1" t="s">
        <v>1141</v>
      </c>
      <c r="C22" s="1" t="s">
        <v>17</v>
      </c>
      <c r="D22" s="1" t="s">
        <v>1896</v>
      </c>
      <c r="E22" s="9">
        <v>9904</v>
      </c>
      <c r="F22" s="1" t="str">
        <f>VLOOKUP(D22,Table12[[Name]:[Native]],3,FALSE)</f>
        <v>阳曲县</v>
      </c>
      <c r="G22" s="12" t="str">
        <f ca="1">VLOOKUP(F22,Table12[[Native]:[Population4]],5,FALSE)</f>
        <v>太原市</v>
      </c>
    </row>
    <row r="23" spans="1:7" ht="15.75" thickBot="1" x14ac:dyDescent="0.3">
      <c r="A23" t="s">
        <v>1930</v>
      </c>
      <c r="B23" s="1" t="s">
        <v>1931</v>
      </c>
      <c r="C23" s="1" t="s">
        <v>17</v>
      </c>
      <c r="D23" s="1" t="s">
        <v>1903</v>
      </c>
      <c r="E23" s="9">
        <v>512</v>
      </c>
      <c r="F23" s="1" t="str">
        <f>VLOOKUP(D23,Table12[[Name]:[Native]],3,FALSE)</f>
        <v>古交市</v>
      </c>
      <c r="G23" s="12" t="str">
        <f ca="1">VLOOKUP(F23,Table12[[Native]:[Population4]],5,FALSE)</f>
        <v>太原市</v>
      </c>
    </row>
    <row r="24" spans="1:7" ht="15.75" thickBot="1" x14ac:dyDescent="0.3">
      <c r="A24" t="s">
        <v>1932</v>
      </c>
      <c r="B24" s="1" t="s">
        <v>1933</v>
      </c>
      <c r="C24" s="1" t="s">
        <v>31</v>
      </c>
      <c r="D24" s="1" t="s">
        <v>1884</v>
      </c>
      <c r="E24" s="9">
        <v>20655</v>
      </c>
      <c r="F24" s="1" t="str">
        <f>VLOOKUP(D24,Table12[[Name]:[Native]],3,FALSE)</f>
        <v>尖草坪区</v>
      </c>
      <c r="G24" s="12" t="str">
        <f ca="1">VLOOKUP(F24,Table12[[Native]:[Population4]],5,FALSE)</f>
        <v>太原市</v>
      </c>
    </row>
    <row r="25" spans="1:7" ht="15.75" thickBot="1" x14ac:dyDescent="0.3">
      <c r="A25" t="s">
        <v>1934</v>
      </c>
      <c r="B25" s="1" t="s">
        <v>1935</v>
      </c>
      <c r="C25" s="1" t="s">
        <v>31</v>
      </c>
      <c r="D25" s="1" t="s">
        <v>1884</v>
      </c>
      <c r="E25" s="9">
        <v>33022</v>
      </c>
      <c r="F25" s="1" t="str">
        <f>VLOOKUP(D25,Table12[[Name]:[Native]],3,FALSE)</f>
        <v>尖草坪区</v>
      </c>
      <c r="G25" s="12" t="str">
        <f ca="1">VLOOKUP(F25,Table12[[Native]:[Population4]],5,FALSE)</f>
        <v>太原市</v>
      </c>
    </row>
    <row r="26" spans="1:7" ht="15.75" thickBot="1" x14ac:dyDescent="0.3">
      <c r="A26" t="s">
        <v>1154</v>
      </c>
      <c r="B26" s="1" t="s">
        <v>1155</v>
      </c>
      <c r="C26" s="1" t="s">
        <v>31</v>
      </c>
      <c r="D26" s="1" t="s">
        <v>1890</v>
      </c>
      <c r="E26" s="9">
        <v>37267</v>
      </c>
      <c r="F26" s="1" t="str">
        <f>VLOOKUP(D26,Table12[[Name]:[Native]],3,FALSE)</f>
        <v>杏花岭区</v>
      </c>
      <c r="G26" s="12" t="str">
        <f ca="1">VLOOKUP(F26,Table12[[Native]:[Population4]],5,FALSE)</f>
        <v>太原市</v>
      </c>
    </row>
    <row r="27" spans="1:7" ht="15.75" thickBot="1" x14ac:dyDescent="0.3">
      <c r="A27" t="s">
        <v>1936</v>
      </c>
      <c r="B27" s="1" t="s">
        <v>1937</v>
      </c>
      <c r="C27" s="1" t="s">
        <v>7</v>
      </c>
      <c r="D27" s="1" t="s">
        <v>1938</v>
      </c>
      <c r="E27" s="9">
        <v>84298</v>
      </c>
      <c r="F27" s="1" t="str">
        <f>VLOOKUP(D27,Table12[[Name]:[Native]],3,FALSE)</f>
        <v>迎泽区</v>
      </c>
      <c r="G27" s="12" t="str">
        <f ca="1">VLOOKUP(F27,Table12[[Native]:[Population4]],5,FALSE)</f>
        <v>太原市</v>
      </c>
    </row>
    <row r="28" spans="1:7" ht="15.75" thickBot="1" x14ac:dyDescent="0.3">
      <c r="A28" t="s">
        <v>1939</v>
      </c>
      <c r="B28" s="1" t="s">
        <v>1940</v>
      </c>
      <c r="C28" s="1" t="s">
        <v>7</v>
      </c>
      <c r="D28" s="1" t="s">
        <v>1903</v>
      </c>
      <c r="E28" s="9">
        <v>15161</v>
      </c>
      <c r="F28" s="1" t="str">
        <f>VLOOKUP(D28,Table12[[Name]:[Native]],3,FALSE)</f>
        <v>古交市</v>
      </c>
      <c r="G28" s="12" t="str">
        <f ca="1">VLOOKUP(F28,Table12[[Native]:[Population4]],5,FALSE)</f>
        <v>太原市</v>
      </c>
    </row>
    <row r="29" spans="1:7" ht="15.75" thickBot="1" x14ac:dyDescent="0.3">
      <c r="A29" t="s">
        <v>1941</v>
      </c>
      <c r="B29" s="1" t="s">
        <v>1942</v>
      </c>
      <c r="C29" s="1" t="s">
        <v>31</v>
      </c>
      <c r="D29" s="1" t="s">
        <v>1887</v>
      </c>
      <c r="E29" s="9">
        <v>86169</v>
      </c>
      <c r="F29" s="1" t="str">
        <f>VLOOKUP(D29,Table12[[Name]:[Native]],3,FALSE)</f>
        <v>万柏林区</v>
      </c>
      <c r="G29" s="12" t="str">
        <f ca="1">VLOOKUP(F29,Table12[[Native]:[Population4]],5,FALSE)</f>
        <v>太原市</v>
      </c>
    </row>
    <row r="30" spans="1:7" ht="15.75" thickBot="1" x14ac:dyDescent="0.3">
      <c r="A30" t="s">
        <v>1943</v>
      </c>
      <c r="B30" s="1" t="s">
        <v>1944</v>
      </c>
      <c r="C30" s="1" t="s">
        <v>17</v>
      </c>
      <c r="D30" s="1" t="s">
        <v>1896</v>
      </c>
      <c r="E30" s="9">
        <v>10356</v>
      </c>
      <c r="F30" s="1" t="str">
        <f>VLOOKUP(D30,Table12[[Name]:[Native]],3,FALSE)</f>
        <v>阳曲县</v>
      </c>
      <c r="G30" s="12" t="str">
        <f ca="1">VLOOKUP(F30,Table12[[Native]:[Population4]],5,FALSE)</f>
        <v>太原市</v>
      </c>
    </row>
    <row r="31" spans="1:7" ht="15.75" thickBot="1" x14ac:dyDescent="0.3">
      <c r="A31" t="s">
        <v>1945</v>
      </c>
      <c r="B31" s="1" t="s">
        <v>1946</v>
      </c>
      <c r="C31" s="1" t="s">
        <v>31</v>
      </c>
      <c r="D31" s="1" t="s">
        <v>1887</v>
      </c>
      <c r="E31" s="9">
        <v>12462</v>
      </c>
      <c r="F31" s="1" t="str">
        <f>VLOOKUP(D31,Table12[[Name]:[Native]],3,FALSE)</f>
        <v>万柏林区</v>
      </c>
      <c r="G31" s="12" t="str">
        <f ca="1">VLOOKUP(F31,Table12[[Native]:[Population4]],5,FALSE)</f>
        <v>太原市</v>
      </c>
    </row>
    <row r="32" spans="1:7" ht="15.75" thickBot="1" x14ac:dyDescent="0.3">
      <c r="A32" t="s">
        <v>1947</v>
      </c>
      <c r="B32" s="1" t="s">
        <v>1948</v>
      </c>
      <c r="C32" s="1" t="s">
        <v>31</v>
      </c>
      <c r="D32" s="1" t="s">
        <v>1893</v>
      </c>
      <c r="E32" s="9">
        <v>57074</v>
      </c>
      <c r="F32" s="1" t="str">
        <f>VLOOKUP(D32,Table12[[Name]:[Native]],3,FALSE)</f>
        <v>小店区</v>
      </c>
      <c r="G32" s="12" t="str">
        <f ca="1">VLOOKUP(F32,Table12[[Native]:[Population4]],5,FALSE)</f>
        <v>太原市</v>
      </c>
    </row>
    <row r="33" spans="1:7" ht="15.75" thickBot="1" x14ac:dyDescent="0.3">
      <c r="A33" t="s">
        <v>1949</v>
      </c>
      <c r="B33" s="1" t="s">
        <v>1950</v>
      </c>
      <c r="C33" s="1" t="s">
        <v>7</v>
      </c>
      <c r="D33" s="1" t="s">
        <v>1896</v>
      </c>
      <c r="E33" s="9">
        <v>22233</v>
      </c>
      <c r="F33" s="1" t="str">
        <f>VLOOKUP(D33,Table12[[Name]:[Native]],3,FALSE)</f>
        <v>阳曲县</v>
      </c>
      <c r="G33" s="12" t="str">
        <f ca="1">VLOOKUP(F33,Table12[[Native]:[Population4]],5,FALSE)</f>
        <v>太原市</v>
      </c>
    </row>
    <row r="34" spans="1:7" ht="15.75" thickBot="1" x14ac:dyDescent="0.3">
      <c r="A34" t="s">
        <v>1951</v>
      </c>
      <c r="B34" s="1" t="s">
        <v>1952</v>
      </c>
      <c r="C34" s="1" t="s">
        <v>31</v>
      </c>
      <c r="D34" s="1" t="s">
        <v>1884</v>
      </c>
      <c r="E34" s="9">
        <v>85435</v>
      </c>
      <c r="F34" s="1" t="str">
        <f>VLOOKUP(D34,Table12[[Name]:[Native]],3,FALSE)</f>
        <v>尖草坪区</v>
      </c>
      <c r="G34" s="12" t="str">
        <f ca="1">VLOOKUP(F34,Table12[[Native]:[Population4]],5,FALSE)</f>
        <v>太原市</v>
      </c>
    </row>
    <row r="35" spans="1:7" ht="15.75" thickBot="1" x14ac:dyDescent="0.3">
      <c r="A35" t="s">
        <v>1953</v>
      </c>
      <c r="B35" s="1" t="s">
        <v>1954</v>
      </c>
      <c r="C35" s="1" t="s">
        <v>17</v>
      </c>
      <c r="D35" s="1" t="s">
        <v>1903</v>
      </c>
      <c r="E35" s="9">
        <v>7159</v>
      </c>
      <c r="F35" s="1" t="str">
        <f>VLOOKUP(D35,Table12[[Name]:[Native]],3,FALSE)</f>
        <v>古交市</v>
      </c>
      <c r="G35" s="12" t="str">
        <f ca="1">VLOOKUP(F35,Table12[[Native]:[Population4]],5,FALSE)</f>
        <v>太原市</v>
      </c>
    </row>
    <row r="36" spans="1:7" ht="15.75" thickBot="1" x14ac:dyDescent="0.3">
      <c r="A36" t="s">
        <v>1955</v>
      </c>
      <c r="B36" s="1" t="s">
        <v>1956</v>
      </c>
      <c r="C36" s="1" t="s">
        <v>31</v>
      </c>
      <c r="D36" s="1" t="s">
        <v>1884</v>
      </c>
      <c r="E36" s="9">
        <v>31678</v>
      </c>
      <c r="F36" s="1" t="str">
        <f>VLOOKUP(D36,Table12[[Name]:[Native]],3,FALSE)</f>
        <v>尖草坪区</v>
      </c>
      <c r="G36" s="12" t="str">
        <f ca="1">VLOOKUP(F36,Table12[[Native]:[Population4]],5,FALSE)</f>
        <v>太原市</v>
      </c>
    </row>
    <row r="37" spans="1:7" ht="15.75" thickBot="1" x14ac:dyDescent="0.3">
      <c r="A37" t="s">
        <v>1957</v>
      </c>
      <c r="B37" s="1" t="s">
        <v>1958</v>
      </c>
      <c r="C37" s="1" t="s">
        <v>31</v>
      </c>
      <c r="D37" s="1" t="s">
        <v>1890</v>
      </c>
      <c r="E37" s="9">
        <v>76187</v>
      </c>
      <c r="F37" s="1" t="str">
        <f>VLOOKUP(D37,Table12[[Name]:[Native]],3,FALSE)</f>
        <v>杏花岭区</v>
      </c>
      <c r="G37" s="12" t="str">
        <f ca="1">VLOOKUP(F37,Table12[[Native]:[Population4]],5,FALSE)</f>
        <v>太原市</v>
      </c>
    </row>
    <row r="38" spans="1:7" ht="15.75" thickBot="1" x14ac:dyDescent="0.3">
      <c r="A38" t="s">
        <v>1959</v>
      </c>
      <c r="B38" s="1" t="s">
        <v>1960</v>
      </c>
      <c r="C38" s="1" t="s">
        <v>7</v>
      </c>
      <c r="D38" s="1" t="s">
        <v>1961</v>
      </c>
      <c r="E38" s="9">
        <v>40871</v>
      </c>
      <c r="F38" s="1" t="str">
        <f>VLOOKUP(D38,Table12[[Name]:[Native]],3,FALSE)</f>
        <v>晋源区</v>
      </c>
      <c r="G38" s="12" t="str">
        <f ca="1">VLOOKUP(F38,Table12[[Native]:[Population4]],5,FALSE)</f>
        <v>太原市</v>
      </c>
    </row>
    <row r="39" spans="1:7" ht="15.75" thickBot="1" x14ac:dyDescent="0.3">
      <c r="A39" t="s">
        <v>1962</v>
      </c>
      <c r="B39" s="1" t="s">
        <v>1963</v>
      </c>
      <c r="C39" s="1" t="s">
        <v>7</v>
      </c>
      <c r="D39" s="1" t="s">
        <v>1925</v>
      </c>
      <c r="E39" s="9">
        <v>17921</v>
      </c>
      <c r="F39" s="1" t="str">
        <f>VLOOKUP(D39,Table12[[Name]:[Native]],3,FALSE)</f>
        <v>娄烦县</v>
      </c>
      <c r="G39" s="12" t="str">
        <f ca="1">VLOOKUP(F39,Table12[[Native]:[Population4]],5,FALSE)</f>
        <v>太原市</v>
      </c>
    </row>
    <row r="40" spans="1:7" ht="15.75" thickBot="1" x14ac:dyDescent="0.3">
      <c r="A40" t="s">
        <v>1964</v>
      </c>
      <c r="B40" s="1" t="s">
        <v>1965</v>
      </c>
      <c r="C40" s="1" t="s">
        <v>7</v>
      </c>
      <c r="D40" s="1" t="s">
        <v>1961</v>
      </c>
      <c r="E40" s="9">
        <v>39489</v>
      </c>
      <c r="F40" s="1" t="str">
        <f>VLOOKUP(D40,Table12[[Name]:[Native]],3,FALSE)</f>
        <v>晋源区</v>
      </c>
      <c r="G40" s="12" t="str">
        <f ca="1">VLOOKUP(F40,Table12[[Native]:[Population4]],5,FALSE)</f>
        <v>太原市</v>
      </c>
    </row>
    <row r="41" spans="1:7" ht="15.75" thickBot="1" x14ac:dyDescent="0.3">
      <c r="A41" t="s">
        <v>1966</v>
      </c>
      <c r="B41" s="1" t="s">
        <v>1967</v>
      </c>
      <c r="C41" s="1" t="s">
        <v>31</v>
      </c>
      <c r="D41" s="1" t="s">
        <v>1961</v>
      </c>
      <c r="E41" s="9">
        <v>41293</v>
      </c>
      <c r="F41" s="1" t="str">
        <f>VLOOKUP(D41,Table12[[Name]:[Native]],3,FALSE)</f>
        <v>晋源区</v>
      </c>
      <c r="G41" s="12" t="str">
        <f ca="1">VLOOKUP(F41,Table12[[Native]:[Population4]],5,FALSE)</f>
        <v>太原市</v>
      </c>
    </row>
    <row r="42" spans="1:7" ht="15.75" thickBot="1" x14ac:dyDescent="0.3">
      <c r="A42" t="s">
        <v>1968</v>
      </c>
      <c r="B42" s="1" t="s">
        <v>1969</v>
      </c>
      <c r="C42" s="1" t="s">
        <v>17</v>
      </c>
      <c r="D42" s="1" t="s">
        <v>1920</v>
      </c>
      <c r="E42" s="9">
        <v>27022</v>
      </c>
      <c r="F42" s="1" t="str">
        <f>VLOOKUP(D42,Table12[[Name]:[Native]],3,FALSE)</f>
        <v>清徐县</v>
      </c>
      <c r="G42" s="12" t="str">
        <f ca="1">VLOOKUP(F42,Table12[[Native]:[Population4]],5,FALSE)</f>
        <v>太原市</v>
      </c>
    </row>
    <row r="43" spans="1:7" ht="15.75" thickBot="1" x14ac:dyDescent="0.3">
      <c r="A43" t="s">
        <v>1970</v>
      </c>
      <c r="B43" s="1" t="s">
        <v>1971</v>
      </c>
      <c r="C43" s="1" t="s">
        <v>31</v>
      </c>
      <c r="D43" s="1" t="s">
        <v>1890</v>
      </c>
      <c r="E43" s="9">
        <v>79085</v>
      </c>
      <c r="F43" s="1" t="str">
        <f>VLOOKUP(D43,Table12[[Name]:[Native]],3,FALSE)</f>
        <v>杏花岭区</v>
      </c>
      <c r="G43" s="12" t="str">
        <f ca="1">VLOOKUP(F43,Table12[[Native]:[Population4]],5,FALSE)</f>
        <v>太原市</v>
      </c>
    </row>
    <row r="44" spans="1:7" ht="15.75" thickBot="1" x14ac:dyDescent="0.3">
      <c r="A44" t="s">
        <v>1972</v>
      </c>
      <c r="B44" s="1" t="s">
        <v>1973</v>
      </c>
      <c r="C44" s="1" t="s">
        <v>31</v>
      </c>
      <c r="D44" s="1" t="s">
        <v>1938</v>
      </c>
      <c r="E44" s="9">
        <v>70564</v>
      </c>
      <c r="F44" s="1" t="str">
        <f>VLOOKUP(D44,Table12[[Name]:[Native]],3,FALSE)</f>
        <v>迎泽区</v>
      </c>
      <c r="G44" s="12" t="str">
        <f ca="1">VLOOKUP(F44,Table12[[Native]:[Population4]],5,FALSE)</f>
        <v>太原市</v>
      </c>
    </row>
    <row r="45" spans="1:7" ht="15.75" thickBot="1" x14ac:dyDescent="0.3">
      <c r="A45" t="s">
        <v>1974</v>
      </c>
      <c r="B45" s="1" t="s">
        <v>1975</v>
      </c>
      <c r="C45" s="1" t="s">
        <v>17</v>
      </c>
      <c r="D45" s="1" t="s">
        <v>1896</v>
      </c>
      <c r="E45" s="9">
        <v>8090</v>
      </c>
      <c r="F45" s="1" t="str">
        <f>VLOOKUP(D45,Table12[[Name]:[Native]],3,FALSE)</f>
        <v>阳曲县</v>
      </c>
      <c r="G45" s="12" t="str">
        <f ca="1">VLOOKUP(F45,Table12[[Native]:[Population4]],5,FALSE)</f>
        <v>太原市</v>
      </c>
    </row>
    <row r="46" spans="1:7" ht="15.75" thickBot="1" x14ac:dyDescent="0.3">
      <c r="A46" t="s">
        <v>1976</v>
      </c>
      <c r="B46" s="1" t="s">
        <v>1977</v>
      </c>
      <c r="C46" s="1" t="s">
        <v>17</v>
      </c>
      <c r="D46" s="1" t="s">
        <v>1920</v>
      </c>
      <c r="E46" s="9">
        <v>19449</v>
      </c>
      <c r="F46" s="1" t="str">
        <f>VLOOKUP(D46,Table12[[Name]:[Native]],3,FALSE)</f>
        <v>清徐县</v>
      </c>
      <c r="G46" s="12" t="str">
        <f ca="1">VLOOKUP(F46,Table12[[Native]:[Population4]],5,FALSE)</f>
        <v>太原市</v>
      </c>
    </row>
    <row r="47" spans="1:7" ht="15.75" thickBot="1" x14ac:dyDescent="0.3">
      <c r="A47" t="s">
        <v>1978</v>
      </c>
      <c r="B47" s="1" t="s">
        <v>1979</v>
      </c>
      <c r="C47" s="1" t="s">
        <v>17</v>
      </c>
      <c r="D47" s="1" t="s">
        <v>1893</v>
      </c>
      <c r="E47" s="9">
        <v>32233</v>
      </c>
      <c r="F47" s="1" t="str">
        <f>VLOOKUP(D47,Table12[[Name]:[Native]],3,FALSE)</f>
        <v>小店区</v>
      </c>
      <c r="G47" s="12" t="str">
        <f ca="1">VLOOKUP(F47,Table12[[Native]:[Population4]],5,FALSE)</f>
        <v>太原市</v>
      </c>
    </row>
    <row r="48" spans="1:7" ht="15.75" thickBot="1" x14ac:dyDescent="0.3">
      <c r="A48" t="s">
        <v>1980</v>
      </c>
      <c r="B48" s="1" t="s">
        <v>1981</v>
      </c>
      <c r="C48" s="1" t="s">
        <v>31</v>
      </c>
      <c r="D48" s="1" t="s">
        <v>1938</v>
      </c>
      <c r="E48" s="9">
        <v>39581</v>
      </c>
      <c r="F48" s="1" t="str">
        <f>VLOOKUP(D48,Table12[[Name]:[Native]],3,FALSE)</f>
        <v>迎泽区</v>
      </c>
      <c r="G48" s="12" t="str">
        <f ca="1">VLOOKUP(F48,Table12[[Native]:[Population4]],5,FALSE)</f>
        <v>太原市</v>
      </c>
    </row>
    <row r="49" spans="1:7" ht="15.75" thickBot="1" x14ac:dyDescent="0.3">
      <c r="A49" t="s">
        <v>1982</v>
      </c>
      <c r="B49" s="1" t="s">
        <v>1983</v>
      </c>
      <c r="C49" s="1" t="s">
        <v>7</v>
      </c>
      <c r="D49" s="1" t="s">
        <v>1925</v>
      </c>
      <c r="E49" s="9">
        <v>42520</v>
      </c>
      <c r="F49" s="1" t="str">
        <f>VLOOKUP(D49,Table12[[Name]:[Native]],3,FALSE)</f>
        <v>娄烦县</v>
      </c>
      <c r="G49" s="12" t="str">
        <f ca="1">VLOOKUP(F49,Table12[[Native]:[Population4]],5,FALSE)</f>
        <v>太原市</v>
      </c>
    </row>
    <row r="50" spans="1:7" ht="15.75" thickBot="1" x14ac:dyDescent="0.3">
      <c r="A50" t="s">
        <v>1984</v>
      </c>
      <c r="B50" s="1" t="s">
        <v>1985</v>
      </c>
      <c r="C50" s="1" t="s">
        <v>31</v>
      </c>
      <c r="D50" s="1" t="s">
        <v>1961</v>
      </c>
      <c r="E50" s="9">
        <v>22878</v>
      </c>
      <c r="F50" s="1" t="str">
        <f>VLOOKUP(D50,Table12[[Name]:[Native]],3,FALSE)</f>
        <v>晋源区</v>
      </c>
      <c r="G50" s="12" t="str">
        <f ca="1">VLOOKUP(F50,Table12[[Native]:[Population4]],5,FALSE)</f>
        <v>太原市</v>
      </c>
    </row>
    <row r="51" spans="1:7" ht="15.75" thickBot="1" x14ac:dyDescent="0.3">
      <c r="A51" t="s">
        <v>1986</v>
      </c>
      <c r="B51" s="1" t="s">
        <v>1987</v>
      </c>
      <c r="C51" s="1" t="s">
        <v>17</v>
      </c>
      <c r="D51" s="1" t="s">
        <v>1925</v>
      </c>
      <c r="E51" s="9">
        <v>15786</v>
      </c>
      <c r="F51" s="1" t="str">
        <f>VLOOKUP(D51,Table12[[Name]:[Native]],3,FALSE)</f>
        <v>娄烦县</v>
      </c>
      <c r="G51" s="12" t="str">
        <f ca="1">VLOOKUP(F51,Table12[[Native]:[Population4]],5,FALSE)</f>
        <v>太原市</v>
      </c>
    </row>
    <row r="52" spans="1:7" ht="15.75" thickBot="1" x14ac:dyDescent="0.3">
      <c r="A52" t="s">
        <v>1988</v>
      </c>
      <c r="B52" s="1" t="s">
        <v>1989</v>
      </c>
      <c r="C52" s="1" t="s">
        <v>7</v>
      </c>
      <c r="D52" s="1" t="s">
        <v>1903</v>
      </c>
      <c r="E52" s="9">
        <v>21056</v>
      </c>
      <c r="F52" s="1" t="str">
        <f>VLOOKUP(D52,Table12[[Name]:[Native]],3,FALSE)</f>
        <v>古交市</v>
      </c>
      <c r="G52" s="12" t="str">
        <f ca="1">VLOOKUP(F52,Table12[[Native]:[Population4]],5,FALSE)</f>
        <v>太原市</v>
      </c>
    </row>
    <row r="53" spans="1:7" ht="15.75" thickBot="1" x14ac:dyDescent="0.3">
      <c r="A53" t="s">
        <v>1990</v>
      </c>
      <c r="B53" s="1" t="s">
        <v>1991</v>
      </c>
      <c r="C53" s="1" t="s">
        <v>17</v>
      </c>
      <c r="D53" s="1" t="s">
        <v>1884</v>
      </c>
      <c r="E53" s="9">
        <v>906</v>
      </c>
      <c r="F53" s="1" t="str">
        <f>VLOOKUP(D53,Table12[[Name]:[Native]],3,FALSE)</f>
        <v>尖草坪区</v>
      </c>
      <c r="G53" s="12" t="str">
        <f ca="1">VLOOKUP(F53,Table12[[Native]:[Population4]],5,FALSE)</f>
        <v>太原市</v>
      </c>
    </row>
    <row r="54" spans="1:7" ht="15.75" thickBot="1" x14ac:dyDescent="0.3">
      <c r="A54" t="s">
        <v>1992</v>
      </c>
      <c r="B54" s="1" t="s">
        <v>1993</v>
      </c>
      <c r="C54" s="1" t="s">
        <v>17</v>
      </c>
      <c r="D54" s="1" t="s">
        <v>1920</v>
      </c>
      <c r="E54" s="9">
        <v>18628</v>
      </c>
      <c r="F54" s="1" t="str">
        <f>VLOOKUP(D54,Table12[[Name]:[Native]],3,FALSE)</f>
        <v>清徐县</v>
      </c>
      <c r="G54" s="12" t="str">
        <f ca="1">VLOOKUP(F54,Table12[[Native]:[Population4]],5,FALSE)</f>
        <v>太原市</v>
      </c>
    </row>
    <row r="55" spans="1:7" ht="15.75" thickBot="1" x14ac:dyDescent="0.3">
      <c r="A55" t="s">
        <v>1994</v>
      </c>
      <c r="B55" s="1" t="s">
        <v>1995</v>
      </c>
      <c r="C55" s="1" t="s">
        <v>7</v>
      </c>
      <c r="D55" s="1" t="s">
        <v>1920</v>
      </c>
      <c r="E55" s="9">
        <v>31488</v>
      </c>
      <c r="F55" s="1" t="str">
        <f>VLOOKUP(D55,Table12[[Name]:[Native]],3,FALSE)</f>
        <v>清徐县</v>
      </c>
      <c r="G55" s="12" t="str">
        <f ca="1">VLOOKUP(F55,Table12[[Native]:[Population4]],5,FALSE)</f>
        <v>太原市</v>
      </c>
    </row>
    <row r="56" spans="1:7" ht="15.75" thickBot="1" x14ac:dyDescent="0.3">
      <c r="A56" t="s">
        <v>1996</v>
      </c>
      <c r="B56" s="1" t="s">
        <v>1997</v>
      </c>
      <c r="C56" s="1" t="s">
        <v>31</v>
      </c>
      <c r="D56" s="1" t="s">
        <v>1938</v>
      </c>
      <c r="E56" s="9">
        <v>65457</v>
      </c>
      <c r="F56" s="1" t="str">
        <f>VLOOKUP(D56,Table12[[Name]:[Native]],3,FALSE)</f>
        <v>迎泽区</v>
      </c>
      <c r="G56" s="12" t="str">
        <f ca="1">VLOOKUP(F56,Table12[[Native]:[Population4]],5,FALSE)</f>
        <v>太原市</v>
      </c>
    </row>
    <row r="57" spans="1:7" ht="15.75" thickBot="1" x14ac:dyDescent="0.3">
      <c r="A57" t="s">
        <v>1998</v>
      </c>
      <c r="B57" s="1" t="s">
        <v>1999</v>
      </c>
      <c r="C57" s="1" t="s">
        <v>17</v>
      </c>
      <c r="D57" s="1" t="s">
        <v>1925</v>
      </c>
      <c r="E57" s="9">
        <v>2705</v>
      </c>
      <c r="F57" s="1" t="str">
        <f>VLOOKUP(D57,Table12[[Name]:[Native]],3,FALSE)</f>
        <v>娄烦县</v>
      </c>
      <c r="G57" s="12" t="str">
        <f ca="1">VLOOKUP(F57,Table12[[Native]:[Population4]],5,FALSE)</f>
        <v>太原市</v>
      </c>
    </row>
    <row r="58" spans="1:7" ht="15.75" thickBot="1" x14ac:dyDescent="0.3">
      <c r="A58" t="s">
        <v>2000</v>
      </c>
      <c r="B58" s="1" t="s">
        <v>2001</v>
      </c>
      <c r="C58" s="1" t="s">
        <v>35</v>
      </c>
      <c r="D58" s="1" t="s">
        <v>1938</v>
      </c>
      <c r="E58" s="9">
        <v>3474</v>
      </c>
      <c r="F58" s="1" t="str">
        <f>VLOOKUP(D58,Table12[[Name]:[Native]],3,FALSE)</f>
        <v>迎泽区</v>
      </c>
      <c r="G58" s="12" t="str">
        <f ca="1">VLOOKUP(F58,Table12[[Native]:[Population4]],5,FALSE)</f>
        <v>太原市</v>
      </c>
    </row>
    <row r="59" spans="1:7" ht="15.75" thickBot="1" x14ac:dyDescent="0.3">
      <c r="A59" t="s">
        <v>2000</v>
      </c>
      <c r="B59" s="1" t="s">
        <v>2001</v>
      </c>
      <c r="C59" s="1" t="s">
        <v>35</v>
      </c>
      <c r="D59" s="1" t="s">
        <v>1890</v>
      </c>
      <c r="E59" s="9">
        <v>9105</v>
      </c>
      <c r="F59" s="1" t="str">
        <f>VLOOKUP(D59,Table12[[Name]:[Native]],3,FALSE)</f>
        <v>杏花岭区</v>
      </c>
      <c r="G59" s="12" t="str">
        <f ca="1">VLOOKUP(F59,Table12[[Native]:[Population4]],5,FALSE)</f>
        <v>太原市</v>
      </c>
    </row>
    <row r="60" spans="1:7" ht="15.75" thickBot="1" x14ac:dyDescent="0.3">
      <c r="A60" t="s">
        <v>2002</v>
      </c>
      <c r="B60" s="1" t="s">
        <v>2003</v>
      </c>
      <c r="C60" s="1" t="s">
        <v>17</v>
      </c>
      <c r="D60" s="1" t="s">
        <v>1925</v>
      </c>
      <c r="E60" s="9">
        <v>8070</v>
      </c>
      <c r="F60" s="1" t="str">
        <f>VLOOKUP(D60,Table12[[Name]:[Native]],3,FALSE)</f>
        <v>娄烦县</v>
      </c>
      <c r="G60" s="12" t="str">
        <f ca="1">VLOOKUP(F60,Table12[[Native]:[Population4]],5,FALSE)</f>
        <v>太原市</v>
      </c>
    </row>
    <row r="61" spans="1:7" ht="15.75" thickBot="1" x14ac:dyDescent="0.3">
      <c r="A61" t="s">
        <v>2004</v>
      </c>
      <c r="B61" s="1" t="s">
        <v>2005</v>
      </c>
      <c r="C61" s="1" t="s">
        <v>31</v>
      </c>
      <c r="D61" s="1" t="s">
        <v>1887</v>
      </c>
      <c r="E61" s="9">
        <v>88576</v>
      </c>
      <c r="F61" s="1" t="str">
        <f>VLOOKUP(D61,Table12[[Name]:[Native]],3,FALSE)</f>
        <v>万柏林区</v>
      </c>
      <c r="G61" s="12" t="str">
        <f ca="1">VLOOKUP(F61,Table12[[Native]:[Population4]],5,FALSE)</f>
        <v>太原市</v>
      </c>
    </row>
    <row r="62" spans="1:7" ht="15.75" thickBot="1" x14ac:dyDescent="0.3">
      <c r="A62" t="s">
        <v>2006</v>
      </c>
      <c r="B62" s="1" t="s">
        <v>2007</v>
      </c>
      <c r="C62" s="1" t="s">
        <v>31</v>
      </c>
      <c r="D62" s="1" t="s">
        <v>1884</v>
      </c>
      <c r="E62" s="9">
        <v>63692</v>
      </c>
      <c r="F62" s="1" t="str">
        <f>VLOOKUP(D62,Table12[[Name]:[Native]],3,FALSE)</f>
        <v>尖草坪区</v>
      </c>
      <c r="G62" s="12" t="str">
        <f ca="1">VLOOKUP(F62,Table12[[Native]:[Population4]],5,FALSE)</f>
        <v>太原市</v>
      </c>
    </row>
    <row r="63" spans="1:7" ht="15.75" thickBot="1" x14ac:dyDescent="0.3">
      <c r="A63" t="s">
        <v>2008</v>
      </c>
      <c r="B63" s="1" t="s">
        <v>2009</v>
      </c>
      <c r="C63" s="1" t="s">
        <v>7</v>
      </c>
      <c r="D63" s="1" t="s">
        <v>1896</v>
      </c>
      <c r="E63" s="9">
        <v>16854</v>
      </c>
      <c r="F63" s="1" t="str">
        <f>VLOOKUP(D63,Table12[[Name]:[Native]],3,FALSE)</f>
        <v>阳曲县</v>
      </c>
      <c r="G63" s="12" t="str">
        <f ca="1">VLOOKUP(F63,Table12[[Native]:[Population4]],5,FALSE)</f>
        <v>太原市</v>
      </c>
    </row>
    <row r="64" spans="1:7" ht="15.75" thickBot="1" x14ac:dyDescent="0.3">
      <c r="A64" t="s">
        <v>2010</v>
      </c>
      <c r="B64" s="1" t="s">
        <v>2011</v>
      </c>
      <c r="C64" s="1" t="s">
        <v>31</v>
      </c>
      <c r="D64" s="1" t="s">
        <v>1893</v>
      </c>
      <c r="E64" s="9">
        <v>145142</v>
      </c>
      <c r="F64" s="1" t="str">
        <f>VLOOKUP(D64,Table12[[Name]:[Native]],3,FALSE)</f>
        <v>小店区</v>
      </c>
      <c r="G64" s="12" t="str">
        <f ca="1">VLOOKUP(F64,Table12[[Native]:[Population4]],5,FALSE)</f>
        <v>太原市</v>
      </c>
    </row>
    <row r="65" spans="1:7" ht="15.75" thickBot="1" x14ac:dyDescent="0.3">
      <c r="A65" t="s">
        <v>2012</v>
      </c>
      <c r="B65" s="1" t="s">
        <v>2013</v>
      </c>
      <c r="C65" s="1" t="s">
        <v>31</v>
      </c>
      <c r="D65" s="1" t="s">
        <v>1887</v>
      </c>
      <c r="E65" s="9">
        <v>58727</v>
      </c>
      <c r="F65" s="1" t="str">
        <f>VLOOKUP(D65,Table12[[Name]:[Native]],3,FALSE)</f>
        <v>万柏林区</v>
      </c>
      <c r="G65" s="12" t="str">
        <f ca="1">VLOOKUP(F65,Table12[[Native]:[Population4]],5,FALSE)</f>
        <v>太原市</v>
      </c>
    </row>
    <row r="66" spans="1:7" ht="15.75" thickBot="1" x14ac:dyDescent="0.3">
      <c r="A66" t="s">
        <v>2014</v>
      </c>
      <c r="B66" s="1" t="s">
        <v>2015</v>
      </c>
      <c r="C66" s="1" t="s">
        <v>31</v>
      </c>
      <c r="D66" s="1" t="s">
        <v>1938</v>
      </c>
      <c r="E66" s="9">
        <v>129422</v>
      </c>
      <c r="F66" s="1" t="str">
        <f>VLOOKUP(D66,Table12[[Name]:[Native]],3,FALSE)</f>
        <v>迎泽区</v>
      </c>
      <c r="G66" s="12" t="str">
        <f ca="1">VLOOKUP(F66,Table12[[Native]:[Population4]],5,FALSE)</f>
        <v>太原市</v>
      </c>
    </row>
    <row r="67" spans="1:7" ht="15.75" thickBot="1" x14ac:dyDescent="0.3">
      <c r="A67" t="s">
        <v>2016</v>
      </c>
      <c r="B67" s="1" t="s">
        <v>2017</v>
      </c>
      <c r="C67" s="1" t="s">
        <v>7</v>
      </c>
      <c r="D67" s="1" t="s">
        <v>1920</v>
      </c>
      <c r="E67" s="9">
        <v>116598</v>
      </c>
      <c r="F67" s="1" t="str">
        <f>VLOOKUP(D67,Table12[[Name]:[Native]],3,FALSE)</f>
        <v>清徐县</v>
      </c>
      <c r="G67" s="12" t="str">
        <f ca="1">VLOOKUP(F67,Table12[[Native]:[Population4]],5,FALSE)</f>
        <v>太原市</v>
      </c>
    </row>
    <row r="68" spans="1:7" ht="15.75" thickBot="1" x14ac:dyDescent="0.3">
      <c r="A68" t="s">
        <v>2018</v>
      </c>
      <c r="B68" s="1" t="s">
        <v>2019</v>
      </c>
      <c r="C68" s="1" t="s">
        <v>31</v>
      </c>
      <c r="D68" s="1" t="s">
        <v>1890</v>
      </c>
      <c r="E68" s="9">
        <v>84007</v>
      </c>
      <c r="F68" s="1" t="str">
        <f>VLOOKUP(D68,Table12[[Name]:[Native]],3,FALSE)</f>
        <v>杏花岭区</v>
      </c>
      <c r="G68" s="12" t="str">
        <f ca="1">VLOOKUP(F68,Table12[[Native]:[Population4]],5,FALSE)</f>
        <v>太原市</v>
      </c>
    </row>
    <row r="69" spans="1:7" ht="15.75" thickBot="1" x14ac:dyDescent="0.3">
      <c r="A69" t="s">
        <v>2020</v>
      </c>
      <c r="B69" s="1" t="s">
        <v>2021</v>
      </c>
      <c r="C69" s="1" t="s">
        <v>31</v>
      </c>
      <c r="D69" s="1" t="s">
        <v>1884</v>
      </c>
      <c r="E69" s="9">
        <v>48736</v>
      </c>
      <c r="F69" s="1" t="str">
        <f>VLOOKUP(D69,Table12[[Name]:[Native]],3,FALSE)</f>
        <v>尖草坪区</v>
      </c>
      <c r="G69" s="12" t="str">
        <f ca="1">VLOOKUP(F69,Table12[[Native]:[Population4]],5,FALSE)</f>
        <v>太原市</v>
      </c>
    </row>
    <row r="70" spans="1:7" ht="15.75" thickBot="1" x14ac:dyDescent="0.3">
      <c r="A70" t="s">
        <v>2022</v>
      </c>
      <c r="B70" s="1" t="s">
        <v>2023</v>
      </c>
      <c r="C70" s="1" t="s">
        <v>31</v>
      </c>
      <c r="D70" s="1" t="s">
        <v>1887</v>
      </c>
      <c r="E70" s="9">
        <v>17964</v>
      </c>
      <c r="F70" s="1" t="str">
        <f>VLOOKUP(D70,Table12[[Name]:[Native]],3,FALSE)</f>
        <v>万柏林区</v>
      </c>
      <c r="G70" s="12" t="str">
        <f ca="1">VLOOKUP(F70,Table12[[Native]:[Population4]],5,FALSE)</f>
        <v>太原市</v>
      </c>
    </row>
    <row r="71" spans="1:7" ht="15.75" thickBot="1" x14ac:dyDescent="0.3">
      <c r="A71" t="s">
        <v>2024</v>
      </c>
      <c r="B71" s="1" t="s">
        <v>2025</v>
      </c>
      <c r="C71" s="1" t="s">
        <v>17</v>
      </c>
      <c r="D71" s="1" t="s">
        <v>1903</v>
      </c>
      <c r="E71" s="9">
        <v>16521</v>
      </c>
      <c r="F71" s="1" t="str">
        <f>VLOOKUP(D71,Table12[[Name]:[Native]],3,FALSE)</f>
        <v>古交市</v>
      </c>
      <c r="G71" s="12" t="str">
        <f ca="1">VLOOKUP(F71,Table12[[Native]:[Population4]],5,FALSE)</f>
        <v>太原市</v>
      </c>
    </row>
    <row r="72" spans="1:7" ht="15.75" thickBot="1" x14ac:dyDescent="0.3">
      <c r="A72" t="s">
        <v>2026</v>
      </c>
      <c r="B72" s="1" t="s">
        <v>2027</v>
      </c>
      <c r="C72" s="1" t="s">
        <v>35</v>
      </c>
      <c r="D72" s="1" t="s">
        <v>1893</v>
      </c>
      <c r="E72" s="9">
        <v>9914</v>
      </c>
      <c r="F72" s="1" t="str">
        <f>VLOOKUP(D72,Table12[[Name]:[Native]],3,FALSE)</f>
        <v>小店区</v>
      </c>
      <c r="G72" s="12" t="str">
        <f ca="1">VLOOKUP(F72,Table12[[Native]:[Population4]],5,FALSE)</f>
        <v>太原市</v>
      </c>
    </row>
    <row r="73" spans="1:7" ht="15.75" thickBot="1" x14ac:dyDescent="0.3">
      <c r="A73" t="s">
        <v>2028</v>
      </c>
      <c r="B73" s="1" t="s">
        <v>2029</v>
      </c>
      <c r="C73" s="1" t="s">
        <v>35</v>
      </c>
      <c r="D73" s="1" t="s">
        <v>1893</v>
      </c>
      <c r="E73" s="9">
        <v>44521</v>
      </c>
      <c r="F73" s="1" t="str">
        <f>VLOOKUP(D73,Table12[[Name]:[Native]],3,FALSE)</f>
        <v>小店区</v>
      </c>
      <c r="G73" s="12" t="str">
        <f ca="1">VLOOKUP(F73,Table12[[Native]:[Population4]],5,FALSE)</f>
        <v>太原市</v>
      </c>
    </row>
    <row r="74" spans="1:7" ht="15.75" thickBot="1" x14ac:dyDescent="0.3">
      <c r="A74" t="s">
        <v>2030</v>
      </c>
      <c r="B74" s="1" t="s">
        <v>2031</v>
      </c>
      <c r="C74" s="1" t="s">
        <v>31</v>
      </c>
      <c r="D74" s="1" t="s">
        <v>1903</v>
      </c>
      <c r="E74" s="9">
        <v>38515</v>
      </c>
      <c r="F74" s="1" t="str">
        <f>VLOOKUP(D74,Table12[[Name]:[Native]],3,FALSE)</f>
        <v>古交市</v>
      </c>
      <c r="G74" s="12" t="str">
        <f ca="1">VLOOKUP(F74,Table12[[Native]:[Population4]],5,FALSE)</f>
        <v>太原市</v>
      </c>
    </row>
    <row r="75" spans="1:7" ht="15.75" thickBot="1" x14ac:dyDescent="0.3">
      <c r="A75" t="s">
        <v>2032</v>
      </c>
      <c r="B75" s="1" t="s">
        <v>2033</v>
      </c>
      <c r="C75" s="1" t="s">
        <v>17</v>
      </c>
      <c r="D75" s="1" t="s">
        <v>1925</v>
      </c>
      <c r="E75" s="9">
        <v>9578</v>
      </c>
      <c r="F75" s="1" t="str">
        <f>VLOOKUP(D75,Table12[[Name]:[Native]],3,FALSE)</f>
        <v>娄烦县</v>
      </c>
      <c r="G75" s="12" t="str">
        <f ca="1">VLOOKUP(F75,Table12[[Native]:[Population4]],5,FALSE)</f>
        <v>太原市</v>
      </c>
    </row>
    <row r="76" spans="1:7" ht="15.75" thickBot="1" x14ac:dyDescent="0.3">
      <c r="A76" t="s">
        <v>2034</v>
      </c>
      <c r="B76" s="1" t="s">
        <v>2035</v>
      </c>
      <c r="C76" s="1" t="s">
        <v>31</v>
      </c>
      <c r="D76" s="1" t="s">
        <v>1903</v>
      </c>
      <c r="E76" s="9">
        <v>17588</v>
      </c>
      <c r="F76" s="1" t="str">
        <f>VLOOKUP(D76,Table12[[Name]:[Native]],3,FALSE)</f>
        <v>古交市</v>
      </c>
      <c r="G76" s="12" t="str">
        <f ca="1">VLOOKUP(F76,Table12[[Native]:[Population4]],5,FALSE)</f>
        <v>太原市</v>
      </c>
    </row>
    <row r="77" spans="1:7" ht="15.75" thickBot="1" x14ac:dyDescent="0.3">
      <c r="A77" t="s">
        <v>2036</v>
      </c>
      <c r="B77" s="1" t="s">
        <v>2037</v>
      </c>
      <c r="C77" s="1" t="s">
        <v>31</v>
      </c>
      <c r="D77" s="1" t="s">
        <v>1887</v>
      </c>
      <c r="E77" s="9">
        <v>49506</v>
      </c>
      <c r="F77" s="1" t="str">
        <f>VLOOKUP(D77,Table12[[Name]:[Native]],3,FALSE)</f>
        <v>万柏林区</v>
      </c>
      <c r="G77" s="12" t="str">
        <f ca="1">VLOOKUP(F77,Table12[[Native]:[Population4]],5,FALSE)</f>
        <v>太原市</v>
      </c>
    </row>
    <row r="78" spans="1:7" ht="15.75" thickBot="1" x14ac:dyDescent="0.3">
      <c r="A78" t="s">
        <v>2038</v>
      </c>
      <c r="B78" s="1" t="s">
        <v>2039</v>
      </c>
      <c r="C78" s="1" t="s">
        <v>17</v>
      </c>
      <c r="D78" s="1" t="s">
        <v>1920</v>
      </c>
      <c r="E78" s="9">
        <v>35930</v>
      </c>
      <c r="F78" s="1" t="str">
        <f>VLOOKUP(D78,Table12[[Name]:[Native]],3,FALSE)</f>
        <v>清徐县</v>
      </c>
      <c r="G78" s="12" t="str">
        <f ca="1">VLOOKUP(F78,Table12[[Native]:[Population4]],5,FALSE)</f>
        <v>太原市</v>
      </c>
    </row>
    <row r="79" spans="1:7" ht="15.75" thickBot="1" x14ac:dyDescent="0.3">
      <c r="A79" t="s">
        <v>2040</v>
      </c>
      <c r="B79" s="1" t="s">
        <v>2041</v>
      </c>
      <c r="C79" s="1" t="s">
        <v>17</v>
      </c>
      <c r="D79" s="1" t="s">
        <v>1887</v>
      </c>
      <c r="E79" s="9">
        <v>2196</v>
      </c>
      <c r="F79" s="1" t="str">
        <f>VLOOKUP(D79,Table12[[Name]:[Native]],3,FALSE)</f>
        <v>万柏林区</v>
      </c>
      <c r="G79" s="12" t="str">
        <f ca="1">VLOOKUP(F79,Table12[[Native]:[Population4]],5,FALSE)</f>
        <v>太原市</v>
      </c>
    </row>
    <row r="80" spans="1:7" ht="15.75" thickBot="1" x14ac:dyDescent="0.3">
      <c r="A80" t="s">
        <v>2042</v>
      </c>
      <c r="B80" s="1" t="s">
        <v>2043</v>
      </c>
      <c r="C80" s="1" t="s">
        <v>31</v>
      </c>
      <c r="D80" s="1" t="s">
        <v>1938</v>
      </c>
      <c r="E80" s="9">
        <v>80257</v>
      </c>
      <c r="F80" s="1" t="str">
        <f>VLOOKUP(D80,Table12[[Name]:[Native]],3,FALSE)</f>
        <v>迎泽区</v>
      </c>
      <c r="G80" s="12" t="str">
        <f ca="1">VLOOKUP(F80,Table12[[Native]:[Population4]],5,FALSE)</f>
        <v>太原市</v>
      </c>
    </row>
    <row r="81" spans="1:7" ht="15.75" thickBot="1" x14ac:dyDescent="0.3">
      <c r="A81" t="s">
        <v>2044</v>
      </c>
      <c r="B81" s="1" t="s">
        <v>2045</v>
      </c>
      <c r="C81" s="1" t="s">
        <v>31</v>
      </c>
      <c r="D81" s="1" t="s">
        <v>1893</v>
      </c>
      <c r="E81" s="9">
        <v>149138</v>
      </c>
      <c r="F81" s="1" t="str">
        <f>VLOOKUP(D81,Table12[[Name]:[Native]],3,FALSE)</f>
        <v>小店区</v>
      </c>
      <c r="G81" s="12" t="str">
        <f ca="1">VLOOKUP(F81,Table12[[Native]:[Population4]],5,FALSE)</f>
        <v>太原市</v>
      </c>
    </row>
    <row r="82" spans="1:7" ht="15.75" thickBot="1" x14ac:dyDescent="0.3">
      <c r="A82" t="s">
        <v>2046</v>
      </c>
      <c r="B82" s="1" t="s">
        <v>2047</v>
      </c>
      <c r="C82" s="1" t="s">
        <v>7</v>
      </c>
      <c r="D82" s="1" t="s">
        <v>1884</v>
      </c>
      <c r="E82" s="9">
        <v>17298</v>
      </c>
      <c r="F82" s="1" t="str">
        <f>VLOOKUP(D82,Table12[[Name]:[Native]],3,FALSE)</f>
        <v>尖草坪区</v>
      </c>
      <c r="G82" s="12" t="str">
        <f ca="1">VLOOKUP(F82,Table12[[Native]:[Population4]],5,FALSE)</f>
        <v>太原市</v>
      </c>
    </row>
    <row r="83" spans="1:7" ht="15.75" thickBot="1" x14ac:dyDescent="0.3">
      <c r="A83" t="s">
        <v>2048</v>
      </c>
      <c r="B83" s="1" t="s">
        <v>2049</v>
      </c>
      <c r="C83" s="1" t="s">
        <v>31</v>
      </c>
      <c r="D83" s="1" t="s">
        <v>1893</v>
      </c>
      <c r="E83" s="9">
        <v>99836</v>
      </c>
      <c r="F83" s="1" t="str">
        <f>VLOOKUP(D83,Table12[[Name]:[Native]],3,FALSE)</f>
        <v>小店区</v>
      </c>
      <c r="G83" s="12" t="str">
        <f ca="1">VLOOKUP(F83,Table12[[Native]:[Population4]],5,FALSE)</f>
        <v>太原市</v>
      </c>
    </row>
    <row r="84" spans="1:7" ht="15.75" thickBot="1" x14ac:dyDescent="0.3">
      <c r="A84" t="s">
        <v>2050</v>
      </c>
      <c r="B84" s="1" t="s">
        <v>2051</v>
      </c>
      <c r="C84" s="1" t="s">
        <v>17</v>
      </c>
      <c r="D84" s="1" t="s">
        <v>1890</v>
      </c>
      <c r="E84" s="9">
        <v>6574</v>
      </c>
      <c r="F84" s="1" t="str">
        <f>VLOOKUP(D84,Table12[[Name]:[Native]],3,FALSE)</f>
        <v>杏花岭区</v>
      </c>
      <c r="G84" s="12" t="str">
        <f ca="1">VLOOKUP(F84,Table12[[Native]:[Population4]],5,FALSE)</f>
        <v>太原市</v>
      </c>
    </row>
    <row r="85" spans="1:7" ht="15.75" thickBot="1" x14ac:dyDescent="0.3">
      <c r="A85" t="s">
        <v>2052</v>
      </c>
      <c r="B85" s="1" t="s">
        <v>2053</v>
      </c>
      <c r="C85" s="1" t="s">
        <v>31</v>
      </c>
      <c r="D85" s="1" t="s">
        <v>1887</v>
      </c>
      <c r="E85" s="9">
        <v>86215</v>
      </c>
      <c r="F85" s="1" t="str">
        <f>VLOOKUP(D85,Table12[[Name]:[Native]],3,FALSE)</f>
        <v>万柏林区</v>
      </c>
      <c r="G85" s="12" t="str">
        <f ca="1">VLOOKUP(F85,Table12[[Native]:[Population4]],5,FALSE)</f>
        <v>太原市</v>
      </c>
    </row>
    <row r="86" spans="1:7" ht="15.75" thickBot="1" x14ac:dyDescent="0.3">
      <c r="A86" t="s">
        <v>2054</v>
      </c>
      <c r="B86" s="1" t="s">
        <v>2055</v>
      </c>
      <c r="C86" s="1" t="s">
        <v>31</v>
      </c>
      <c r="D86" s="1" t="s">
        <v>1887</v>
      </c>
      <c r="E86" s="9">
        <v>89485</v>
      </c>
      <c r="F86" s="1" t="str">
        <f>VLOOKUP(D86,Table12[[Name]:[Native]],3,FALSE)</f>
        <v>万柏林区</v>
      </c>
      <c r="G86" s="12" t="str">
        <f ca="1">VLOOKUP(F86,Table12[[Native]:[Population4]],5,FALSE)</f>
        <v>太原市</v>
      </c>
    </row>
    <row r="87" spans="1:7" ht="15.75" thickBot="1" x14ac:dyDescent="0.3">
      <c r="A87" t="s">
        <v>2056</v>
      </c>
      <c r="B87" s="1" t="s">
        <v>2057</v>
      </c>
      <c r="C87" s="1" t="s">
        <v>17</v>
      </c>
      <c r="D87" s="1" t="s">
        <v>1920</v>
      </c>
      <c r="E87" s="9">
        <v>19086</v>
      </c>
      <c r="F87" s="1" t="str">
        <f>VLOOKUP(D87,Table12[[Name]:[Native]],3,FALSE)</f>
        <v>清徐县</v>
      </c>
      <c r="G87" s="12" t="str">
        <f ca="1">VLOOKUP(F87,Table12[[Native]:[Population4]],5,FALSE)</f>
        <v>太原市</v>
      </c>
    </row>
    <row r="88" spans="1:7" ht="15.75" thickBot="1" x14ac:dyDescent="0.3">
      <c r="A88" t="s">
        <v>2058</v>
      </c>
      <c r="B88" s="1" t="s">
        <v>2059</v>
      </c>
      <c r="C88" s="1" t="s">
        <v>17</v>
      </c>
      <c r="D88" s="1" t="s">
        <v>1896</v>
      </c>
      <c r="E88" s="9">
        <v>894</v>
      </c>
      <c r="F88" s="1" t="str">
        <f>VLOOKUP(D88,Table12[[Name]:[Native]],3,FALSE)</f>
        <v>阳曲县</v>
      </c>
      <c r="G88" s="12" t="str">
        <f ca="1">VLOOKUP(F88,Table12[[Native]:[Population4]],5,FALSE)</f>
        <v>太原市</v>
      </c>
    </row>
    <row r="89" spans="1:7" ht="15.75" thickBot="1" x14ac:dyDescent="0.3">
      <c r="A89" t="s">
        <v>2060</v>
      </c>
      <c r="B89" s="1" t="s">
        <v>2061</v>
      </c>
      <c r="C89" s="1" t="s">
        <v>31</v>
      </c>
      <c r="D89" s="1" t="s">
        <v>1887</v>
      </c>
      <c r="E89" s="9">
        <v>19628</v>
      </c>
      <c r="F89" s="1" t="str">
        <f>VLOOKUP(D89,Table12[[Name]:[Native]],3,FALSE)</f>
        <v>万柏林区</v>
      </c>
      <c r="G89" s="12" t="str">
        <f ca="1">VLOOKUP(F89,Table12[[Native]:[Population4]],5,FALSE)</f>
        <v>太原市</v>
      </c>
    </row>
    <row r="90" spans="1:7" ht="15.75" thickBot="1" x14ac:dyDescent="0.3">
      <c r="A90" t="s">
        <v>2062</v>
      </c>
      <c r="B90" s="1" t="s">
        <v>2063</v>
      </c>
      <c r="C90" s="1" t="s">
        <v>31</v>
      </c>
      <c r="D90" s="1" t="s">
        <v>1884</v>
      </c>
      <c r="E90" s="9">
        <v>17942</v>
      </c>
      <c r="F90" s="1" t="str">
        <f>VLOOKUP(D90,Table12[[Name]:[Native]],3,FALSE)</f>
        <v>尖草坪区</v>
      </c>
      <c r="G90" s="12" t="str">
        <f ca="1">VLOOKUP(F90,Table12[[Native]:[Population4]],5,FALSE)</f>
        <v>太原市</v>
      </c>
    </row>
    <row r="91" spans="1:7" ht="15.75" thickBot="1" x14ac:dyDescent="0.3">
      <c r="A91" t="s">
        <v>2064</v>
      </c>
      <c r="B91" s="1" t="s">
        <v>2065</v>
      </c>
      <c r="C91" s="1" t="s">
        <v>31</v>
      </c>
      <c r="D91" s="1" t="s">
        <v>1887</v>
      </c>
      <c r="E91" s="9">
        <v>71096</v>
      </c>
      <c r="F91" s="1" t="str">
        <f>VLOOKUP(D91,Table12[[Name]:[Native]],3,FALSE)</f>
        <v>万柏林区</v>
      </c>
      <c r="G91" s="12" t="str">
        <f ca="1">VLOOKUP(F91,Table12[[Native]:[Population4]],5,FALSE)</f>
        <v>太原市</v>
      </c>
    </row>
    <row r="92" spans="1:7" ht="15.75" thickBot="1" x14ac:dyDescent="0.3">
      <c r="A92" t="s">
        <v>2066</v>
      </c>
      <c r="B92" s="1" t="s">
        <v>2067</v>
      </c>
      <c r="C92" s="1" t="s">
        <v>31</v>
      </c>
      <c r="D92" s="1" t="s">
        <v>1890</v>
      </c>
      <c r="E92" s="9">
        <v>41169</v>
      </c>
      <c r="F92" s="1" t="str">
        <f>VLOOKUP(D92,Table12[[Name]:[Native]],3,FALSE)</f>
        <v>杏花岭区</v>
      </c>
      <c r="G92" s="12" t="str">
        <f ca="1">VLOOKUP(F92,Table12[[Native]:[Population4]],5,FALSE)</f>
        <v>太原市</v>
      </c>
    </row>
    <row r="93" spans="1:7" ht="15.75" thickBot="1" x14ac:dyDescent="0.3">
      <c r="A93" t="s">
        <v>2068</v>
      </c>
      <c r="B93" s="1" t="s">
        <v>2069</v>
      </c>
      <c r="C93" s="1" t="s">
        <v>17</v>
      </c>
      <c r="D93" s="1" t="s">
        <v>1903</v>
      </c>
      <c r="E93" s="9">
        <v>5760</v>
      </c>
      <c r="F93" s="1" t="str">
        <f>VLOOKUP(D93,Table12[[Name]:[Native]],3,FALSE)</f>
        <v>古交市</v>
      </c>
      <c r="G93" s="12" t="str">
        <f ca="1">VLOOKUP(F93,Table12[[Native]:[Population4]],5,FALSE)</f>
        <v>太原市</v>
      </c>
    </row>
    <row r="94" spans="1:7" ht="15.75" thickBot="1" x14ac:dyDescent="0.3">
      <c r="A94" t="s">
        <v>2070</v>
      </c>
      <c r="B94" s="1" t="s">
        <v>2071</v>
      </c>
      <c r="C94" s="1" t="s">
        <v>31</v>
      </c>
      <c r="D94" s="1" t="s">
        <v>1903</v>
      </c>
      <c r="E94" s="9">
        <v>16446</v>
      </c>
      <c r="F94" s="1" t="str">
        <f>VLOOKUP(D94,Table12[[Name]:[Native]],3,FALSE)</f>
        <v>古交市</v>
      </c>
      <c r="G94" s="12" t="str">
        <f ca="1">VLOOKUP(F94,Table12[[Native]:[Population4]],5,FALSE)</f>
        <v>太原市</v>
      </c>
    </row>
    <row r="95" spans="1:7" ht="15.75" thickBot="1" x14ac:dyDescent="0.3">
      <c r="A95" t="s">
        <v>2072</v>
      </c>
      <c r="B95" s="1" t="s">
        <v>2073</v>
      </c>
      <c r="C95" s="1" t="s">
        <v>17</v>
      </c>
      <c r="D95" s="1" t="s">
        <v>1893</v>
      </c>
      <c r="E95" s="9">
        <v>40384</v>
      </c>
      <c r="F95" s="1" t="str">
        <f>VLOOKUP(D95,Table12[[Name]:[Native]],3,FALSE)</f>
        <v>小店区</v>
      </c>
      <c r="G95" s="12" t="str">
        <f ca="1">VLOOKUP(F95,Table12[[Native]:[Population4]],5,FALSE)</f>
        <v>太原市</v>
      </c>
    </row>
    <row r="96" spans="1:7" ht="15.75" thickBot="1" x14ac:dyDescent="0.3">
      <c r="A96" t="s">
        <v>2074</v>
      </c>
      <c r="B96" s="1" t="s">
        <v>2075</v>
      </c>
      <c r="C96" s="1" t="s">
        <v>17</v>
      </c>
      <c r="D96" s="1" t="s">
        <v>1884</v>
      </c>
      <c r="E96" s="9">
        <v>4456</v>
      </c>
      <c r="F96" s="1" t="str">
        <f>VLOOKUP(D96,Table12[[Name]:[Native]],3,FALSE)</f>
        <v>尖草坪区</v>
      </c>
      <c r="G96" s="12" t="str">
        <f ca="1">VLOOKUP(F96,Table12[[Native]:[Population4]],5,FALSE)</f>
        <v>太原市</v>
      </c>
    </row>
    <row r="97" spans="1:7" ht="15.75" thickBot="1" x14ac:dyDescent="0.3">
      <c r="A97" t="s">
        <v>2076</v>
      </c>
      <c r="B97" s="1" t="s">
        <v>2077</v>
      </c>
      <c r="C97" s="1" t="s">
        <v>7</v>
      </c>
      <c r="D97" s="1" t="s">
        <v>1920</v>
      </c>
      <c r="E97" s="9">
        <v>48040</v>
      </c>
      <c r="F97" s="1" t="str">
        <f>VLOOKUP(D97,Table12[[Name]:[Native]],3,FALSE)</f>
        <v>清徐县</v>
      </c>
      <c r="G97" s="12" t="str">
        <f ca="1">VLOOKUP(F97,Table12[[Native]:[Population4]],5,FALSE)</f>
        <v>太原市</v>
      </c>
    </row>
    <row r="98" spans="1:7" ht="15.75" thickBot="1" x14ac:dyDescent="0.3">
      <c r="A98" t="s">
        <v>2078</v>
      </c>
      <c r="B98" s="1" t="s">
        <v>2079</v>
      </c>
      <c r="C98" s="1" t="s">
        <v>31</v>
      </c>
      <c r="D98" s="1" t="s">
        <v>1890</v>
      </c>
      <c r="E98" s="9">
        <v>49984</v>
      </c>
      <c r="F98" s="1" t="str">
        <f>VLOOKUP(D98,Table12[[Name]:[Native]],3,FALSE)</f>
        <v>杏花岭区</v>
      </c>
      <c r="G98" s="12" t="str">
        <f ca="1">VLOOKUP(F98,Table12[[Native]:[Population4]],5,FALSE)</f>
        <v>太原市</v>
      </c>
    </row>
    <row r="99" spans="1:7" ht="15.75" thickBot="1" x14ac:dyDescent="0.3">
      <c r="A99" t="s">
        <v>2080</v>
      </c>
      <c r="B99" s="1" t="s">
        <v>2081</v>
      </c>
      <c r="C99" s="1" t="s">
        <v>7</v>
      </c>
      <c r="D99" s="1" t="s">
        <v>1884</v>
      </c>
      <c r="E99" s="9">
        <v>15799</v>
      </c>
      <c r="F99" s="1" t="str">
        <f>VLOOKUP(D99,Table12[[Name]:[Native]],3,FALSE)</f>
        <v>尖草坪区</v>
      </c>
      <c r="G99" s="12" t="str">
        <f ca="1">VLOOKUP(F99,Table12[[Native]:[Population4]],5,FALSE)</f>
        <v>太原市</v>
      </c>
    </row>
    <row r="100" spans="1:7" ht="15.75" thickBot="1" x14ac:dyDescent="0.3">
      <c r="A100" t="s">
        <v>2082</v>
      </c>
      <c r="B100" s="1" t="s">
        <v>2083</v>
      </c>
      <c r="C100" s="1" t="s">
        <v>17</v>
      </c>
      <c r="D100" s="1" t="s">
        <v>1896</v>
      </c>
      <c r="E100" s="9">
        <v>2704</v>
      </c>
      <c r="F100" s="1" t="str">
        <f>VLOOKUP(D100,Table12[[Name]:[Native]],3,FALSE)</f>
        <v>阳曲县</v>
      </c>
      <c r="G100" s="12" t="str">
        <f ca="1">VLOOKUP(F100,Table12[[Native]:[Population4]],5,FALSE)</f>
        <v>太原市</v>
      </c>
    </row>
    <row r="101" spans="1:7" ht="15.75" thickBot="1" x14ac:dyDescent="0.3">
      <c r="A101" t="s">
        <v>2084</v>
      </c>
      <c r="B101" s="1" t="s">
        <v>2085</v>
      </c>
      <c r="C101" s="1" t="s">
        <v>7</v>
      </c>
      <c r="D101" s="1" t="s">
        <v>1961</v>
      </c>
      <c r="E101" s="9">
        <v>23325</v>
      </c>
      <c r="F101" s="1" t="str">
        <f>VLOOKUP(D101,Table12[[Name]:[Native]],3,FALSE)</f>
        <v>晋源区</v>
      </c>
      <c r="G101" s="12" t="str">
        <f ca="1">VLOOKUP(F101,Table12[[Native]:[Population4]],5,FALSE)</f>
        <v>太原市</v>
      </c>
    </row>
    <row r="102" spans="1:7" ht="15.75" thickBot="1" x14ac:dyDescent="0.3">
      <c r="A102" t="s">
        <v>2086</v>
      </c>
      <c r="B102" s="1" t="s">
        <v>2087</v>
      </c>
      <c r="C102" s="1" t="s">
        <v>31</v>
      </c>
      <c r="D102" s="1" t="s">
        <v>1961</v>
      </c>
      <c r="E102" s="9">
        <v>53575</v>
      </c>
      <c r="F102" s="1" t="str">
        <f>VLOOKUP(D102,Table12[[Name]:[Native]],3,FALSE)</f>
        <v>晋源区</v>
      </c>
      <c r="G102" s="12" t="str">
        <f ca="1">VLOOKUP(F102,Table12[[Native]:[Population4]],5,FALSE)</f>
        <v>太原市</v>
      </c>
    </row>
    <row r="103" spans="1:7" ht="15.75" thickBot="1" x14ac:dyDescent="0.3">
      <c r="A103" t="s">
        <v>2088</v>
      </c>
      <c r="B103" s="1" t="s">
        <v>2089</v>
      </c>
      <c r="C103" s="1" t="s">
        <v>31</v>
      </c>
      <c r="D103" s="1" t="s">
        <v>1893</v>
      </c>
      <c r="E103" s="9">
        <v>136644</v>
      </c>
      <c r="F103" s="1" t="str">
        <f>VLOOKUP(D103,Table12[[Name]:[Native]],3,FALSE)</f>
        <v>小店区</v>
      </c>
      <c r="G103" s="12" t="str">
        <f ca="1">VLOOKUP(F103,Table12[[Native]:[Population4]],5,FALSE)</f>
        <v>太原市</v>
      </c>
    </row>
    <row r="104" spans="1:7" ht="15.75" thickBot="1" x14ac:dyDescent="0.3">
      <c r="A104" t="s">
        <v>2090</v>
      </c>
      <c r="B104" s="1" t="s">
        <v>2091</v>
      </c>
      <c r="C104" s="1" t="s">
        <v>31</v>
      </c>
      <c r="D104" s="1" t="s">
        <v>1884</v>
      </c>
      <c r="E104" s="9">
        <v>24838</v>
      </c>
      <c r="F104" s="1" t="str">
        <f>VLOOKUP(D104,Table12[[Name]:[Native]],3,FALSE)</f>
        <v>尖草坪区</v>
      </c>
      <c r="G104" s="12" t="str">
        <f ca="1">VLOOKUP(F104,Table12[[Native]:[Population4]],5,FALSE)</f>
        <v>太原市</v>
      </c>
    </row>
    <row r="105" spans="1:7" ht="15.75" thickBot="1" x14ac:dyDescent="0.3">
      <c r="A105" t="s">
        <v>2092</v>
      </c>
      <c r="B105" s="1" t="s">
        <v>2093</v>
      </c>
      <c r="C105" s="1" t="s">
        <v>31</v>
      </c>
      <c r="D105" s="1" t="s">
        <v>1938</v>
      </c>
      <c r="E105" s="9">
        <v>118954</v>
      </c>
      <c r="F105" s="1" t="str">
        <f>VLOOKUP(D105,Table12[[Name]:[Native]],3,FALSE)</f>
        <v>迎泽区</v>
      </c>
      <c r="G105" s="12" t="str">
        <f ca="1">VLOOKUP(F105,Table12[[Native]:[Population4]],5,FALSE)</f>
        <v>太原市</v>
      </c>
    </row>
    <row r="106" spans="1:7" ht="15.75" thickBot="1" x14ac:dyDescent="0.3">
      <c r="A106" t="s">
        <v>2094</v>
      </c>
      <c r="B106" s="1" t="s">
        <v>2095</v>
      </c>
      <c r="C106" s="1" t="s">
        <v>17</v>
      </c>
      <c r="D106" s="1" t="s">
        <v>1903</v>
      </c>
      <c r="E106" s="9">
        <v>3779</v>
      </c>
      <c r="F106" s="1" t="str">
        <f>VLOOKUP(D106,Table12[[Name]:[Native]],3,FALSE)</f>
        <v>古交市</v>
      </c>
      <c r="G106" s="12" t="str">
        <f ca="1">VLOOKUP(F106,Table12[[Native]:[Population4]],5,FALSE)</f>
        <v>太原市</v>
      </c>
    </row>
    <row r="107" spans="1:7" ht="15.75" thickBot="1" x14ac:dyDescent="0.3">
      <c r="A107" t="s">
        <v>2096</v>
      </c>
      <c r="B107" s="1" t="s">
        <v>2097</v>
      </c>
      <c r="C107" s="1" t="s">
        <v>7</v>
      </c>
      <c r="D107" s="1" t="s">
        <v>1903</v>
      </c>
      <c r="E107" s="9">
        <v>9022</v>
      </c>
      <c r="F107" s="1" t="str">
        <f>VLOOKUP(D107,Table12[[Name]:[Native]],3,FALSE)</f>
        <v>古交市</v>
      </c>
      <c r="G107" s="12" t="str">
        <f ca="1">VLOOKUP(F107,Table12[[Native]:[Population4]],5,FALSE)</f>
        <v>太原市</v>
      </c>
    </row>
    <row r="108" spans="1:7" ht="15.75" thickBot="1" x14ac:dyDescent="0.3">
      <c r="A108" t="s">
        <v>2098</v>
      </c>
      <c r="B108" s="1" t="s">
        <v>2099</v>
      </c>
      <c r="C108" s="1" t="s">
        <v>31</v>
      </c>
      <c r="D108" s="1" t="s">
        <v>1890</v>
      </c>
      <c r="E108" s="9">
        <v>48807</v>
      </c>
      <c r="F108" s="1" t="str">
        <f>VLOOKUP(D108,Table12[[Name]:[Native]],3,FALSE)</f>
        <v>杏花岭区</v>
      </c>
      <c r="G108" s="12" t="str">
        <f ca="1">VLOOKUP(F108,Table12[[Native]:[Population4]],5,FALSE)</f>
        <v>太原市</v>
      </c>
    </row>
    <row r="109" spans="1:7" ht="15.75" thickBot="1" x14ac:dyDescent="0.3">
      <c r="A109" t="s">
        <v>2100</v>
      </c>
      <c r="B109" s="1" t="s">
        <v>2101</v>
      </c>
      <c r="C109" s="1" t="s">
        <v>17</v>
      </c>
      <c r="D109" s="1" t="s">
        <v>1890</v>
      </c>
      <c r="E109" s="9">
        <v>32191</v>
      </c>
      <c r="F109" s="1" t="str">
        <f>VLOOKUP(D109,Table12[[Name]:[Native]],3,FALSE)</f>
        <v>杏花岭区</v>
      </c>
      <c r="G109" s="12" t="str">
        <f ca="1">VLOOKUP(F109,Table12[[Native]:[Population4]],5,FALSE)</f>
        <v>太原市</v>
      </c>
    </row>
    <row r="110" spans="1:7" ht="15.75" thickBot="1" x14ac:dyDescent="0.3">
      <c r="A110" t="s">
        <v>2102</v>
      </c>
      <c r="B110" s="1" t="s">
        <v>2103</v>
      </c>
      <c r="C110" s="1" t="s">
        <v>35</v>
      </c>
      <c r="D110" s="1" t="s">
        <v>1896</v>
      </c>
      <c r="E110" s="9">
        <v>26874</v>
      </c>
      <c r="F110" s="8" t="str">
        <f>VLOOKUP(D110,Table12[[Name]:[Native]],3,FALSE)</f>
        <v>阳曲县</v>
      </c>
      <c r="G110" s="12" t="str">
        <f ca="1">VLOOKUP(F110,Table12[[Native]:[Population4]],5,FALSE)</f>
        <v>太原市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92D2-A81A-4DD5-ADCB-C3841B0B1EF1}">
  <dimension ref="A1:G197"/>
  <sheetViews>
    <sheetView topLeftCell="A172" workbookViewId="0">
      <selection activeCell="G2" sqref="A2:G19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2104</v>
      </c>
      <c r="B2" s="1" t="s">
        <v>2105</v>
      </c>
      <c r="C2" s="1" t="s">
        <v>17</v>
      </c>
      <c r="D2" s="1" t="s">
        <v>2106</v>
      </c>
      <c r="E2" s="9">
        <v>8188</v>
      </c>
      <c r="F2" s="7" t="str">
        <f>VLOOKUP(D2,Table12[[Name]:[Native]],3,FALSE)</f>
        <v>繁峙县</v>
      </c>
      <c r="G2" s="12" t="str">
        <f ca="1">VLOOKUP(F2,Table12[[Native]:[Population4]],5,FALSE)</f>
        <v>忻州市</v>
      </c>
    </row>
    <row r="3" spans="1:7" ht="15.75" thickBot="1" x14ac:dyDescent="0.3">
      <c r="A3" t="s">
        <v>2107</v>
      </c>
      <c r="B3" s="1" t="s">
        <v>2108</v>
      </c>
      <c r="C3" s="1" t="s">
        <v>7</v>
      </c>
      <c r="D3" s="1" t="s">
        <v>2109</v>
      </c>
      <c r="E3" s="9">
        <v>11668</v>
      </c>
      <c r="F3" s="1" t="str">
        <f>VLOOKUP(D3,Table12[[Name]:[Native]],3,FALSE)</f>
        <v>五台县</v>
      </c>
      <c r="G3" s="12" t="str">
        <f ca="1">VLOOKUP(F3,Table12[[Native]:[Population4]],5,FALSE)</f>
        <v>忻州市</v>
      </c>
    </row>
    <row r="4" spans="1:7" ht="15.75" thickBot="1" x14ac:dyDescent="0.3">
      <c r="A4" t="s">
        <v>2110</v>
      </c>
      <c r="B4" s="1" t="s">
        <v>2111</v>
      </c>
      <c r="C4" s="1" t="s">
        <v>7</v>
      </c>
      <c r="D4" s="1" t="s">
        <v>2112</v>
      </c>
      <c r="E4" s="9">
        <v>8776</v>
      </c>
      <c r="F4" s="1" t="str">
        <f>VLOOKUP(D4,Table12[[Name]:[Native]],3,FALSE)</f>
        <v>神池县</v>
      </c>
      <c r="G4" s="12" t="str">
        <f ca="1">VLOOKUP(F4,Table12[[Native]:[Population4]],5,FALSE)</f>
        <v>忻州市</v>
      </c>
    </row>
    <row r="5" spans="1:7" ht="15.75" thickBot="1" x14ac:dyDescent="0.3">
      <c r="A5" t="s">
        <v>621</v>
      </c>
      <c r="B5" s="1" t="s">
        <v>622</v>
      </c>
      <c r="C5" s="1" t="s">
        <v>31</v>
      </c>
      <c r="D5" s="1" t="s">
        <v>2113</v>
      </c>
      <c r="E5" s="9">
        <v>41967</v>
      </c>
      <c r="F5" s="1" t="str">
        <f>VLOOKUP(D5,Table12[[Name]:[Native]],3,FALSE)</f>
        <v>原平市</v>
      </c>
      <c r="G5" s="12" t="str">
        <f ca="1">VLOOKUP(F5,Table12[[Native]:[Population4]],5,FALSE)</f>
        <v>忻州市</v>
      </c>
    </row>
    <row r="6" spans="1:7" ht="15.75" thickBot="1" x14ac:dyDescent="0.3">
      <c r="A6" t="s">
        <v>2114</v>
      </c>
      <c r="B6" s="1" t="s">
        <v>2115</v>
      </c>
      <c r="C6" s="1" t="s">
        <v>17</v>
      </c>
      <c r="D6" s="1" t="s">
        <v>2116</v>
      </c>
      <c r="E6" s="9">
        <v>14782</v>
      </c>
      <c r="F6" s="1" t="str">
        <f>VLOOKUP(D6,Table12[[Name]:[Native]],3,FALSE)</f>
        <v>忻府区</v>
      </c>
      <c r="G6" s="12" t="str">
        <f ca="1">VLOOKUP(F6,Table12[[Native]:[Population4]],5,FALSE)</f>
        <v>忻州市</v>
      </c>
    </row>
    <row r="7" spans="1:7" ht="15.75" thickBot="1" x14ac:dyDescent="0.3">
      <c r="A7" t="s">
        <v>2117</v>
      </c>
      <c r="B7" s="1" t="s">
        <v>2118</v>
      </c>
      <c r="C7" s="1" t="s">
        <v>17</v>
      </c>
      <c r="D7" s="1" t="s">
        <v>2116</v>
      </c>
      <c r="E7" s="9">
        <v>18017</v>
      </c>
      <c r="F7" s="1" t="str">
        <f>VLOOKUP(D7,Table12[[Name]:[Native]],3,FALSE)</f>
        <v>忻府区</v>
      </c>
      <c r="G7" s="12" t="str">
        <f ca="1">VLOOKUP(F7,Table12[[Native]:[Population4]],5,FALSE)</f>
        <v>忻州市</v>
      </c>
    </row>
    <row r="8" spans="1:7" ht="15.75" thickBot="1" x14ac:dyDescent="0.3">
      <c r="A8" t="s">
        <v>2119</v>
      </c>
      <c r="B8" s="1" t="s">
        <v>2120</v>
      </c>
      <c r="C8" s="1" t="s">
        <v>17</v>
      </c>
      <c r="D8" s="1" t="s">
        <v>2121</v>
      </c>
      <c r="E8" s="9">
        <v>3574</v>
      </c>
      <c r="F8" s="1" t="str">
        <f>VLOOKUP(D8,Table12[[Name]:[Native]],3,FALSE)</f>
        <v>宁武县</v>
      </c>
      <c r="G8" s="12" t="str">
        <f ca="1">VLOOKUP(F8,Table12[[Native]:[Population4]],5,FALSE)</f>
        <v>忻州市</v>
      </c>
    </row>
    <row r="9" spans="1:7" ht="15.75" thickBot="1" x14ac:dyDescent="0.3">
      <c r="A9" t="s">
        <v>2122</v>
      </c>
      <c r="B9" s="1" t="s">
        <v>2123</v>
      </c>
      <c r="C9" s="1" t="s">
        <v>7</v>
      </c>
      <c r="D9" s="1" t="s">
        <v>2113</v>
      </c>
      <c r="E9" s="9">
        <v>16683</v>
      </c>
      <c r="F9" s="1" t="str">
        <f>VLOOKUP(D9,Table12[[Name]:[Native]],3,FALSE)</f>
        <v>原平市</v>
      </c>
      <c r="G9" s="12" t="str">
        <f ca="1">VLOOKUP(F9,Table12[[Native]:[Population4]],5,FALSE)</f>
        <v>忻州市</v>
      </c>
    </row>
    <row r="10" spans="1:7" ht="15.75" thickBot="1" x14ac:dyDescent="0.3">
      <c r="A10" t="s">
        <v>2124</v>
      </c>
      <c r="B10" s="1" t="s">
        <v>2125</v>
      </c>
      <c r="C10" s="1" t="s">
        <v>31</v>
      </c>
      <c r="D10" s="1" t="s">
        <v>2116</v>
      </c>
      <c r="E10" s="9">
        <v>119845</v>
      </c>
      <c r="F10" s="1" t="str">
        <f>VLOOKUP(D10,Table12[[Name]:[Native]],3,FALSE)</f>
        <v>忻府区</v>
      </c>
      <c r="G10" s="12" t="str">
        <f ca="1">VLOOKUP(F10,Table12[[Native]:[Population4]],5,FALSE)</f>
        <v>忻州市</v>
      </c>
    </row>
    <row r="11" spans="1:7" ht="15.75" thickBot="1" x14ac:dyDescent="0.3">
      <c r="A11" t="s">
        <v>2126</v>
      </c>
      <c r="B11" s="1" t="s">
        <v>2127</v>
      </c>
      <c r="C11" s="1" t="s">
        <v>17</v>
      </c>
      <c r="D11" s="1" t="s">
        <v>2112</v>
      </c>
      <c r="E11" s="9">
        <v>5056</v>
      </c>
      <c r="F11" s="1" t="str">
        <f>VLOOKUP(D11,Table12[[Name]:[Native]],3,FALSE)</f>
        <v>神池县</v>
      </c>
      <c r="G11" s="12" t="str">
        <f ca="1">VLOOKUP(F11,Table12[[Native]:[Population4]],5,FALSE)</f>
        <v>忻州市</v>
      </c>
    </row>
    <row r="12" spans="1:7" ht="15.75" thickBot="1" x14ac:dyDescent="0.3">
      <c r="A12" t="s">
        <v>2128</v>
      </c>
      <c r="B12" s="1" t="s">
        <v>2129</v>
      </c>
      <c r="C12" s="1" t="s">
        <v>31</v>
      </c>
      <c r="D12" s="1" t="s">
        <v>2121</v>
      </c>
      <c r="E12" s="9">
        <v>38410</v>
      </c>
      <c r="F12" s="1" t="str">
        <f>VLOOKUP(D12,Table12[[Name]:[Native]],3,FALSE)</f>
        <v>宁武县</v>
      </c>
      <c r="G12" s="12" t="str">
        <f ca="1">VLOOKUP(F12,Table12[[Native]:[Population4]],5,FALSE)</f>
        <v>忻州市</v>
      </c>
    </row>
    <row r="13" spans="1:7" ht="15.75" thickBot="1" x14ac:dyDescent="0.3">
      <c r="A13" t="s">
        <v>2130</v>
      </c>
      <c r="B13" s="1" t="s">
        <v>2131</v>
      </c>
      <c r="C13" s="1" t="s">
        <v>17</v>
      </c>
      <c r="D13" s="1" t="s">
        <v>2132</v>
      </c>
      <c r="E13" s="9">
        <v>5617</v>
      </c>
      <c r="F13" s="1" t="str">
        <f>VLOOKUP(D13,Table12[[Name]:[Native]],3,FALSE)</f>
        <v>偏关县</v>
      </c>
      <c r="G13" s="12" t="str">
        <f ca="1">VLOOKUP(F13,Table12[[Native]:[Population4]],5,FALSE)</f>
        <v>忻州市</v>
      </c>
    </row>
    <row r="14" spans="1:7" ht="15.75" thickBot="1" x14ac:dyDescent="0.3">
      <c r="A14" t="s">
        <v>2133</v>
      </c>
      <c r="B14" s="1" t="s">
        <v>2134</v>
      </c>
      <c r="C14" s="1" t="s">
        <v>17</v>
      </c>
      <c r="D14" s="1" t="s">
        <v>2109</v>
      </c>
      <c r="E14" s="9">
        <v>14939</v>
      </c>
      <c r="F14" s="1" t="str">
        <f>VLOOKUP(D14,Table12[[Name]:[Native]],3,FALSE)</f>
        <v>五台县</v>
      </c>
      <c r="G14" s="12" t="str">
        <f ca="1">VLOOKUP(F14,Table12[[Native]:[Population4]],5,FALSE)</f>
        <v>忻州市</v>
      </c>
    </row>
    <row r="15" spans="1:7" ht="15.75" thickBot="1" x14ac:dyDescent="0.3">
      <c r="A15" t="s">
        <v>2135</v>
      </c>
      <c r="B15" s="1" t="s">
        <v>2136</v>
      </c>
      <c r="C15" s="1" t="s">
        <v>17</v>
      </c>
      <c r="D15" s="1" t="s">
        <v>2137</v>
      </c>
      <c r="E15" s="9">
        <v>7542</v>
      </c>
      <c r="F15" s="1" t="str">
        <f>VLOOKUP(D15,Table12[[Name]:[Native]],3,FALSE)</f>
        <v>静乐县</v>
      </c>
      <c r="G15" s="12" t="str">
        <f ca="1">VLOOKUP(F15,Table12[[Native]:[Population4]],5,FALSE)</f>
        <v>忻州市</v>
      </c>
    </row>
    <row r="16" spans="1:7" ht="15.75" thickBot="1" x14ac:dyDescent="0.3">
      <c r="A16" t="s">
        <v>2138</v>
      </c>
      <c r="B16" s="1" t="s">
        <v>2139</v>
      </c>
      <c r="C16" s="1" t="s">
        <v>17</v>
      </c>
      <c r="D16" s="1" t="s">
        <v>2140</v>
      </c>
      <c r="E16" s="9">
        <v>4144</v>
      </c>
      <c r="F16" s="1" t="str">
        <f>VLOOKUP(D16,Table12[[Name]:[Native]],3,FALSE)</f>
        <v>岢岚县</v>
      </c>
      <c r="G16" s="12" t="str">
        <f ca="1">VLOOKUP(F16,Table12[[Native]:[Population4]],5,FALSE)</f>
        <v>忻州市</v>
      </c>
    </row>
    <row r="17" spans="1:7" ht="15.75" thickBot="1" x14ac:dyDescent="0.3">
      <c r="A17" t="s">
        <v>2141</v>
      </c>
      <c r="B17" s="1" t="s">
        <v>2142</v>
      </c>
      <c r="C17" s="1" t="s">
        <v>17</v>
      </c>
      <c r="D17" s="1" t="s">
        <v>2113</v>
      </c>
      <c r="E17" s="9">
        <v>15129</v>
      </c>
      <c r="F17" s="1" t="str">
        <f>VLOOKUP(D17,Table12[[Name]:[Native]],3,FALSE)</f>
        <v>原平市</v>
      </c>
      <c r="G17" s="12" t="str">
        <f ca="1">VLOOKUP(F17,Table12[[Native]:[Population4]],5,FALSE)</f>
        <v>忻州市</v>
      </c>
    </row>
    <row r="18" spans="1:7" ht="15.75" thickBot="1" x14ac:dyDescent="0.3">
      <c r="A18" t="s">
        <v>2143</v>
      </c>
      <c r="B18" s="1" t="s">
        <v>2144</v>
      </c>
      <c r="C18" s="1" t="s">
        <v>7</v>
      </c>
      <c r="D18" s="1" t="s">
        <v>2113</v>
      </c>
      <c r="E18" s="9">
        <v>19398</v>
      </c>
      <c r="F18" s="1" t="str">
        <f>VLOOKUP(D18,Table12[[Name]:[Native]],3,FALSE)</f>
        <v>原平市</v>
      </c>
      <c r="G18" s="12" t="str">
        <f ca="1">VLOOKUP(F18,Table12[[Native]:[Population4]],5,FALSE)</f>
        <v>忻州市</v>
      </c>
    </row>
    <row r="19" spans="1:7" ht="15.75" thickBot="1" x14ac:dyDescent="0.3">
      <c r="A19" t="s">
        <v>2145</v>
      </c>
      <c r="B19" s="1" t="s">
        <v>2146</v>
      </c>
      <c r="C19" s="1" t="s">
        <v>17</v>
      </c>
      <c r="D19" s="1" t="s">
        <v>2147</v>
      </c>
      <c r="E19" s="9">
        <v>3383</v>
      </c>
      <c r="F19" s="1" t="str">
        <f>VLOOKUP(D19,Table12[[Name]:[Native]],3,FALSE)</f>
        <v>河曲县</v>
      </c>
      <c r="G19" s="12" t="str">
        <f ca="1">VLOOKUP(F19,Table12[[Native]:[Population4]],5,FALSE)</f>
        <v>忻州市</v>
      </c>
    </row>
    <row r="20" spans="1:7" ht="15.75" thickBot="1" x14ac:dyDescent="0.3">
      <c r="A20" t="s">
        <v>2148</v>
      </c>
      <c r="B20" s="1" t="s">
        <v>2149</v>
      </c>
      <c r="C20" s="1" t="s">
        <v>17</v>
      </c>
      <c r="D20" s="1" t="s">
        <v>2112</v>
      </c>
      <c r="E20" s="9">
        <v>5189</v>
      </c>
      <c r="F20" s="1" t="str">
        <f>VLOOKUP(D20,Table12[[Name]:[Native]],3,FALSE)</f>
        <v>神池县</v>
      </c>
      <c r="G20" s="12" t="str">
        <f ca="1">VLOOKUP(F20,Table12[[Native]:[Population4]],5,FALSE)</f>
        <v>忻州市</v>
      </c>
    </row>
    <row r="21" spans="1:7" ht="15.75" thickBot="1" x14ac:dyDescent="0.3">
      <c r="A21" t="s">
        <v>2150</v>
      </c>
      <c r="B21" s="1" t="s">
        <v>2151</v>
      </c>
      <c r="C21" s="1" t="s">
        <v>7</v>
      </c>
      <c r="D21" s="1" t="s">
        <v>2106</v>
      </c>
      <c r="E21" s="9">
        <v>17261</v>
      </c>
      <c r="F21" s="1" t="str">
        <f>VLOOKUP(D21,Table12[[Name]:[Native]],3,FALSE)</f>
        <v>繁峙县</v>
      </c>
      <c r="G21" s="12" t="str">
        <f ca="1">VLOOKUP(F21,Table12[[Native]:[Population4]],5,FALSE)</f>
        <v>忻州市</v>
      </c>
    </row>
    <row r="22" spans="1:7" ht="15.75" thickBot="1" x14ac:dyDescent="0.3">
      <c r="A22" t="s">
        <v>2152</v>
      </c>
      <c r="B22" s="1" t="s">
        <v>2153</v>
      </c>
      <c r="C22" s="1" t="s">
        <v>17</v>
      </c>
      <c r="D22" s="1" t="s">
        <v>2121</v>
      </c>
      <c r="E22" s="9">
        <v>3305</v>
      </c>
      <c r="F22" s="1" t="str">
        <f>VLOOKUP(D22,Table12[[Name]:[Native]],3,FALSE)</f>
        <v>宁武县</v>
      </c>
      <c r="G22" s="12" t="str">
        <f ca="1">VLOOKUP(F22,Table12[[Native]:[Population4]],5,FALSE)</f>
        <v>忻州市</v>
      </c>
    </row>
    <row r="23" spans="1:7" ht="15.75" thickBot="1" x14ac:dyDescent="0.3">
      <c r="A23" t="s">
        <v>2154</v>
      </c>
      <c r="B23" s="1" t="s">
        <v>2155</v>
      </c>
      <c r="C23" s="1" t="s">
        <v>7</v>
      </c>
      <c r="D23" s="1" t="s">
        <v>2116</v>
      </c>
      <c r="E23" s="9">
        <v>21995</v>
      </c>
      <c r="F23" s="1" t="str">
        <f>VLOOKUP(D23,Table12[[Name]:[Native]],3,FALSE)</f>
        <v>忻府区</v>
      </c>
      <c r="G23" s="12" t="str">
        <f ca="1">VLOOKUP(F23,Table12[[Native]:[Population4]],5,FALSE)</f>
        <v>忻州市</v>
      </c>
    </row>
    <row r="24" spans="1:7" ht="15.75" thickBot="1" x14ac:dyDescent="0.3">
      <c r="A24" t="s">
        <v>2156</v>
      </c>
      <c r="B24" s="1" t="s">
        <v>2157</v>
      </c>
      <c r="C24" s="1" t="s">
        <v>7</v>
      </c>
      <c r="D24" s="1" t="s">
        <v>2158</v>
      </c>
      <c r="E24" s="9">
        <v>75135</v>
      </c>
      <c r="F24" s="1" t="str">
        <f>VLOOKUP(D24,Table12[[Name]:[Native]],3,FALSE)</f>
        <v>保德县</v>
      </c>
      <c r="G24" s="12" t="str">
        <f ca="1">VLOOKUP(F24,Table12[[Native]:[Population4]],5,FALSE)</f>
        <v>忻州市</v>
      </c>
    </row>
    <row r="25" spans="1:7" ht="15.75" thickBot="1" x14ac:dyDescent="0.3">
      <c r="A25" t="s">
        <v>2159</v>
      </c>
      <c r="B25" s="1" t="s">
        <v>2160</v>
      </c>
      <c r="C25" s="1" t="s">
        <v>17</v>
      </c>
      <c r="D25" s="1" t="s">
        <v>2112</v>
      </c>
      <c r="E25" s="9">
        <v>9597</v>
      </c>
      <c r="F25" s="1" t="str">
        <f>VLOOKUP(D25,Table12[[Name]:[Native]],3,FALSE)</f>
        <v>神池县</v>
      </c>
      <c r="G25" s="12" t="str">
        <f ca="1">VLOOKUP(F25,Table12[[Native]:[Population4]],5,FALSE)</f>
        <v>忻州市</v>
      </c>
    </row>
    <row r="26" spans="1:7" ht="15.75" thickBot="1" x14ac:dyDescent="0.3">
      <c r="A26" t="s">
        <v>2161</v>
      </c>
      <c r="B26" s="1" t="s">
        <v>2162</v>
      </c>
      <c r="C26" s="1" t="s">
        <v>17</v>
      </c>
      <c r="D26" s="1" t="s">
        <v>2109</v>
      </c>
      <c r="E26" s="9">
        <v>10311</v>
      </c>
      <c r="F26" s="1" t="str">
        <f>VLOOKUP(D26,Table12[[Name]:[Native]],3,FALSE)</f>
        <v>五台县</v>
      </c>
      <c r="G26" s="12" t="str">
        <f ca="1">VLOOKUP(F26,Table12[[Native]:[Population4]],5,FALSE)</f>
        <v>忻州市</v>
      </c>
    </row>
    <row r="27" spans="1:7" ht="15.75" thickBot="1" x14ac:dyDescent="0.3">
      <c r="A27" t="s">
        <v>2163</v>
      </c>
      <c r="B27" s="1" t="s">
        <v>2164</v>
      </c>
      <c r="C27" s="1" t="s">
        <v>17</v>
      </c>
      <c r="D27" s="1" t="s">
        <v>2116</v>
      </c>
      <c r="E27" s="9">
        <v>18204</v>
      </c>
      <c r="F27" s="1" t="str">
        <f>VLOOKUP(D27,Table12[[Name]:[Native]],3,FALSE)</f>
        <v>忻府区</v>
      </c>
      <c r="G27" s="12" t="str">
        <f ca="1">VLOOKUP(F27,Table12[[Native]:[Population4]],5,FALSE)</f>
        <v>忻州市</v>
      </c>
    </row>
    <row r="28" spans="1:7" ht="15.75" thickBot="1" x14ac:dyDescent="0.3">
      <c r="A28" t="s">
        <v>2165</v>
      </c>
      <c r="B28" s="1" t="s">
        <v>2166</v>
      </c>
      <c r="C28" s="1" t="s">
        <v>17</v>
      </c>
      <c r="D28" s="1" t="s">
        <v>2121</v>
      </c>
      <c r="E28" s="9">
        <v>6450</v>
      </c>
      <c r="F28" s="1" t="str">
        <f>VLOOKUP(D28,Table12[[Name]:[Native]],3,FALSE)</f>
        <v>宁武县</v>
      </c>
      <c r="G28" s="12" t="str">
        <f ca="1">VLOOKUP(F28,Table12[[Native]:[Population4]],5,FALSE)</f>
        <v>忻州市</v>
      </c>
    </row>
    <row r="29" spans="1:7" ht="15.75" thickBot="1" x14ac:dyDescent="0.3">
      <c r="A29" t="s">
        <v>2167</v>
      </c>
      <c r="B29" s="1" t="s">
        <v>2168</v>
      </c>
      <c r="C29" s="1" t="s">
        <v>17</v>
      </c>
      <c r="D29" s="1" t="s">
        <v>2106</v>
      </c>
      <c r="E29" s="9">
        <v>20432</v>
      </c>
      <c r="F29" s="1" t="str">
        <f>VLOOKUP(D29,Table12[[Name]:[Native]],3,FALSE)</f>
        <v>繁峙县</v>
      </c>
      <c r="G29" s="12" t="str">
        <f ca="1">VLOOKUP(F29,Table12[[Native]:[Population4]],5,FALSE)</f>
        <v>忻州市</v>
      </c>
    </row>
    <row r="30" spans="1:7" ht="15.75" thickBot="1" x14ac:dyDescent="0.3">
      <c r="A30" t="s">
        <v>2169</v>
      </c>
      <c r="B30" s="1" t="s">
        <v>2170</v>
      </c>
      <c r="C30" s="1" t="s">
        <v>7</v>
      </c>
      <c r="D30" s="1" t="s">
        <v>2113</v>
      </c>
      <c r="E30" s="9">
        <v>31929</v>
      </c>
      <c r="F30" s="1" t="str">
        <f>VLOOKUP(D30,Table12[[Name]:[Native]],3,FALSE)</f>
        <v>原平市</v>
      </c>
      <c r="G30" s="12" t="str">
        <f ca="1">VLOOKUP(F30,Table12[[Native]:[Population4]],5,FALSE)</f>
        <v>忻州市</v>
      </c>
    </row>
    <row r="31" spans="1:7" ht="15.75" thickBot="1" x14ac:dyDescent="0.3">
      <c r="A31" t="s">
        <v>2171</v>
      </c>
      <c r="B31" s="1" t="s">
        <v>2172</v>
      </c>
      <c r="C31" s="1" t="s">
        <v>17</v>
      </c>
      <c r="D31" s="1" t="s">
        <v>2173</v>
      </c>
      <c r="E31" s="9">
        <v>4793</v>
      </c>
      <c r="F31" s="1" t="str">
        <f>VLOOKUP(D31,Table12[[Name]:[Native]],3,FALSE)</f>
        <v>五寨县</v>
      </c>
      <c r="G31" s="12" t="str">
        <f ca="1">VLOOKUP(F31,Table12[[Native]:[Population4]],5,FALSE)</f>
        <v>忻州市</v>
      </c>
    </row>
    <row r="32" spans="1:7" ht="15.75" thickBot="1" x14ac:dyDescent="0.3">
      <c r="A32" t="s">
        <v>655</v>
      </c>
      <c r="B32" s="1" t="s">
        <v>656</v>
      </c>
      <c r="C32" s="1" t="s">
        <v>7</v>
      </c>
      <c r="D32" s="1" t="s">
        <v>2109</v>
      </c>
      <c r="E32" s="9">
        <v>37748</v>
      </c>
      <c r="F32" s="1" t="str">
        <f>VLOOKUP(D32,Table12[[Name]:[Native]],3,FALSE)</f>
        <v>五台县</v>
      </c>
      <c r="G32" s="12" t="str">
        <f ca="1">VLOOKUP(F32,Table12[[Native]:[Population4]],5,FALSE)</f>
        <v>忻州市</v>
      </c>
    </row>
    <row r="33" spans="1:7" ht="15.75" thickBot="1" x14ac:dyDescent="0.3">
      <c r="A33" t="s">
        <v>2174</v>
      </c>
      <c r="B33" s="1" t="s">
        <v>2175</v>
      </c>
      <c r="C33" s="1" t="s">
        <v>7</v>
      </c>
      <c r="D33" s="1" t="s">
        <v>2121</v>
      </c>
      <c r="E33" s="9">
        <v>17452</v>
      </c>
      <c r="F33" s="1" t="str">
        <f>VLOOKUP(D33,Table12[[Name]:[Native]],3,FALSE)</f>
        <v>宁武县</v>
      </c>
      <c r="G33" s="12" t="str">
        <f ca="1">VLOOKUP(F33,Table12[[Native]:[Population4]],5,FALSE)</f>
        <v>忻州市</v>
      </c>
    </row>
    <row r="34" spans="1:7" ht="15.75" thickBot="1" x14ac:dyDescent="0.3">
      <c r="A34" t="s">
        <v>2176</v>
      </c>
      <c r="B34" s="1" t="s">
        <v>2177</v>
      </c>
      <c r="C34" s="1" t="s">
        <v>7</v>
      </c>
      <c r="D34" s="1" t="s">
        <v>2109</v>
      </c>
      <c r="E34" s="9">
        <v>26880</v>
      </c>
      <c r="F34" s="1" t="str">
        <f>VLOOKUP(D34,Table12[[Name]:[Native]],3,FALSE)</f>
        <v>五台县</v>
      </c>
      <c r="G34" s="12" t="str">
        <f ca="1">VLOOKUP(F34,Table12[[Native]:[Population4]],5,FALSE)</f>
        <v>忻州市</v>
      </c>
    </row>
    <row r="35" spans="1:7" ht="15.75" thickBot="1" x14ac:dyDescent="0.3">
      <c r="A35" t="s">
        <v>2178</v>
      </c>
      <c r="B35" s="1" t="s">
        <v>2179</v>
      </c>
      <c r="C35" s="1" t="s">
        <v>7</v>
      </c>
      <c r="D35" s="1" t="s">
        <v>2116</v>
      </c>
      <c r="E35" s="9">
        <v>18655</v>
      </c>
      <c r="F35" s="1" t="str">
        <f>VLOOKUP(D35,Table12[[Name]:[Native]],3,FALSE)</f>
        <v>忻府区</v>
      </c>
      <c r="G35" s="12" t="str">
        <f ca="1">VLOOKUP(F35,Table12[[Native]:[Population4]],5,FALSE)</f>
        <v>忻州市</v>
      </c>
    </row>
    <row r="36" spans="1:7" ht="15.75" thickBot="1" x14ac:dyDescent="0.3">
      <c r="A36" t="s">
        <v>2180</v>
      </c>
      <c r="B36" s="1" t="s">
        <v>2181</v>
      </c>
      <c r="C36" s="1" t="s">
        <v>17</v>
      </c>
      <c r="D36" s="1" t="s">
        <v>2113</v>
      </c>
      <c r="E36" s="9">
        <v>19061</v>
      </c>
      <c r="F36" s="1" t="str">
        <f>VLOOKUP(D36,Table12[[Name]:[Native]],3,FALSE)</f>
        <v>原平市</v>
      </c>
      <c r="G36" s="12" t="str">
        <f ca="1">VLOOKUP(F36,Table12[[Native]:[Population4]],5,FALSE)</f>
        <v>忻州市</v>
      </c>
    </row>
    <row r="37" spans="1:7" ht="15.75" thickBot="1" x14ac:dyDescent="0.3">
      <c r="A37" t="s">
        <v>2182</v>
      </c>
      <c r="B37" s="1" t="s">
        <v>2183</v>
      </c>
      <c r="C37" s="1" t="s">
        <v>17</v>
      </c>
      <c r="D37" s="1" t="s">
        <v>2137</v>
      </c>
      <c r="E37" s="9">
        <v>9666</v>
      </c>
      <c r="F37" s="1" t="str">
        <f>VLOOKUP(D37,Table12[[Name]:[Native]],3,FALSE)</f>
        <v>静乐县</v>
      </c>
      <c r="G37" s="12" t="str">
        <f ca="1">VLOOKUP(F37,Table12[[Native]:[Population4]],5,FALSE)</f>
        <v>忻州市</v>
      </c>
    </row>
    <row r="38" spans="1:7" ht="15.75" thickBot="1" x14ac:dyDescent="0.3">
      <c r="A38" t="s">
        <v>2184</v>
      </c>
      <c r="B38" s="1" t="s">
        <v>2185</v>
      </c>
      <c r="C38" s="1" t="s">
        <v>7</v>
      </c>
      <c r="D38" s="1" t="s">
        <v>2137</v>
      </c>
      <c r="E38" s="9">
        <v>12395</v>
      </c>
      <c r="F38" s="1" t="str">
        <f>VLOOKUP(D38,Table12[[Name]:[Native]],3,FALSE)</f>
        <v>静乐县</v>
      </c>
      <c r="G38" s="12" t="str">
        <f ca="1">VLOOKUP(F38,Table12[[Native]:[Population4]],5,FALSE)</f>
        <v>忻州市</v>
      </c>
    </row>
    <row r="39" spans="1:7" ht="15.75" thickBot="1" x14ac:dyDescent="0.3">
      <c r="A39" t="s">
        <v>2186</v>
      </c>
      <c r="B39" s="1" t="s">
        <v>2187</v>
      </c>
      <c r="C39" s="1" t="s">
        <v>7</v>
      </c>
      <c r="D39" s="1" t="s">
        <v>2137</v>
      </c>
      <c r="E39" s="9">
        <v>56433</v>
      </c>
      <c r="F39" s="1" t="str">
        <f>VLOOKUP(D39,Table12[[Name]:[Native]],3,FALSE)</f>
        <v>静乐县</v>
      </c>
      <c r="G39" s="12" t="str">
        <f ca="1">VLOOKUP(F39,Table12[[Native]:[Population4]],5,FALSE)</f>
        <v>忻州市</v>
      </c>
    </row>
    <row r="40" spans="1:7" ht="15.75" thickBot="1" x14ac:dyDescent="0.3">
      <c r="A40" t="s">
        <v>2188</v>
      </c>
      <c r="B40" s="1" t="s">
        <v>2189</v>
      </c>
      <c r="C40" s="1" t="s">
        <v>7</v>
      </c>
      <c r="D40" s="1" t="s">
        <v>2190</v>
      </c>
      <c r="E40" s="9">
        <v>27443</v>
      </c>
      <c r="F40" s="1" t="str">
        <f>VLOOKUP(D40,Table12[[Name]:[Native]],3,FALSE)</f>
        <v>代县</v>
      </c>
      <c r="G40" s="12" t="str">
        <f ca="1">VLOOKUP(F40,Table12[[Native]:[Population4]],5,FALSE)</f>
        <v>忻州市</v>
      </c>
    </row>
    <row r="41" spans="1:7" ht="15.75" thickBot="1" x14ac:dyDescent="0.3">
      <c r="A41" t="s">
        <v>2191</v>
      </c>
      <c r="B41" s="1" t="s">
        <v>2192</v>
      </c>
      <c r="C41" s="1" t="s">
        <v>7</v>
      </c>
      <c r="D41" s="1" t="s">
        <v>2106</v>
      </c>
      <c r="E41" s="9">
        <v>76088</v>
      </c>
      <c r="F41" s="1" t="str">
        <f>VLOOKUP(D41,Table12[[Name]:[Native]],3,FALSE)</f>
        <v>繁峙县</v>
      </c>
      <c r="G41" s="12" t="str">
        <f ca="1">VLOOKUP(F41,Table12[[Native]:[Population4]],5,FALSE)</f>
        <v>忻州市</v>
      </c>
    </row>
    <row r="42" spans="1:7" ht="15.75" thickBot="1" x14ac:dyDescent="0.3">
      <c r="A42" t="s">
        <v>2193</v>
      </c>
      <c r="B42" s="1" t="s">
        <v>2194</v>
      </c>
      <c r="C42" s="1" t="s">
        <v>7</v>
      </c>
      <c r="D42" s="1" t="s">
        <v>2121</v>
      </c>
      <c r="E42" s="9">
        <v>21067</v>
      </c>
      <c r="F42" s="1" t="str">
        <f>VLOOKUP(D42,Table12[[Name]:[Native]],3,FALSE)</f>
        <v>宁武县</v>
      </c>
      <c r="G42" s="12" t="str">
        <f ca="1">VLOOKUP(F42,Table12[[Native]:[Population4]],5,FALSE)</f>
        <v>忻州市</v>
      </c>
    </row>
    <row r="43" spans="1:7" ht="15.75" thickBot="1" x14ac:dyDescent="0.3">
      <c r="A43" t="s">
        <v>2195</v>
      </c>
      <c r="B43" s="1" t="s">
        <v>2196</v>
      </c>
      <c r="C43" s="1" t="s">
        <v>17</v>
      </c>
      <c r="D43" s="1" t="s">
        <v>2158</v>
      </c>
      <c r="E43" s="9">
        <v>3901</v>
      </c>
      <c r="F43" s="1" t="str">
        <f>VLOOKUP(D43,Table12[[Name]:[Native]],3,FALSE)</f>
        <v>保德县</v>
      </c>
      <c r="G43" s="12" t="str">
        <f ca="1">VLOOKUP(F43,Table12[[Native]:[Population4]],5,FALSE)</f>
        <v>忻州市</v>
      </c>
    </row>
    <row r="44" spans="1:7" ht="15.75" thickBot="1" x14ac:dyDescent="0.3">
      <c r="A44" t="s">
        <v>2197</v>
      </c>
      <c r="B44" s="1" t="s">
        <v>2198</v>
      </c>
      <c r="C44" s="1" t="s">
        <v>7</v>
      </c>
      <c r="D44" s="1" t="s">
        <v>2137</v>
      </c>
      <c r="E44" s="9">
        <v>5528</v>
      </c>
      <c r="F44" s="1" t="str">
        <f>VLOOKUP(D44,Table12[[Name]:[Native]],3,FALSE)</f>
        <v>静乐县</v>
      </c>
      <c r="G44" s="12" t="str">
        <f ca="1">VLOOKUP(F44,Table12[[Native]:[Population4]],5,FALSE)</f>
        <v>忻州市</v>
      </c>
    </row>
    <row r="45" spans="1:7" ht="15.75" thickBot="1" x14ac:dyDescent="0.3">
      <c r="A45" t="s">
        <v>2199</v>
      </c>
      <c r="B45" s="1" t="s">
        <v>2200</v>
      </c>
      <c r="C45" s="1" t="s">
        <v>17</v>
      </c>
      <c r="D45" s="1" t="s">
        <v>2116</v>
      </c>
      <c r="E45" s="9">
        <v>14983</v>
      </c>
      <c r="F45" s="1" t="str">
        <f>VLOOKUP(D45,Table12[[Name]:[Native]],3,FALSE)</f>
        <v>忻府区</v>
      </c>
      <c r="G45" s="12" t="str">
        <f ca="1">VLOOKUP(F45,Table12[[Native]:[Population4]],5,FALSE)</f>
        <v>忻州市</v>
      </c>
    </row>
    <row r="46" spans="1:7" ht="15.75" thickBot="1" x14ac:dyDescent="0.3">
      <c r="A46" t="s">
        <v>2201</v>
      </c>
      <c r="B46" s="1" t="s">
        <v>2202</v>
      </c>
      <c r="C46" s="1" t="s">
        <v>17</v>
      </c>
      <c r="D46" s="1" t="s">
        <v>2109</v>
      </c>
      <c r="E46" s="9">
        <v>7157</v>
      </c>
      <c r="F46" s="1" t="str">
        <f>VLOOKUP(D46,Table12[[Name]:[Native]],3,FALSE)</f>
        <v>五台县</v>
      </c>
      <c r="G46" s="12" t="str">
        <f ca="1">VLOOKUP(F46,Table12[[Native]:[Population4]],5,FALSE)</f>
        <v>忻州市</v>
      </c>
    </row>
    <row r="47" spans="1:7" ht="15.75" thickBot="1" x14ac:dyDescent="0.3">
      <c r="A47" t="s">
        <v>2203</v>
      </c>
      <c r="B47" s="1" t="s">
        <v>2204</v>
      </c>
      <c r="C47" s="1" t="s">
        <v>17</v>
      </c>
      <c r="D47" s="1" t="s">
        <v>2140</v>
      </c>
      <c r="E47" s="9">
        <v>6639</v>
      </c>
      <c r="F47" s="1" t="str">
        <f>VLOOKUP(D47,Table12[[Name]:[Native]],3,FALSE)</f>
        <v>岢岚县</v>
      </c>
      <c r="G47" s="12" t="str">
        <f ca="1">VLOOKUP(F47,Table12[[Native]:[Population4]],5,FALSE)</f>
        <v>忻州市</v>
      </c>
    </row>
    <row r="48" spans="1:7" ht="15.75" thickBot="1" x14ac:dyDescent="0.3">
      <c r="A48" t="s">
        <v>2205</v>
      </c>
      <c r="B48" s="1" t="s">
        <v>2206</v>
      </c>
      <c r="C48" s="1" t="s">
        <v>17</v>
      </c>
      <c r="D48" s="1" t="s">
        <v>2121</v>
      </c>
      <c r="E48" s="9">
        <v>3123</v>
      </c>
      <c r="F48" s="1" t="str">
        <f>VLOOKUP(D48,Table12[[Name]:[Native]],3,FALSE)</f>
        <v>宁武县</v>
      </c>
      <c r="G48" s="12" t="str">
        <f ca="1">VLOOKUP(F48,Table12[[Native]:[Population4]],5,FALSE)</f>
        <v>忻州市</v>
      </c>
    </row>
    <row r="49" spans="1:7" ht="15.75" thickBot="1" x14ac:dyDescent="0.3">
      <c r="A49" t="s">
        <v>2207</v>
      </c>
      <c r="B49" s="1" t="s">
        <v>2208</v>
      </c>
      <c r="C49" s="1" t="s">
        <v>7</v>
      </c>
      <c r="D49" s="1" t="s">
        <v>2109</v>
      </c>
      <c r="E49" s="9">
        <v>14861</v>
      </c>
      <c r="F49" s="1" t="str">
        <f>VLOOKUP(D49,Table12[[Name]:[Native]],3,FALSE)</f>
        <v>五台县</v>
      </c>
      <c r="G49" s="12" t="str">
        <f ca="1">VLOOKUP(F49,Table12[[Native]:[Population4]],5,FALSE)</f>
        <v>忻州市</v>
      </c>
    </row>
    <row r="50" spans="1:7" ht="15.75" thickBot="1" x14ac:dyDescent="0.3">
      <c r="A50" t="s">
        <v>2209</v>
      </c>
      <c r="B50" s="1" t="s">
        <v>2210</v>
      </c>
      <c r="C50" s="1" t="s">
        <v>17</v>
      </c>
      <c r="D50" s="1" t="s">
        <v>2109</v>
      </c>
      <c r="E50" s="9">
        <v>23448</v>
      </c>
      <c r="F50" s="1" t="str">
        <f>VLOOKUP(D50,Table12[[Name]:[Native]],3,FALSE)</f>
        <v>五台县</v>
      </c>
      <c r="G50" s="12" t="str">
        <f ca="1">VLOOKUP(F50,Table12[[Native]:[Population4]],5,FALSE)</f>
        <v>忻州市</v>
      </c>
    </row>
    <row r="51" spans="1:7" ht="15.75" thickBot="1" x14ac:dyDescent="0.3">
      <c r="A51" t="s">
        <v>2211</v>
      </c>
      <c r="B51" s="1" t="s">
        <v>2212</v>
      </c>
      <c r="C51" s="1" t="s">
        <v>17</v>
      </c>
      <c r="D51" s="1" t="s">
        <v>2106</v>
      </c>
      <c r="E51" s="9">
        <v>8258</v>
      </c>
      <c r="F51" s="1" t="str">
        <f>VLOOKUP(D51,Table12[[Name]:[Native]],3,FALSE)</f>
        <v>繁峙县</v>
      </c>
      <c r="G51" s="12" t="str">
        <f ca="1">VLOOKUP(F51,Table12[[Native]:[Population4]],5,FALSE)</f>
        <v>忻州市</v>
      </c>
    </row>
    <row r="52" spans="1:7" ht="15.75" thickBot="1" x14ac:dyDescent="0.3">
      <c r="A52" t="s">
        <v>2213</v>
      </c>
      <c r="B52" s="1" t="s">
        <v>2214</v>
      </c>
      <c r="C52" s="1" t="s">
        <v>7</v>
      </c>
      <c r="D52" s="1" t="s">
        <v>2113</v>
      </c>
      <c r="E52" s="9">
        <v>30874</v>
      </c>
      <c r="F52" s="1" t="str">
        <f>VLOOKUP(D52,Table12[[Name]:[Native]],3,FALSE)</f>
        <v>原平市</v>
      </c>
      <c r="G52" s="12" t="str">
        <f ca="1">VLOOKUP(F52,Table12[[Native]:[Population4]],5,FALSE)</f>
        <v>忻州市</v>
      </c>
    </row>
    <row r="53" spans="1:7" ht="15.75" thickBot="1" x14ac:dyDescent="0.3">
      <c r="A53" t="s">
        <v>2215</v>
      </c>
      <c r="B53" s="1" t="s">
        <v>2216</v>
      </c>
      <c r="C53" s="1" t="s">
        <v>17</v>
      </c>
      <c r="D53" s="1" t="s">
        <v>2158</v>
      </c>
      <c r="E53" s="9">
        <v>4462</v>
      </c>
      <c r="F53" s="1" t="str">
        <f>VLOOKUP(D53,Table12[[Name]:[Native]],3,FALSE)</f>
        <v>保德县</v>
      </c>
      <c r="G53" s="12" t="str">
        <f ca="1">VLOOKUP(F53,Table12[[Native]:[Population4]],5,FALSE)</f>
        <v>忻州市</v>
      </c>
    </row>
    <row r="54" spans="1:7" ht="15.75" thickBot="1" x14ac:dyDescent="0.3">
      <c r="A54" t="s">
        <v>2217</v>
      </c>
      <c r="B54" s="1" t="s">
        <v>2218</v>
      </c>
      <c r="C54" s="1" t="s">
        <v>17</v>
      </c>
      <c r="D54" s="1" t="s">
        <v>2173</v>
      </c>
      <c r="E54" s="9">
        <v>5327</v>
      </c>
      <c r="F54" s="1" t="str">
        <f>VLOOKUP(D54,Table12[[Name]:[Native]],3,FALSE)</f>
        <v>五寨县</v>
      </c>
      <c r="G54" s="12" t="str">
        <f ca="1">VLOOKUP(F54,Table12[[Native]:[Population4]],5,FALSE)</f>
        <v>忻州市</v>
      </c>
    </row>
    <row r="55" spans="1:7" ht="15.75" thickBot="1" x14ac:dyDescent="0.3">
      <c r="A55" t="s">
        <v>2219</v>
      </c>
      <c r="B55" s="1" t="s">
        <v>2220</v>
      </c>
      <c r="C55" s="1" t="s">
        <v>7</v>
      </c>
      <c r="D55" s="1" t="s">
        <v>2221</v>
      </c>
      <c r="E55" s="9">
        <v>27363</v>
      </c>
      <c r="F55" s="1" t="str">
        <f>VLOOKUP(D55,Table12[[Name]:[Native]],3,FALSE)</f>
        <v>定襄县</v>
      </c>
      <c r="G55" s="12" t="str">
        <f ca="1">VLOOKUP(F55,Table12[[Native]:[Population4]],5,FALSE)</f>
        <v>忻州市</v>
      </c>
    </row>
    <row r="56" spans="1:7" ht="15.75" thickBot="1" x14ac:dyDescent="0.3">
      <c r="A56" t="s">
        <v>2222</v>
      </c>
      <c r="B56" s="1" t="s">
        <v>2223</v>
      </c>
      <c r="C56" s="1" t="s">
        <v>17</v>
      </c>
      <c r="D56" s="1" t="s">
        <v>2116</v>
      </c>
      <c r="E56" s="9">
        <v>16363</v>
      </c>
      <c r="F56" s="1" t="str">
        <f>VLOOKUP(D56,Table12[[Name]:[Native]],3,FALSE)</f>
        <v>忻府区</v>
      </c>
      <c r="G56" s="12" t="str">
        <f ca="1">VLOOKUP(F56,Table12[[Native]:[Population4]],5,FALSE)</f>
        <v>忻州市</v>
      </c>
    </row>
    <row r="57" spans="1:7" ht="15.75" thickBot="1" x14ac:dyDescent="0.3">
      <c r="A57" t="s">
        <v>2224</v>
      </c>
      <c r="B57" s="1" t="s">
        <v>2225</v>
      </c>
      <c r="C57" s="1" t="s">
        <v>17</v>
      </c>
      <c r="D57" s="1" t="s">
        <v>2112</v>
      </c>
      <c r="E57" s="9">
        <v>7992</v>
      </c>
      <c r="F57" s="1" t="str">
        <f>VLOOKUP(D57,Table12[[Name]:[Native]],3,FALSE)</f>
        <v>神池县</v>
      </c>
      <c r="G57" s="12" t="str">
        <f ca="1">VLOOKUP(F57,Table12[[Native]:[Population4]],5,FALSE)</f>
        <v>忻州市</v>
      </c>
    </row>
    <row r="58" spans="1:7" ht="15.75" thickBot="1" x14ac:dyDescent="0.3">
      <c r="A58" t="s">
        <v>2226</v>
      </c>
      <c r="B58" s="1" t="s">
        <v>2227</v>
      </c>
      <c r="C58" s="1" t="s">
        <v>7</v>
      </c>
      <c r="D58" s="1" t="s">
        <v>2221</v>
      </c>
      <c r="E58" s="9">
        <v>26760</v>
      </c>
      <c r="F58" s="1" t="str">
        <f>VLOOKUP(D58,Table12[[Name]:[Native]],3,FALSE)</f>
        <v>定襄县</v>
      </c>
      <c r="G58" s="12" t="str">
        <f ca="1">VLOOKUP(F58,Table12[[Native]:[Population4]],5,FALSE)</f>
        <v>忻州市</v>
      </c>
    </row>
    <row r="59" spans="1:7" ht="15.75" thickBot="1" x14ac:dyDescent="0.3">
      <c r="A59" t="s">
        <v>2228</v>
      </c>
      <c r="B59" s="1" t="s">
        <v>2229</v>
      </c>
      <c r="C59" s="1" t="s">
        <v>17</v>
      </c>
      <c r="D59" s="1" t="s">
        <v>2121</v>
      </c>
      <c r="E59" s="9">
        <v>12818</v>
      </c>
      <c r="F59" s="1" t="str">
        <f>VLOOKUP(D59,Table12[[Name]:[Native]],3,FALSE)</f>
        <v>宁武县</v>
      </c>
      <c r="G59" s="12" t="str">
        <f ca="1">VLOOKUP(F59,Table12[[Native]:[Population4]],5,FALSE)</f>
        <v>忻州市</v>
      </c>
    </row>
    <row r="60" spans="1:7" ht="15.75" thickBot="1" x14ac:dyDescent="0.3">
      <c r="A60" t="s">
        <v>2230</v>
      </c>
      <c r="B60" s="1" t="s">
        <v>2231</v>
      </c>
      <c r="C60" s="1" t="s">
        <v>17</v>
      </c>
      <c r="D60" s="1" t="s">
        <v>2121</v>
      </c>
      <c r="E60" s="9">
        <v>5042</v>
      </c>
      <c r="F60" s="1" t="str">
        <f>VLOOKUP(D60,Table12[[Name]:[Native]],3,FALSE)</f>
        <v>宁武县</v>
      </c>
      <c r="G60" s="12" t="str">
        <f ca="1">VLOOKUP(F60,Table12[[Native]:[Population4]],5,FALSE)</f>
        <v>忻州市</v>
      </c>
    </row>
    <row r="61" spans="1:7" ht="15.75" thickBot="1" x14ac:dyDescent="0.3">
      <c r="A61" t="s">
        <v>2232</v>
      </c>
      <c r="B61" s="1" t="s">
        <v>2233</v>
      </c>
      <c r="C61" s="1" t="s">
        <v>17</v>
      </c>
      <c r="D61" s="1" t="s">
        <v>2112</v>
      </c>
      <c r="E61" s="9">
        <v>5890</v>
      </c>
      <c r="F61" s="1" t="str">
        <f>VLOOKUP(D61,Table12[[Name]:[Native]],3,FALSE)</f>
        <v>神池县</v>
      </c>
      <c r="G61" s="12" t="str">
        <f ca="1">VLOOKUP(F61,Table12[[Native]:[Population4]],5,FALSE)</f>
        <v>忻州市</v>
      </c>
    </row>
    <row r="62" spans="1:7" ht="15.75" thickBot="1" x14ac:dyDescent="0.3">
      <c r="A62" t="s">
        <v>2234</v>
      </c>
      <c r="B62" s="1" t="s">
        <v>2235</v>
      </c>
      <c r="C62" s="1" t="s">
        <v>17</v>
      </c>
      <c r="D62" s="1" t="s">
        <v>2173</v>
      </c>
      <c r="E62" s="9">
        <v>5630</v>
      </c>
      <c r="F62" s="1" t="str">
        <f>VLOOKUP(D62,Table12[[Name]:[Native]],3,FALSE)</f>
        <v>五寨县</v>
      </c>
      <c r="G62" s="12" t="str">
        <f ca="1">VLOOKUP(F62,Table12[[Native]:[Population4]],5,FALSE)</f>
        <v>忻州市</v>
      </c>
    </row>
    <row r="63" spans="1:7" ht="15.75" thickBot="1" x14ac:dyDescent="0.3">
      <c r="A63" t="s">
        <v>2236</v>
      </c>
      <c r="B63" s="1" t="s">
        <v>2237</v>
      </c>
      <c r="C63" s="1" t="s">
        <v>17</v>
      </c>
      <c r="D63" s="1" t="s">
        <v>2190</v>
      </c>
      <c r="E63" s="9">
        <v>5228</v>
      </c>
      <c r="F63" s="1" t="str">
        <f>VLOOKUP(D63,Table12[[Name]:[Native]],3,FALSE)</f>
        <v>代县</v>
      </c>
      <c r="G63" s="12" t="str">
        <f ca="1">VLOOKUP(F63,Table12[[Native]:[Population4]],5,FALSE)</f>
        <v>忻州市</v>
      </c>
    </row>
    <row r="64" spans="1:7" ht="15.75" thickBot="1" x14ac:dyDescent="0.3">
      <c r="A64" t="s">
        <v>2238</v>
      </c>
      <c r="B64" s="1" t="s">
        <v>2239</v>
      </c>
      <c r="C64" s="1" t="s">
        <v>17</v>
      </c>
      <c r="D64" s="1" t="s">
        <v>2109</v>
      </c>
      <c r="E64" s="9">
        <v>13988</v>
      </c>
      <c r="F64" s="1" t="str">
        <f>VLOOKUP(D64,Table12[[Name]:[Native]],3,FALSE)</f>
        <v>五台县</v>
      </c>
      <c r="G64" s="12" t="str">
        <f ca="1">VLOOKUP(F64,Table12[[Native]:[Population4]],5,FALSE)</f>
        <v>忻州市</v>
      </c>
    </row>
    <row r="65" spans="1:7" ht="15.75" thickBot="1" x14ac:dyDescent="0.3">
      <c r="A65" t="s">
        <v>2240</v>
      </c>
      <c r="B65" s="1" t="s">
        <v>2241</v>
      </c>
      <c r="C65" s="1" t="s">
        <v>17</v>
      </c>
      <c r="D65" s="1" t="s">
        <v>2221</v>
      </c>
      <c r="E65" s="9">
        <v>15532</v>
      </c>
      <c r="F65" s="1" t="str">
        <f>VLOOKUP(D65,Table12[[Name]:[Native]],3,FALSE)</f>
        <v>定襄县</v>
      </c>
      <c r="G65" s="12" t="str">
        <f ca="1">VLOOKUP(F65,Table12[[Native]:[Population4]],5,FALSE)</f>
        <v>忻州市</v>
      </c>
    </row>
    <row r="66" spans="1:7" ht="15.75" thickBot="1" x14ac:dyDescent="0.3">
      <c r="A66" t="s">
        <v>2242</v>
      </c>
      <c r="B66" s="1" t="s">
        <v>2243</v>
      </c>
      <c r="C66" s="1" t="s">
        <v>17</v>
      </c>
      <c r="D66" s="1" t="s">
        <v>2109</v>
      </c>
      <c r="E66" s="9">
        <v>10421</v>
      </c>
      <c r="F66" s="1" t="str">
        <f>VLOOKUP(D66,Table12[[Name]:[Native]],3,FALSE)</f>
        <v>五台县</v>
      </c>
      <c r="G66" s="12" t="str">
        <f ca="1">VLOOKUP(F66,Table12[[Native]:[Population4]],5,FALSE)</f>
        <v>忻州市</v>
      </c>
    </row>
    <row r="67" spans="1:7" ht="15.75" thickBot="1" x14ac:dyDescent="0.3">
      <c r="A67" t="s">
        <v>2244</v>
      </c>
      <c r="B67" s="1" t="s">
        <v>2245</v>
      </c>
      <c r="C67" s="1" t="s">
        <v>17</v>
      </c>
      <c r="D67" s="1" t="s">
        <v>2113</v>
      </c>
      <c r="E67" s="9">
        <v>12118</v>
      </c>
      <c r="F67" s="1" t="str">
        <f>VLOOKUP(D67,Table12[[Name]:[Native]],3,FALSE)</f>
        <v>原平市</v>
      </c>
      <c r="G67" s="12" t="str">
        <f ca="1">VLOOKUP(F67,Table12[[Native]:[Population4]],5,FALSE)</f>
        <v>忻州市</v>
      </c>
    </row>
    <row r="68" spans="1:7" ht="15.75" thickBot="1" x14ac:dyDescent="0.3">
      <c r="A68" t="s">
        <v>2246</v>
      </c>
      <c r="B68" s="1" t="s">
        <v>2247</v>
      </c>
      <c r="C68" s="1" t="s">
        <v>7</v>
      </c>
      <c r="D68" s="1" t="s">
        <v>2221</v>
      </c>
      <c r="E68" s="9">
        <v>54533</v>
      </c>
      <c r="F68" s="1" t="str">
        <f>VLOOKUP(D68,Table12[[Name]:[Native]],3,FALSE)</f>
        <v>定襄县</v>
      </c>
      <c r="G68" s="12" t="str">
        <f ca="1">VLOOKUP(F68,Table12[[Native]:[Population4]],5,FALSE)</f>
        <v>忻州市</v>
      </c>
    </row>
    <row r="69" spans="1:7" ht="15.75" thickBot="1" x14ac:dyDescent="0.3">
      <c r="A69" t="s">
        <v>2248</v>
      </c>
      <c r="B69" s="1" t="s">
        <v>2249</v>
      </c>
      <c r="C69" s="1" t="s">
        <v>17</v>
      </c>
      <c r="D69" s="1" t="s">
        <v>2109</v>
      </c>
      <c r="E69" s="9">
        <v>2056</v>
      </c>
      <c r="F69" s="1" t="str">
        <f>VLOOKUP(D69,Table12[[Name]:[Native]],3,FALSE)</f>
        <v>五台县</v>
      </c>
      <c r="G69" s="12" t="str">
        <f ca="1">VLOOKUP(F69,Table12[[Native]:[Population4]],5,FALSE)</f>
        <v>忻州市</v>
      </c>
    </row>
    <row r="70" spans="1:7" ht="15.75" thickBot="1" x14ac:dyDescent="0.3">
      <c r="A70" t="s">
        <v>2250</v>
      </c>
      <c r="B70" s="1" t="s">
        <v>2251</v>
      </c>
      <c r="C70" s="1" t="s">
        <v>17</v>
      </c>
      <c r="D70" s="1" t="s">
        <v>2106</v>
      </c>
      <c r="E70" s="9">
        <v>14023</v>
      </c>
      <c r="F70" s="1" t="str">
        <f>VLOOKUP(D70,Table12[[Name]:[Native]],3,FALSE)</f>
        <v>繁峙县</v>
      </c>
      <c r="G70" s="12" t="str">
        <f ca="1">VLOOKUP(F70,Table12[[Native]:[Population4]],5,FALSE)</f>
        <v>忻州市</v>
      </c>
    </row>
    <row r="71" spans="1:7" ht="15.75" thickBot="1" x14ac:dyDescent="0.3">
      <c r="A71" t="s">
        <v>1198</v>
      </c>
      <c r="B71" s="1" t="s">
        <v>1199</v>
      </c>
      <c r="C71" s="1" t="s">
        <v>7</v>
      </c>
      <c r="D71" s="1" t="s">
        <v>2147</v>
      </c>
      <c r="E71" s="9">
        <v>6372</v>
      </c>
      <c r="F71" s="1" t="str">
        <f>VLOOKUP(D71,Table12[[Name]:[Native]],3,FALSE)</f>
        <v>河曲县</v>
      </c>
      <c r="G71" s="12" t="str">
        <f ca="1">VLOOKUP(F71,Table12[[Native]:[Population4]],5,FALSE)</f>
        <v>忻州市</v>
      </c>
    </row>
    <row r="72" spans="1:7" ht="15.75" thickBot="1" x14ac:dyDescent="0.3">
      <c r="A72" t="s">
        <v>2252</v>
      </c>
      <c r="B72" s="1" t="s">
        <v>2253</v>
      </c>
      <c r="C72" s="1" t="s">
        <v>31</v>
      </c>
      <c r="D72" s="1" t="s">
        <v>2116</v>
      </c>
      <c r="E72" s="9">
        <v>28523</v>
      </c>
      <c r="F72" s="1" t="str">
        <f>VLOOKUP(D72,Table12[[Name]:[Native]],3,FALSE)</f>
        <v>忻府区</v>
      </c>
      <c r="G72" s="12" t="str">
        <f ca="1">VLOOKUP(F72,Table12[[Native]:[Population4]],5,FALSE)</f>
        <v>忻州市</v>
      </c>
    </row>
    <row r="73" spans="1:7" ht="15.75" thickBot="1" x14ac:dyDescent="0.3">
      <c r="A73" t="s">
        <v>2254</v>
      </c>
      <c r="B73" s="1" t="s">
        <v>2255</v>
      </c>
      <c r="C73" s="1" t="s">
        <v>17</v>
      </c>
      <c r="D73" s="1" t="s">
        <v>2106</v>
      </c>
      <c r="E73" s="9">
        <v>11217</v>
      </c>
      <c r="F73" s="1" t="str">
        <f>VLOOKUP(D73,Table12[[Name]:[Native]],3,FALSE)</f>
        <v>繁峙县</v>
      </c>
      <c r="G73" s="12" t="str">
        <f ca="1">VLOOKUP(F73,Table12[[Native]:[Population4]],5,FALSE)</f>
        <v>忻州市</v>
      </c>
    </row>
    <row r="74" spans="1:7" ht="15.75" thickBot="1" x14ac:dyDescent="0.3">
      <c r="A74" t="s">
        <v>2256</v>
      </c>
      <c r="B74" s="1" t="s">
        <v>2257</v>
      </c>
      <c r="C74" s="1" t="s">
        <v>17</v>
      </c>
      <c r="D74" s="1" t="s">
        <v>2221</v>
      </c>
      <c r="E74" s="9">
        <v>17079</v>
      </c>
      <c r="F74" s="1" t="str">
        <f>VLOOKUP(D74,Table12[[Name]:[Native]],3,FALSE)</f>
        <v>定襄县</v>
      </c>
      <c r="G74" s="12" t="str">
        <f ca="1">VLOOKUP(F74,Table12[[Native]:[Population4]],5,FALSE)</f>
        <v>忻州市</v>
      </c>
    </row>
    <row r="75" spans="1:7" ht="15.75" thickBot="1" x14ac:dyDescent="0.3">
      <c r="A75" t="s">
        <v>2258</v>
      </c>
      <c r="B75" s="1" t="s">
        <v>2259</v>
      </c>
      <c r="C75" s="1" t="s">
        <v>7</v>
      </c>
      <c r="D75" s="1" t="s">
        <v>2137</v>
      </c>
      <c r="E75" s="9">
        <v>6480</v>
      </c>
      <c r="F75" s="1" t="str">
        <f>VLOOKUP(D75,Table12[[Name]:[Native]],3,FALSE)</f>
        <v>静乐县</v>
      </c>
      <c r="G75" s="12" t="str">
        <f ca="1">VLOOKUP(F75,Table12[[Native]:[Population4]],5,FALSE)</f>
        <v>忻州市</v>
      </c>
    </row>
    <row r="76" spans="1:7" ht="15.75" thickBot="1" x14ac:dyDescent="0.3">
      <c r="A76" t="s">
        <v>2260</v>
      </c>
      <c r="B76" s="1" t="s">
        <v>2261</v>
      </c>
      <c r="C76" s="1" t="s">
        <v>17</v>
      </c>
      <c r="D76" s="1" t="s">
        <v>2116</v>
      </c>
      <c r="E76" s="9">
        <v>18352</v>
      </c>
      <c r="F76" s="1" t="str">
        <f>VLOOKUP(D76,Table12[[Name]:[Native]],3,FALSE)</f>
        <v>忻府区</v>
      </c>
      <c r="G76" s="12" t="str">
        <f ca="1">VLOOKUP(F76,Table12[[Native]:[Population4]],5,FALSE)</f>
        <v>忻州市</v>
      </c>
    </row>
    <row r="77" spans="1:7" ht="15.75" thickBot="1" x14ac:dyDescent="0.3">
      <c r="A77" t="s">
        <v>2262</v>
      </c>
      <c r="B77" s="1" t="s">
        <v>2263</v>
      </c>
      <c r="C77" s="1" t="s">
        <v>7</v>
      </c>
      <c r="D77" s="1" t="s">
        <v>2140</v>
      </c>
      <c r="E77" s="9">
        <v>38431</v>
      </c>
      <c r="F77" s="1" t="str">
        <f>VLOOKUP(D77,Table12[[Name]:[Native]],3,FALSE)</f>
        <v>岢岚县</v>
      </c>
      <c r="G77" s="12" t="str">
        <f ca="1">VLOOKUP(F77,Table12[[Native]:[Population4]],5,FALSE)</f>
        <v>忻州市</v>
      </c>
    </row>
    <row r="78" spans="1:7" ht="15.75" thickBot="1" x14ac:dyDescent="0.3">
      <c r="A78" t="s">
        <v>2264</v>
      </c>
      <c r="B78" s="1" t="s">
        <v>2265</v>
      </c>
      <c r="C78" s="1" t="s">
        <v>7</v>
      </c>
      <c r="D78" s="1" t="s">
        <v>2132</v>
      </c>
      <c r="E78" s="9">
        <v>6524</v>
      </c>
      <c r="F78" s="1" t="str">
        <f>VLOOKUP(D78,Table12[[Name]:[Native]],3,FALSE)</f>
        <v>偏关县</v>
      </c>
      <c r="G78" s="12" t="str">
        <f ca="1">VLOOKUP(F78,Table12[[Native]:[Population4]],5,FALSE)</f>
        <v>忻州市</v>
      </c>
    </row>
    <row r="79" spans="1:7" ht="15.75" thickBot="1" x14ac:dyDescent="0.3">
      <c r="A79" t="s">
        <v>2266</v>
      </c>
      <c r="B79" s="1" t="s">
        <v>2267</v>
      </c>
      <c r="C79" s="1" t="s">
        <v>17</v>
      </c>
      <c r="D79" s="1" t="s">
        <v>2173</v>
      </c>
      <c r="E79" s="9">
        <v>2514</v>
      </c>
      <c r="F79" s="1" t="str">
        <f>VLOOKUP(D79,Table12[[Name]:[Native]],3,FALSE)</f>
        <v>五寨县</v>
      </c>
      <c r="G79" s="12" t="str">
        <f ca="1">VLOOKUP(F79,Table12[[Native]:[Population4]],5,FALSE)</f>
        <v>忻州市</v>
      </c>
    </row>
    <row r="80" spans="1:7" ht="15.75" thickBot="1" x14ac:dyDescent="0.3">
      <c r="A80" t="s">
        <v>2268</v>
      </c>
      <c r="B80" s="1" t="s">
        <v>2269</v>
      </c>
      <c r="C80" s="1" t="s">
        <v>17</v>
      </c>
      <c r="D80" s="1" t="s">
        <v>2112</v>
      </c>
      <c r="E80" s="9">
        <v>5103</v>
      </c>
      <c r="F80" s="1" t="str">
        <f>VLOOKUP(D80,Table12[[Name]:[Native]],3,FALSE)</f>
        <v>神池县</v>
      </c>
      <c r="G80" s="12" t="str">
        <f ca="1">VLOOKUP(F80,Table12[[Native]:[Population4]],5,FALSE)</f>
        <v>忻州市</v>
      </c>
    </row>
    <row r="81" spans="1:7" ht="15.75" thickBot="1" x14ac:dyDescent="0.3">
      <c r="A81" t="s">
        <v>2270</v>
      </c>
      <c r="B81" s="1" t="s">
        <v>2271</v>
      </c>
      <c r="C81" s="1" t="s">
        <v>17</v>
      </c>
      <c r="D81" s="1" t="s">
        <v>2140</v>
      </c>
      <c r="E81" s="9">
        <v>1715</v>
      </c>
      <c r="F81" s="1" t="str">
        <f>VLOOKUP(D81,Table12[[Name]:[Native]],3,FALSE)</f>
        <v>岢岚县</v>
      </c>
      <c r="G81" s="12" t="str">
        <f ca="1">VLOOKUP(F81,Table12[[Native]:[Population4]],5,FALSE)</f>
        <v>忻州市</v>
      </c>
    </row>
    <row r="82" spans="1:7" ht="15.75" thickBot="1" x14ac:dyDescent="0.3">
      <c r="A82" t="s">
        <v>2272</v>
      </c>
      <c r="B82" s="1" t="s">
        <v>2273</v>
      </c>
      <c r="C82" s="1" t="s">
        <v>17</v>
      </c>
      <c r="D82" s="1" t="s">
        <v>2173</v>
      </c>
      <c r="E82" s="9">
        <v>3792</v>
      </c>
      <c r="F82" s="1" t="str">
        <f>VLOOKUP(D82,Table12[[Name]:[Native]],3,FALSE)</f>
        <v>五寨县</v>
      </c>
      <c r="G82" s="12" t="str">
        <f ca="1">VLOOKUP(F82,Table12[[Native]:[Population4]],5,FALSE)</f>
        <v>忻州市</v>
      </c>
    </row>
    <row r="83" spans="1:7" ht="15.75" thickBot="1" x14ac:dyDescent="0.3">
      <c r="A83" t="s">
        <v>2274</v>
      </c>
      <c r="B83" s="1" t="s">
        <v>2275</v>
      </c>
      <c r="C83" s="1" t="s">
        <v>17</v>
      </c>
      <c r="D83" s="1" t="s">
        <v>2109</v>
      </c>
      <c r="E83" s="9">
        <v>1841</v>
      </c>
      <c r="F83" s="1" t="str">
        <f>VLOOKUP(D83,Table12[[Name]:[Native]],3,FALSE)</f>
        <v>五台县</v>
      </c>
      <c r="G83" s="12" t="str">
        <f ca="1">VLOOKUP(F83,Table12[[Native]:[Population4]],5,FALSE)</f>
        <v>忻州市</v>
      </c>
    </row>
    <row r="84" spans="1:7" ht="15.75" thickBot="1" x14ac:dyDescent="0.3">
      <c r="A84" t="s">
        <v>2276</v>
      </c>
      <c r="B84" s="1" t="s">
        <v>2277</v>
      </c>
      <c r="C84" s="1" t="s">
        <v>17</v>
      </c>
      <c r="D84" s="1" t="s">
        <v>2158</v>
      </c>
      <c r="E84" s="9">
        <v>3665</v>
      </c>
      <c r="F84" s="1" t="str">
        <f>VLOOKUP(D84,Table12[[Name]:[Native]],3,FALSE)</f>
        <v>保德县</v>
      </c>
      <c r="G84" s="12" t="str">
        <f ca="1">VLOOKUP(F84,Table12[[Native]:[Population4]],5,FALSE)</f>
        <v>忻州市</v>
      </c>
    </row>
    <row r="85" spans="1:7" ht="15.75" thickBot="1" x14ac:dyDescent="0.3">
      <c r="A85" t="s">
        <v>2278</v>
      </c>
      <c r="B85" s="1" t="s">
        <v>2279</v>
      </c>
      <c r="C85" s="1" t="s">
        <v>7</v>
      </c>
      <c r="D85" s="1" t="s">
        <v>2147</v>
      </c>
      <c r="E85" s="9">
        <v>9694</v>
      </c>
      <c r="F85" s="1" t="str">
        <f>VLOOKUP(D85,Table12[[Name]:[Native]],3,FALSE)</f>
        <v>河曲县</v>
      </c>
      <c r="G85" s="12" t="str">
        <f ca="1">VLOOKUP(F85,Table12[[Native]:[Population4]],5,FALSE)</f>
        <v>忻州市</v>
      </c>
    </row>
    <row r="86" spans="1:7" ht="15.75" thickBot="1" x14ac:dyDescent="0.3">
      <c r="A86" t="s">
        <v>171</v>
      </c>
      <c r="B86" s="1" t="s">
        <v>172</v>
      </c>
      <c r="C86" s="1" t="s">
        <v>7</v>
      </c>
      <c r="D86" s="1" t="s">
        <v>2112</v>
      </c>
      <c r="E86" s="9">
        <v>40562</v>
      </c>
      <c r="F86" s="1" t="str">
        <f>VLOOKUP(D86,Table12[[Name]:[Native]],3,FALSE)</f>
        <v>神池县</v>
      </c>
      <c r="G86" s="12" t="str">
        <f ca="1">VLOOKUP(F86,Table12[[Native]:[Population4]],5,FALSE)</f>
        <v>忻州市</v>
      </c>
    </row>
    <row r="87" spans="1:7" ht="15.75" thickBot="1" x14ac:dyDescent="0.3">
      <c r="A87" t="s">
        <v>2280</v>
      </c>
      <c r="B87" s="1" t="s">
        <v>2281</v>
      </c>
      <c r="C87" s="1" t="s">
        <v>17</v>
      </c>
      <c r="D87" s="1" t="s">
        <v>2113</v>
      </c>
      <c r="E87" s="9">
        <v>6151</v>
      </c>
      <c r="F87" s="1" t="str">
        <f>VLOOKUP(D87,Table12[[Name]:[Native]],3,FALSE)</f>
        <v>原平市</v>
      </c>
      <c r="G87" s="12" t="str">
        <f ca="1">VLOOKUP(F87,Table12[[Native]:[Population4]],5,FALSE)</f>
        <v>忻州市</v>
      </c>
    </row>
    <row r="88" spans="1:7" ht="15.75" thickBot="1" x14ac:dyDescent="0.3">
      <c r="A88" t="s">
        <v>2282</v>
      </c>
      <c r="B88" s="1" t="s">
        <v>2283</v>
      </c>
      <c r="C88" s="1" t="s">
        <v>17</v>
      </c>
      <c r="D88" s="1" t="s">
        <v>2132</v>
      </c>
      <c r="E88" s="9">
        <v>8559</v>
      </c>
      <c r="F88" s="1" t="str">
        <f>VLOOKUP(D88,Table12[[Name]:[Native]],3,FALSE)</f>
        <v>偏关县</v>
      </c>
      <c r="G88" s="12" t="str">
        <f ca="1">VLOOKUP(F88,Table12[[Native]:[Population4]],5,FALSE)</f>
        <v>忻州市</v>
      </c>
    </row>
    <row r="89" spans="1:7" ht="15.75" thickBot="1" x14ac:dyDescent="0.3">
      <c r="A89" t="s">
        <v>2284</v>
      </c>
      <c r="B89" s="1" t="s">
        <v>2285</v>
      </c>
      <c r="C89" s="1" t="s">
        <v>7</v>
      </c>
      <c r="D89" s="1" t="s">
        <v>2147</v>
      </c>
      <c r="E89" s="9">
        <v>7207</v>
      </c>
      <c r="F89" s="1" t="str">
        <f>VLOOKUP(D89,Table12[[Name]:[Native]],3,FALSE)</f>
        <v>河曲县</v>
      </c>
      <c r="G89" s="12" t="str">
        <f ca="1">VLOOKUP(F89,Table12[[Native]:[Population4]],5,FALSE)</f>
        <v>忻州市</v>
      </c>
    </row>
    <row r="90" spans="1:7" ht="15.75" thickBot="1" x14ac:dyDescent="0.3">
      <c r="A90" t="s">
        <v>2286</v>
      </c>
      <c r="B90" s="1" t="s">
        <v>2287</v>
      </c>
      <c r="C90" s="1" t="s">
        <v>17</v>
      </c>
      <c r="D90" s="1" t="s">
        <v>2147</v>
      </c>
      <c r="E90" s="9">
        <v>5412</v>
      </c>
      <c r="F90" s="1" t="str">
        <f>VLOOKUP(D90,Table12[[Name]:[Native]],3,FALSE)</f>
        <v>河曲县</v>
      </c>
      <c r="G90" s="12" t="str">
        <f ca="1">VLOOKUP(F90,Table12[[Native]:[Population4]],5,FALSE)</f>
        <v>忻州市</v>
      </c>
    </row>
    <row r="91" spans="1:7" ht="15.75" thickBot="1" x14ac:dyDescent="0.3">
      <c r="A91" t="s">
        <v>2288</v>
      </c>
      <c r="B91" s="1" t="s">
        <v>2289</v>
      </c>
      <c r="C91" s="1" t="s">
        <v>17</v>
      </c>
      <c r="D91" s="1" t="s">
        <v>2109</v>
      </c>
      <c r="E91" s="9">
        <v>8519</v>
      </c>
      <c r="F91" s="1" t="str">
        <f>VLOOKUP(D91,Table12[[Name]:[Native]],3,FALSE)</f>
        <v>五台县</v>
      </c>
      <c r="G91" s="12" t="str">
        <f ca="1">VLOOKUP(F91,Table12[[Native]:[Population4]],5,FALSE)</f>
        <v>忻州市</v>
      </c>
    </row>
    <row r="92" spans="1:7" ht="15.75" thickBot="1" x14ac:dyDescent="0.3">
      <c r="A92" t="s">
        <v>2290</v>
      </c>
      <c r="B92" s="1" t="s">
        <v>2291</v>
      </c>
      <c r="C92" s="1" t="s">
        <v>17</v>
      </c>
      <c r="D92" s="1" t="s">
        <v>2113</v>
      </c>
      <c r="E92" s="9">
        <v>7830</v>
      </c>
      <c r="F92" s="1" t="str">
        <f>VLOOKUP(D92,Table12[[Name]:[Native]],3,FALSE)</f>
        <v>原平市</v>
      </c>
      <c r="G92" s="12" t="str">
        <f ca="1">VLOOKUP(F92,Table12[[Native]:[Population4]],5,FALSE)</f>
        <v>忻州市</v>
      </c>
    </row>
    <row r="93" spans="1:7" ht="15.75" thickBot="1" x14ac:dyDescent="0.3">
      <c r="A93" t="s">
        <v>2292</v>
      </c>
      <c r="B93" s="1" t="s">
        <v>2293</v>
      </c>
      <c r="C93" s="1" t="s">
        <v>17</v>
      </c>
      <c r="D93" s="1" t="s">
        <v>2132</v>
      </c>
      <c r="E93" s="9">
        <v>3559</v>
      </c>
      <c r="F93" s="1" t="str">
        <f>VLOOKUP(D93,Table12[[Name]:[Native]],3,FALSE)</f>
        <v>偏关县</v>
      </c>
      <c r="G93" s="12" t="str">
        <f ca="1">VLOOKUP(F93,Table12[[Native]:[Population4]],5,FALSE)</f>
        <v>忻州市</v>
      </c>
    </row>
    <row r="94" spans="1:7" ht="15.75" thickBot="1" x14ac:dyDescent="0.3">
      <c r="A94" t="s">
        <v>721</v>
      </c>
      <c r="B94" s="1" t="s">
        <v>722</v>
      </c>
      <c r="C94" s="1" t="s">
        <v>31</v>
      </c>
      <c r="D94" s="1" t="s">
        <v>2113</v>
      </c>
      <c r="E94" s="9">
        <v>55947</v>
      </c>
      <c r="F94" s="1" t="str">
        <f>VLOOKUP(D94,Table12[[Name]:[Native]],3,FALSE)</f>
        <v>原平市</v>
      </c>
      <c r="G94" s="12" t="str">
        <f ca="1">VLOOKUP(F94,Table12[[Native]:[Population4]],5,FALSE)</f>
        <v>忻州市</v>
      </c>
    </row>
    <row r="95" spans="1:7" ht="15.75" thickBot="1" x14ac:dyDescent="0.3">
      <c r="A95" t="s">
        <v>2294</v>
      </c>
      <c r="B95" s="1" t="s">
        <v>2295</v>
      </c>
      <c r="C95" s="1" t="s">
        <v>17</v>
      </c>
      <c r="D95" s="1" t="s">
        <v>2158</v>
      </c>
      <c r="E95" s="9">
        <v>7701</v>
      </c>
      <c r="F95" s="1" t="str">
        <f>VLOOKUP(D95,Table12[[Name]:[Native]],3,FALSE)</f>
        <v>保德县</v>
      </c>
      <c r="G95" s="12" t="str">
        <f ca="1">VLOOKUP(F95,Table12[[Native]:[Population4]],5,FALSE)</f>
        <v>忻州市</v>
      </c>
    </row>
    <row r="96" spans="1:7" ht="15.75" thickBot="1" x14ac:dyDescent="0.3">
      <c r="A96" t="s">
        <v>2296</v>
      </c>
      <c r="B96" s="1" t="s">
        <v>2297</v>
      </c>
      <c r="C96" s="1" t="s">
        <v>17</v>
      </c>
      <c r="D96" s="1" t="s">
        <v>2221</v>
      </c>
      <c r="E96" s="9">
        <v>25964</v>
      </c>
      <c r="F96" s="1" t="str">
        <f>VLOOKUP(D96,Table12[[Name]:[Native]],3,FALSE)</f>
        <v>定襄县</v>
      </c>
      <c r="G96" s="12" t="str">
        <f ca="1">VLOOKUP(F96,Table12[[Native]:[Population4]],5,FALSE)</f>
        <v>忻州市</v>
      </c>
    </row>
    <row r="97" spans="1:7" ht="15.75" thickBot="1" x14ac:dyDescent="0.3">
      <c r="A97" t="s">
        <v>2298</v>
      </c>
      <c r="B97" s="1" t="s">
        <v>2299</v>
      </c>
      <c r="C97" s="1" t="s">
        <v>17</v>
      </c>
      <c r="D97" s="1" t="s">
        <v>2137</v>
      </c>
      <c r="E97" s="9">
        <v>8514</v>
      </c>
      <c r="F97" s="1" t="str">
        <f>VLOOKUP(D97,Table12[[Name]:[Native]],3,FALSE)</f>
        <v>静乐县</v>
      </c>
      <c r="G97" s="12" t="str">
        <f ca="1">VLOOKUP(F97,Table12[[Native]:[Population4]],5,FALSE)</f>
        <v>忻州市</v>
      </c>
    </row>
    <row r="98" spans="1:7" ht="15.75" thickBot="1" x14ac:dyDescent="0.3">
      <c r="A98" t="s">
        <v>2300</v>
      </c>
      <c r="B98" s="1" t="s">
        <v>2301</v>
      </c>
      <c r="C98" s="1" t="s">
        <v>7</v>
      </c>
      <c r="D98" s="1" t="s">
        <v>2190</v>
      </c>
      <c r="E98" s="9">
        <v>11628</v>
      </c>
      <c r="F98" s="1" t="str">
        <f>VLOOKUP(D98,Table12[[Name]:[Native]],3,FALSE)</f>
        <v>代县</v>
      </c>
      <c r="G98" s="12" t="str">
        <f ca="1">VLOOKUP(F98,Table12[[Native]:[Population4]],5,FALSE)</f>
        <v>忻州市</v>
      </c>
    </row>
    <row r="99" spans="1:7" ht="15.75" thickBot="1" x14ac:dyDescent="0.3">
      <c r="A99" t="s">
        <v>2302</v>
      </c>
      <c r="B99" s="1" t="s">
        <v>2303</v>
      </c>
      <c r="C99" s="1" t="s">
        <v>7</v>
      </c>
      <c r="D99" s="1" t="s">
        <v>2106</v>
      </c>
      <c r="E99" s="9">
        <v>12053</v>
      </c>
      <c r="F99" s="1" t="str">
        <f>VLOOKUP(D99,Table12[[Name]:[Native]],3,FALSE)</f>
        <v>繁峙县</v>
      </c>
      <c r="G99" s="12" t="str">
        <f ca="1">VLOOKUP(F99,Table12[[Native]:[Population4]],5,FALSE)</f>
        <v>忻州市</v>
      </c>
    </row>
    <row r="100" spans="1:7" ht="15.75" thickBot="1" x14ac:dyDescent="0.3">
      <c r="A100" t="s">
        <v>2304</v>
      </c>
      <c r="B100" s="1" t="s">
        <v>2305</v>
      </c>
      <c r="C100" s="1" t="s">
        <v>17</v>
      </c>
      <c r="D100" s="1" t="s">
        <v>2147</v>
      </c>
      <c r="E100" s="9">
        <v>3173</v>
      </c>
      <c r="F100" s="1" t="str">
        <f>VLOOKUP(D100,Table12[[Name]:[Native]],3,FALSE)</f>
        <v>河曲县</v>
      </c>
      <c r="G100" s="12" t="str">
        <f ca="1">VLOOKUP(F100,Table12[[Native]:[Population4]],5,FALSE)</f>
        <v>忻州市</v>
      </c>
    </row>
    <row r="101" spans="1:7" ht="15.75" thickBot="1" x14ac:dyDescent="0.3">
      <c r="A101" t="s">
        <v>2306</v>
      </c>
      <c r="B101" s="1" t="s">
        <v>2307</v>
      </c>
      <c r="C101" s="1" t="s">
        <v>17</v>
      </c>
      <c r="D101" s="1" t="s">
        <v>2173</v>
      </c>
      <c r="E101" s="9">
        <v>10362</v>
      </c>
      <c r="F101" s="1" t="str">
        <f>VLOOKUP(D101,Table12[[Name]:[Native]],3,FALSE)</f>
        <v>五寨县</v>
      </c>
      <c r="G101" s="12" t="str">
        <f ca="1">VLOOKUP(F101,Table12[[Native]:[Population4]],5,FALSE)</f>
        <v>忻州市</v>
      </c>
    </row>
    <row r="102" spans="1:7" ht="15.75" thickBot="1" x14ac:dyDescent="0.3">
      <c r="A102" t="s">
        <v>2308</v>
      </c>
      <c r="B102" s="1" t="s">
        <v>2309</v>
      </c>
      <c r="C102" s="1" t="s">
        <v>7</v>
      </c>
      <c r="D102" s="1" t="s">
        <v>2158</v>
      </c>
      <c r="E102" s="9">
        <v>17083</v>
      </c>
      <c r="F102" s="1" t="str">
        <f>VLOOKUP(D102,Table12[[Name]:[Native]],3,FALSE)</f>
        <v>保德县</v>
      </c>
      <c r="G102" s="12" t="str">
        <f ca="1">VLOOKUP(F102,Table12[[Native]:[Population4]],5,FALSE)</f>
        <v>忻州市</v>
      </c>
    </row>
    <row r="103" spans="1:7" ht="15.75" thickBot="1" x14ac:dyDescent="0.3">
      <c r="A103" t="s">
        <v>2310</v>
      </c>
      <c r="B103" s="1" t="s">
        <v>2311</v>
      </c>
      <c r="C103" s="1" t="s">
        <v>7</v>
      </c>
      <c r="D103" s="1" t="s">
        <v>2116</v>
      </c>
      <c r="E103" s="9">
        <v>28318</v>
      </c>
      <c r="F103" s="1" t="str">
        <f>VLOOKUP(D103,Table12[[Name]:[Native]],3,FALSE)</f>
        <v>忻府区</v>
      </c>
      <c r="G103" s="12" t="str">
        <f ca="1">VLOOKUP(F103,Table12[[Native]:[Population4]],5,FALSE)</f>
        <v>忻州市</v>
      </c>
    </row>
    <row r="104" spans="1:7" ht="15.75" thickBot="1" x14ac:dyDescent="0.3">
      <c r="A104" t="s">
        <v>2312</v>
      </c>
      <c r="B104" s="1" t="s">
        <v>2313</v>
      </c>
      <c r="C104" s="1" t="s">
        <v>17</v>
      </c>
      <c r="D104" s="1" t="s">
        <v>2109</v>
      </c>
      <c r="E104" s="9">
        <v>30612</v>
      </c>
      <c r="F104" s="1" t="str">
        <f>VLOOKUP(D104,Table12[[Name]:[Native]],3,FALSE)</f>
        <v>五台县</v>
      </c>
      <c r="G104" s="12" t="str">
        <f ca="1">VLOOKUP(F104,Table12[[Native]:[Population4]],5,FALSE)</f>
        <v>忻州市</v>
      </c>
    </row>
    <row r="105" spans="1:7" ht="15.75" thickBot="1" x14ac:dyDescent="0.3">
      <c r="A105" t="s">
        <v>2314</v>
      </c>
      <c r="B105" s="1" t="s">
        <v>2315</v>
      </c>
      <c r="C105" s="1" t="s">
        <v>7</v>
      </c>
      <c r="D105" s="1" t="s">
        <v>2173</v>
      </c>
      <c r="E105" s="9">
        <v>12861</v>
      </c>
      <c r="F105" s="1" t="str">
        <f>VLOOKUP(D105,Table12[[Name]:[Native]],3,FALSE)</f>
        <v>五寨县</v>
      </c>
      <c r="G105" s="12" t="str">
        <f ca="1">VLOOKUP(F105,Table12[[Native]:[Population4]],5,FALSE)</f>
        <v>忻州市</v>
      </c>
    </row>
    <row r="106" spans="1:7" ht="15.75" thickBot="1" x14ac:dyDescent="0.3">
      <c r="A106" t="s">
        <v>1604</v>
      </c>
      <c r="B106" s="1" t="s">
        <v>1605</v>
      </c>
      <c r="C106" s="1" t="s">
        <v>7</v>
      </c>
      <c r="D106" s="1" t="s">
        <v>2116</v>
      </c>
      <c r="E106" s="9">
        <v>7930</v>
      </c>
      <c r="F106" s="1" t="str">
        <f>VLOOKUP(D106,Table12[[Name]:[Native]],3,FALSE)</f>
        <v>忻府区</v>
      </c>
      <c r="G106" s="12" t="str">
        <f ca="1">VLOOKUP(F106,Table12[[Native]:[Population4]],5,FALSE)</f>
        <v>忻州市</v>
      </c>
    </row>
    <row r="107" spans="1:7" ht="15.75" thickBot="1" x14ac:dyDescent="0.3">
      <c r="A107" t="s">
        <v>2316</v>
      </c>
      <c r="B107" s="1" t="s">
        <v>2317</v>
      </c>
      <c r="C107" s="1" t="s">
        <v>7</v>
      </c>
      <c r="D107" s="1" t="s">
        <v>2140</v>
      </c>
      <c r="E107" s="9">
        <v>6796</v>
      </c>
      <c r="F107" s="1" t="str">
        <f>VLOOKUP(D107,Table12[[Name]:[Native]],3,FALSE)</f>
        <v>岢岚县</v>
      </c>
      <c r="G107" s="12" t="str">
        <f ca="1">VLOOKUP(F107,Table12[[Native]:[Population4]],5,FALSE)</f>
        <v>忻州市</v>
      </c>
    </row>
    <row r="108" spans="1:7" ht="15.75" thickBot="1" x14ac:dyDescent="0.3">
      <c r="A108" t="s">
        <v>2318</v>
      </c>
      <c r="B108" s="1" t="s">
        <v>2319</v>
      </c>
      <c r="C108" s="1" t="s">
        <v>7</v>
      </c>
      <c r="D108" s="1" t="s">
        <v>2106</v>
      </c>
      <c r="E108" s="9">
        <v>60724</v>
      </c>
      <c r="F108" s="1" t="str">
        <f>VLOOKUP(D108,Table12[[Name]:[Native]],3,FALSE)</f>
        <v>繁峙县</v>
      </c>
      <c r="G108" s="12" t="str">
        <f ca="1">VLOOKUP(F108,Table12[[Native]:[Population4]],5,FALSE)</f>
        <v>忻州市</v>
      </c>
    </row>
    <row r="109" spans="1:7" ht="15.75" thickBot="1" x14ac:dyDescent="0.3">
      <c r="A109" t="s">
        <v>2320</v>
      </c>
      <c r="B109" s="1" t="s">
        <v>2321</v>
      </c>
      <c r="C109" s="1" t="s">
        <v>7</v>
      </c>
      <c r="D109" s="1" t="s">
        <v>2190</v>
      </c>
      <c r="E109" s="9">
        <v>65960</v>
      </c>
      <c r="F109" s="1" t="str">
        <f>VLOOKUP(D109,Table12[[Name]:[Native]],3,FALSE)</f>
        <v>代县</v>
      </c>
      <c r="G109" s="12" t="str">
        <f ca="1">VLOOKUP(F109,Table12[[Native]:[Population4]],5,FALSE)</f>
        <v>忻州市</v>
      </c>
    </row>
    <row r="110" spans="1:7" ht="15.75" thickBot="1" x14ac:dyDescent="0.3">
      <c r="A110" t="s">
        <v>2322</v>
      </c>
      <c r="B110" s="1" t="s">
        <v>2323</v>
      </c>
      <c r="C110" s="1" t="s">
        <v>17</v>
      </c>
      <c r="D110" s="1" t="s">
        <v>2190</v>
      </c>
      <c r="E110" s="9">
        <v>12347</v>
      </c>
      <c r="F110" s="1" t="str">
        <f>VLOOKUP(D110,Table12[[Name]:[Native]],3,FALSE)</f>
        <v>代县</v>
      </c>
      <c r="G110" s="12" t="str">
        <f ca="1">VLOOKUP(F110,Table12[[Native]:[Population4]],5,FALSE)</f>
        <v>忻州市</v>
      </c>
    </row>
    <row r="111" spans="1:7" ht="15.75" thickBot="1" x14ac:dyDescent="0.3">
      <c r="A111" t="s">
        <v>2324</v>
      </c>
      <c r="B111" s="1" t="s">
        <v>2325</v>
      </c>
      <c r="C111" s="1" t="s">
        <v>17</v>
      </c>
      <c r="D111" s="1" t="s">
        <v>2132</v>
      </c>
      <c r="E111" s="9">
        <v>4059</v>
      </c>
      <c r="F111" s="1" t="str">
        <f>VLOOKUP(D111,Table12[[Name]:[Native]],3,FALSE)</f>
        <v>偏关县</v>
      </c>
      <c r="G111" s="12" t="str">
        <f ca="1">VLOOKUP(F111,Table12[[Native]:[Population4]],5,FALSE)</f>
        <v>忻州市</v>
      </c>
    </row>
    <row r="112" spans="1:7" ht="15.75" thickBot="1" x14ac:dyDescent="0.3">
      <c r="A112" t="s">
        <v>2326</v>
      </c>
      <c r="B112" s="1" t="s">
        <v>2327</v>
      </c>
      <c r="C112" s="1" t="s">
        <v>35</v>
      </c>
      <c r="D112" s="1" t="s">
        <v>2113</v>
      </c>
      <c r="E112" s="9">
        <v>1352</v>
      </c>
      <c r="F112" s="1" t="str">
        <f>VLOOKUP(D112,Table12[[Name]:[Native]],3,FALSE)</f>
        <v>原平市</v>
      </c>
      <c r="G112" s="12" t="str">
        <f ca="1">VLOOKUP(F112,Table12[[Native]:[Population4]],5,FALSE)</f>
        <v>忻州市</v>
      </c>
    </row>
    <row r="113" spans="1:7" ht="15.75" thickBot="1" x14ac:dyDescent="0.3">
      <c r="A113" t="s">
        <v>2328</v>
      </c>
      <c r="B113" s="1" t="s">
        <v>2329</v>
      </c>
      <c r="C113" s="1" t="s">
        <v>17</v>
      </c>
      <c r="D113" s="1" t="s">
        <v>2147</v>
      </c>
      <c r="E113" s="9">
        <v>3981</v>
      </c>
      <c r="F113" s="1" t="str">
        <f>VLOOKUP(D113,Table12[[Name]:[Native]],3,FALSE)</f>
        <v>河曲县</v>
      </c>
      <c r="G113" s="12" t="str">
        <f ca="1">VLOOKUP(F113,Table12[[Native]:[Population4]],5,FALSE)</f>
        <v>忻州市</v>
      </c>
    </row>
    <row r="114" spans="1:7" ht="15.75" thickBot="1" x14ac:dyDescent="0.3">
      <c r="A114" t="s">
        <v>2330</v>
      </c>
      <c r="B114" s="1" t="s">
        <v>2331</v>
      </c>
      <c r="C114" s="1" t="s">
        <v>7</v>
      </c>
      <c r="D114" s="1" t="s">
        <v>2147</v>
      </c>
      <c r="E114" s="9">
        <v>7421</v>
      </c>
      <c r="F114" s="1" t="str">
        <f>VLOOKUP(D114,Table12[[Name]:[Native]],3,FALSE)</f>
        <v>河曲县</v>
      </c>
      <c r="G114" s="12" t="str">
        <f ca="1">VLOOKUP(F114,Table12[[Native]:[Population4]],5,FALSE)</f>
        <v>忻州市</v>
      </c>
    </row>
    <row r="115" spans="1:7" ht="15.75" thickBot="1" x14ac:dyDescent="0.3">
      <c r="A115" t="s">
        <v>2332</v>
      </c>
      <c r="B115" s="1" t="s">
        <v>2333</v>
      </c>
      <c r="C115" s="1" t="s">
        <v>17</v>
      </c>
      <c r="D115" s="1" t="s">
        <v>2147</v>
      </c>
      <c r="E115" s="9">
        <v>5064</v>
      </c>
      <c r="F115" s="1" t="str">
        <f>VLOOKUP(D115,Table12[[Name]:[Native]],3,FALSE)</f>
        <v>河曲县</v>
      </c>
      <c r="G115" s="12" t="str">
        <f ca="1">VLOOKUP(F115,Table12[[Native]:[Population4]],5,FALSE)</f>
        <v>忻州市</v>
      </c>
    </row>
    <row r="116" spans="1:7" ht="15.75" thickBot="1" x14ac:dyDescent="0.3">
      <c r="A116" t="s">
        <v>2334</v>
      </c>
      <c r="B116" s="1" t="s">
        <v>2335</v>
      </c>
      <c r="C116" s="1" t="s">
        <v>17</v>
      </c>
      <c r="D116" s="1" t="s">
        <v>2221</v>
      </c>
      <c r="E116" s="9">
        <v>16314</v>
      </c>
      <c r="F116" s="1" t="str">
        <f>VLOOKUP(D116,Table12[[Name]:[Native]],3,FALSE)</f>
        <v>定襄县</v>
      </c>
      <c r="G116" s="12" t="str">
        <f ca="1">VLOOKUP(F116,Table12[[Native]:[Population4]],5,FALSE)</f>
        <v>忻州市</v>
      </c>
    </row>
    <row r="117" spans="1:7" ht="15.75" thickBot="1" x14ac:dyDescent="0.3">
      <c r="A117" t="s">
        <v>2336</v>
      </c>
      <c r="B117" s="1" t="s">
        <v>2337</v>
      </c>
      <c r="C117" s="1" t="s">
        <v>17</v>
      </c>
      <c r="D117" s="1" t="s">
        <v>2106</v>
      </c>
      <c r="E117" s="9">
        <v>6538</v>
      </c>
      <c r="F117" s="1" t="str">
        <f>VLOOKUP(D117,Table12[[Name]:[Native]],3,FALSE)</f>
        <v>繁峙县</v>
      </c>
      <c r="G117" s="12" t="str">
        <f ca="1">VLOOKUP(F117,Table12[[Native]:[Population4]],5,FALSE)</f>
        <v>忻州市</v>
      </c>
    </row>
    <row r="118" spans="1:7" ht="15.75" thickBot="1" x14ac:dyDescent="0.3">
      <c r="A118" t="s">
        <v>2338</v>
      </c>
      <c r="B118" s="1" t="s">
        <v>2339</v>
      </c>
      <c r="C118" s="1" t="s">
        <v>17</v>
      </c>
      <c r="D118" s="1" t="s">
        <v>2140</v>
      </c>
      <c r="E118" s="9">
        <v>6954</v>
      </c>
      <c r="F118" s="1" t="str">
        <f>VLOOKUP(D118,Table12[[Name]:[Native]],3,FALSE)</f>
        <v>岢岚县</v>
      </c>
      <c r="G118" s="12" t="str">
        <f ca="1">VLOOKUP(F118,Table12[[Native]:[Population4]],5,FALSE)</f>
        <v>忻州市</v>
      </c>
    </row>
    <row r="119" spans="1:7" ht="15.75" thickBot="1" x14ac:dyDescent="0.3">
      <c r="A119" t="s">
        <v>2340</v>
      </c>
      <c r="B119" s="1" t="s">
        <v>2341</v>
      </c>
      <c r="C119" s="1" t="s">
        <v>17</v>
      </c>
      <c r="D119" s="1" t="s">
        <v>2109</v>
      </c>
      <c r="E119" s="9">
        <v>6319</v>
      </c>
      <c r="F119" s="1" t="str">
        <f>VLOOKUP(D119,Table12[[Name]:[Native]],3,FALSE)</f>
        <v>五台县</v>
      </c>
      <c r="G119" s="12" t="str">
        <f ca="1">VLOOKUP(F119,Table12[[Native]:[Population4]],5,FALSE)</f>
        <v>忻州市</v>
      </c>
    </row>
    <row r="120" spans="1:7" ht="15.75" thickBot="1" x14ac:dyDescent="0.3">
      <c r="A120" t="s">
        <v>2342</v>
      </c>
      <c r="B120" s="1" t="s">
        <v>2343</v>
      </c>
      <c r="C120" s="1" t="s">
        <v>17</v>
      </c>
      <c r="D120" s="1" t="s">
        <v>2137</v>
      </c>
      <c r="E120" s="9">
        <v>7586</v>
      </c>
      <c r="F120" s="1" t="str">
        <f>VLOOKUP(D120,Table12[[Name]:[Native]],3,FALSE)</f>
        <v>静乐县</v>
      </c>
      <c r="G120" s="12" t="str">
        <f ca="1">VLOOKUP(F120,Table12[[Native]:[Population4]],5,FALSE)</f>
        <v>忻州市</v>
      </c>
    </row>
    <row r="121" spans="1:7" ht="15.75" thickBot="1" x14ac:dyDescent="0.3">
      <c r="A121" t="s">
        <v>2344</v>
      </c>
      <c r="B121" s="1" t="s">
        <v>2345</v>
      </c>
      <c r="C121" s="1" t="s">
        <v>7</v>
      </c>
      <c r="D121" s="1" t="s">
        <v>2121</v>
      </c>
      <c r="E121" s="9">
        <v>3731</v>
      </c>
      <c r="F121" s="1" t="str">
        <f>VLOOKUP(D121,Table12[[Name]:[Native]],3,FALSE)</f>
        <v>宁武县</v>
      </c>
      <c r="G121" s="12" t="str">
        <f ca="1">VLOOKUP(F121,Table12[[Native]:[Population4]],5,FALSE)</f>
        <v>忻州市</v>
      </c>
    </row>
    <row r="122" spans="1:7" ht="15.75" thickBot="1" x14ac:dyDescent="0.3">
      <c r="A122" t="s">
        <v>2346</v>
      </c>
      <c r="B122" s="1" t="s">
        <v>2347</v>
      </c>
      <c r="C122" s="1" t="s">
        <v>17</v>
      </c>
      <c r="D122" s="1" t="s">
        <v>2109</v>
      </c>
      <c r="E122" s="9">
        <v>5240</v>
      </c>
      <c r="F122" s="1" t="str">
        <f>VLOOKUP(D122,Table12[[Name]:[Native]],3,FALSE)</f>
        <v>五台县</v>
      </c>
      <c r="G122" s="12" t="str">
        <f ca="1">VLOOKUP(F122,Table12[[Native]:[Population4]],5,FALSE)</f>
        <v>忻州市</v>
      </c>
    </row>
    <row r="123" spans="1:7" ht="15.75" thickBot="1" x14ac:dyDescent="0.3">
      <c r="A123" t="s">
        <v>2348</v>
      </c>
      <c r="B123" s="1" t="s">
        <v>2349</v>
      </c>
      <c r="C123" s="1" t="s">
        <v>17</v>
      </c>
      <c r="D123" s="1" t="s">
        <v>2221</v>
      </c>
      <c r="E123" s="9">
        <v>17869</v>
      </c>
      <c r="F123" s="1" t="str">
        <f>VLOOKUP(D123,Table12[[Name]:[Native]],3,FALSE)</f>
        <v>定襄县</v>
      </c>
      <c r="G123" s="12" t="str">
        <f ca="1">VLOOKUP(F123,Table12[[Native]:[Population4]],5,FALSE)</f>
        <v>忻州市</v>
      </c>
    </row>
    <row r="124" spans="1:7" ht="15.75" thickBot="1" x14ac:dyDescent="0.3">
      <c r="A124" t="s">
        <v>2350</v>
      </c>
      <c r="B124" s="1" t="s">
        <v>2351</v>
      </c>
      <c r="C124" s="1" t="s">
        <v>17</v>
      </c>
      <c r="D124" s="1" t="s">
        <v>2137</v>
      </c>
      <c r="E124" s="9">
        <v>10971</v>
      </c>
      <c r="F124" s="1" t="str">
        <f>VLOOKUP(D124,Table12[[Name]:[Native]],3,FALSE)</f>
        <v>静乐县</v>
      </c>
      <c r="G124" s="12" t="str">
        <f ca="1">VLOOKUP(F124,Table12[[Native]:[Population4]],5,FALSE)</f>
        <v>忻州市</v>
      </c>
    </row>
    <row r="125" spans="1:7" ht="15.75" thickBot="1" x14ac:dyDescent="0.3">
      <c r="A125" t="s">
        <v>2352</v>
      </c>
      <c r="B125" s="1" t="s">
        <v>2353</v>
      </c>
      <c r="C125" s="1" t="s">
        <v>7</v>
      </c>
      <c r="D125" s="1" t="s">
        <v>2132</v>
      </c>
      <c r="E125" s="9">
        <v>3653</v>
      </c>
      <c r="F125" s="1" t="str">
        <f>VLOOKUP(D125,Table12[[Name]:[Native]],3,FALSE)</f>
        <v>偏关县</v>
      </c>
      <c r="G125" s="12" t="str">
        <f ca="1">VLOOKUP(F125,Table12[[Native]:[Population4]],5,FALSE)</f>
        <v>忻州市</v>
      </c>
    </row>
    <row r="126" spans="1:7" ht="15.75" thickBot="1" x14ac:dyDescent="0.3">
      <c r="A126" t="s">
        <v>2354</v>
      </c>
      <c r="B126" s="1" t="s">
        <v>2355</v>
      </c>
      <c r="C126" s="1" t="s">
        <v>17</v>
      </c>
      <c r="D126" s="1" t="s">
        <v>2140</v>
      </c>
      <c r="E126" s="9">
        <v>4224</v>
      </c>
      <c r="F126" s="1" t="str">
        <f>VLOOKUP(D126,Table12[[Name]:[Native]],3,FALSE)</f>
        <v>岢岚县</v>
      </c>
      <c r="G126" s="12" t="str">
        <f ca="1">VLOOKUP(F126,Table12[[Native]:[Population4]],5,FALSE)</f>
        <v>忻州市</v>
      </c>
    </row>
    <row r="127" spans="1:7" ht="15.75" thickBot="1" x14ac:dyDescent="0.3">
      <c r="A127" t="s">
        <v>2356</v>
      </c>
      <c r="B127" s="1" t="s">
        <v>2357</v>
      </c>
      <c r="C127" s="1" t="s">
        <v>17</v>
      </c>
      <c r="D127" s="1" t="s">
        <v>2140</v>
      </c>
      <c r="E127" s="9">
        <v>6049</v>
      </c>
      <c r="F127" s="1" t="str">
        <f>VLOOKUP(D127,Table12[[Name]:[Native]],3,FALSE)</f>
        <v>岢岚县</v>
      </c>
      <c r="G127" s="12" t="str">
        <f ca="1">VLOOKUP(F127,Table12[[Native]:[Population4]],5,FALSE)</f>
        <v>忻州市</v>
      </c>
    </row>
    <row r="128" spans="1:7" ht="15.75" thickBot="1" x14ac:dyDescent="0.3">
      <c r="A128" t="s">
        <v>2358</v>
      </c>
      <c r="B128" s="1" t="s">
        <v>2359</v>
      </c>
      <c r="C128" s="1" t="s">
        <v>7</v>
      </c>
      <c r="D128" s="1" t="s">
        <v>2113</v>
      </c>
      <c r="E128" s="9">
        <v>15347</v>
      </c>
      <c r="F128" s="1" t="str">
        <f>VLOOKUP(D128,Table12[[Name]:[Native]],3,FALSE)</f>
        <v>原平市</v>
      </c>
      <c r="G128" s="12" t="str">
        <f ca="1">VLOOKUP(F128,Table12[[Native]:[Population4]],5,FALSE)</f>
        <v>忻州市</v>
      </c>
    </row>
    <row r="129" spans="1:7" ht="15.75" thickBot="1" x14ac:dyDescent="0.3">
      <c r="A129" t="s">
        <v>2360</v>
      </c>
      <c r="B129" s="1" t="s">
        <v>2361</v>
      </c>
      <c r="C129" s="1" t="s">
        <v>17</v>
      </c>
      <c r="D129" s="1" t="s">
        <v>2158</v>
      </c>
      <c r="E129" s="9">
        <v>7550</v>
      </c>
      <c r="F129" s="1" t="str">
        <f>VLOOKUP(D129,Table12[[Name]:[Native]],3,FALSE)</f>
        <v>保德县</v>
      </c>
      <c r="G129" s="12" t="str">
        <f ca="1">VLOOKUP(F129,Table12[[Native]:[Population4]],5,FALSE)</f>
        <v>忻州市</v>
      </c>
    </row>
    <row r="130" spans="1:7" ht="15.75" thickBot="1" x14ac:dyDescent="0.3">
      <c r="A130" t="s">
        <v>2362</v>
      </c>
      <c r="B130" s="1" t="s">
        <v>2363</v>
      </c>
      <c r="C130" s="1" t="s">
        <v>17</v>
      </c>
      <c r="D130" s="1" t="s">
        <v>2173</v>
      </c>
      <c r="E130" s="9">
        <v>4392</v>
      </c>
      <c r="F130" s="1" t="str">
        <f>VLOOKUP(D130,Table12[[Name]:[Native]],3,FALSE)</f>
        <v>五寨县</v>
      </c>
      <c r="G130" s="12" t="str">
        <f ca="1">VLOOKUP(F130,Table12[[Native]:[Population4]],5,FALSE)</f>
        <v>忻州市</v>
      </c>
    </row>
    <row r="131" spans="1:7" ht="15.75" thickBot="1" x14ac:dyDescent="0.3">
      <c r="A131" t="s">
        <v>2364</v>
      </c>
      <c r="B131" s="1" t="s">
        <v>2365</v>
      </c>
      <c r="C131" s="1" t="s">
        <v>17</v>
      </c>
      <c r="D131" s="1" t="s">
        <v>2137</v>
      </c>
      <c r="E131" s="9">
        <v>5633</v>
      </c>
      <c r="F131" s="1" t="str">
        <f>VLOOKUP(D131,Table12[[Name]:[Native]],3,FALSE)</f>
        <v>静乐县</v>
      </c>
      <c r="G131" s="12" t="str">
        <f ca="1">VLOOKUP(F131,Table12[[Native]:[Population4]],5,FALSE)</f>
        <v>忻州市</v>
      </c>
    </row>
    <row r="132" spans="1:7" ht="15.75" thickBot="1" x14ac:dyDescent="0.3">
      <c r="A132" t="s">
        <v>2366</v>
      </c>
      <c r="B132" s="1" t="s">
        <v>2367</v>
      </c>
      <c r="C132" s="1" t="s">
        <v>7</v>
      </c>
      <c r="D132" s="1" t="s">
        <v>2109</v>
      </c>
      <c r="E132" s="9">
        <v>40145</v>
      </c>
      <c r="F132" s="1" t="str">
        <f>VLOOKUP(D132,Table12[[Name]:[Native]],3,FALSE)</f>
        <v>五台县</v>
      </c>
      <c r="G132" s="12" t="str">
        <f ca="1">VLOOKUP(F132,Table12[[Native]:[Population4]],5,FALSE)</f>
        <v>忻州市</v>
      </c>
    </row>
    <row r="133" spans="1:7" ht="15.75" thickBot="1" x14ac:dyDescent="0.3">
      <c r="A133" t="s">
        <v>2368</v>
      </c>
      <c r="B133" s="1" t="s">
        <v>2369</v>
      </c>
      <c r="C133" s="1" t="s">
        <v>7</v>
      </c>
      <c r="D133" s="1" t="s">
        <v>2109</v>
      </c>
      <c r="E133" s="9">
        <v>11814</v>
      </c>
      <c r="F133" s="1" t="str">
        <f>VLOOKUP(D133,Table12[[Name]:[Native]],3,FALSE)</f>
        <v>五台县</v>
      </c>
      <c r="G133" s="12" t="str">
        <f ca="1">VLOOKUP(F133,Table12[[Native]:[Population4]],5,FALSE)</f>
        <v>忻州市</v>
      </c>
    </row>
    <row r="134" spans="1:7" ht="15.75" thickBot="1" x14ac:dyDescent="0.3">
      <c r="A134" t="s">
        <v>2370</v>
      </c>
      <c r="B134" s="1" t="s">
        <v>2371</v>
      </c>
      <c r="C134" s="1" t="s">
        <v>17</v>
      </c>
      <c r="D134" s="1" t="s">
        <v>2112</v>
      </c>
      <c r="E134" s="9">
        <v>6650</v>
      </c>
      <c r="F134" s="1" t="str">
        <f>VLOOKUP(D134,Table12[[Name]:[Native]],3,FALSE)</f>
        <v>神池县</v>
      </c>
      <c r="G134" s="12" t="str">
        <f ca="1">VLOOKUP(F134,Table12[[Native]:[Population4]],5,FALSE)</f>
        <v>忻州市</v>
      </c>
    </row>
    <row r="135" spans="1:7" ht="15.75" thickBot="1" x14ac:dyDescent="0.3">
      <c r="A135" t="s">
        <v>2372</v>
      </c>
      <c r="B135" s="1" t="s">
        <v>2373</v>
      </c>
      <c r="C135" s="1" t="s">
        <v>17</v>
      </c>
      <c r="D135" s="1" t="s">
        <v>2137</v>
      </c>
      <c r="E135" s="9">
        <v>3720</v>
      </c>
      <c r="F135" s="1" t="str">
        <f>VLOOKUP(D135,Table12[[Name]:[Native]],3,FALSE)</f>
        <v>静乐县</v>
      </c>
      <c r="G135" s="12" t="str">
        <f ca="1">VLOOKUP(F135,Table12[[Native]:[Population4]],5,FALSE)</f>
        <v>忻州市</v>
      </c>
    </row>
    <row r="136" spans="1:7" ht="15.75" thickBot="1" x14ac:dyDescent="0.3">
      <c r="A136" t="s">
        <v>2374</v>
      </c>
      <c r="B136" s="1" t="s">
        <v>2375</v>
      </c>
      <c r="C136" s="1" t="s">
        <v>7</v>
      </c>
      <c r="D136" s="1" t="s">
        <v>2190</v>
      </c>
      <c r="E136" s="9">
        <v>5811</v>
      </c>
      <c r="F136" s="1" t="str">
        <f>VLOOKUP(D136,Table12[[Name]:[Native]],3,FALSE)</f>
        <v>代县</v>
      </c>
      <c r="G136" s="12" t="str">
        <f ca="1">VLOOKUP(F136,Table12[[Native]:[Population4]],5,FALSE)</f>
        <v>忻州市</v>
      </c>
    </row>
    <row r="137" spans="1:7" ht="15.75" thickBot="1" x14ac:dyDescent="0.3">
      <c r="A137" t="s">
        <v>2376</v>
      </c>
      <c r="B137" s="1" t="s">
        <v>2377</v>
      </c>
      <c r="C137" s="1" t="s">
        <v>7</v>
      </c>
      <c r="D137" s="1" t="s">
        <v>2132</v>
      </c>
      <c r="E137" s="9">
        <v>6337</v>
      </c>
      <c r="F137" s="1" t="str">
        <f>VLOOKUP(D137,Table12[[Name]:[Native]],3,FALSE)</f>
        <v>偏关县</v>
      </c>
      <c r="G137" s="12" t="str">
        <f ca="1">VLOOKUP(F137,Table12[[Native]:[Population4]],5,FALSE)</f>
        <v>忻州市</v>
      </c>
    </row>
    <row r="138" spans="1:7" ht="15.75" thickBot="1" x14ac:dyDescent="0.3">
      <c r="A138" t="s">
        <v>2378</v>
      </c>
      <c r="B138" s="1" t="s">
        <v>2379</v>
      </c>
      <c r="C138" s="1" t="s">
        <v>17</v>
      </c>
      <c r="D138" s="1" t="s">
        <v>2147</v>
      </c>
      <c r="E138" s="9">
        <v>2421</v>
      </c>
      <c r="F138" s="1" t="str">
        <f>VLOOKUP(D138,Table12[[Name]:[Native]],3,FALSE)</f>
        <v>河曲县</v>
      </c>
      <c r="G138" s="12" t="str">
        <f ca="1">VLOOKUP(F138,Table12[[Native]:[Population4]],5,FALSE)</f>
        <v>忻州市</v>
      </c>
    </row>
    <row r="139" spans="1:7" ht="15.75" thickBot="1" x14ac:dyDescent="0.3">
      <c r="A139" t="s">
        <v>2380</v>
      </c>
      <c r="B139" s="1" t="s">
        <v>2381</v>
      </c>
      <c r="C139" s="1" t="s">
        <v>17</v>
      </c>
      <c r="D139" s="1" t="s">
        <v>2158</v>
      </c>
      <c r="E139" s="9">
        <v>3125</v>
      </c>
      <c r="F139" s="1" t="str">
        <f>VLOOKUP(D139,Table12[[Name]:[Native]],3,FALSE)</f>
        <v>保德县</v>
      </c>
      <c r="G139" s="12" t="str">
        <f ca="1">VLOOKUP(F139,Table12[[Native]:[Population4]],5,FALSE)</f>
        <v>忻州市</v>
      </c>
    </row>
    <row r="140" spans="1:7" ht="15.75" thickBot="1" x14ac:dyDescent="0.3">
      <c r="A140" t="s">
        <v>2382</v>
      </c>
      <c r="B140" s="1" t="s">
        <v>2383</v>
      </c>
      <c r="C140" s="1" t="s">
        <v>17</v>
      </c>
      <c r="D140" s="1" t="s">
        <v>2137</v>
      </c>
      <c r="E140" s="9">
        <v>9863</v>
      </c>
      <c r="F140" s="1" t="str">
        <f>VLOOKUP(D140,Table12[[Name]:[Native]],3,FALSE)</f>
        <v>静乐县</v>
      </c>
      <c r="G140" s="12" t="str">
        <f ca="1">VLOOKUP(F140,Table12[[Native]:[Population4]],5,FALSE)</f>
        <v>忻州市</v>
      </c>
    </row>
    <row r="141" spans="1:7" ht="15.75" thickBot="1" x14ac:dyDescent="0.3">
      <c r="A141" t="s">
        <v>2384</v>
      </c>
      <c r="B141" s="1" t="s">
        <v>2385</v>
      </c>
      <c r="C141" s="1" t="s">
        <v>17</v>
      </c>
      <c r="D141" s="1" t="s">
        <v>2140</v>
      </c>
      <c r="E141" s="9">
        <v>1900</v>
      </c>
      <c r="F141" s="1" t="str">
        <f>VLOOKUP(D141,Table12[[Name]:[Native]],3,FALSE)</f>
        <v>岢岚县</v>
      </c>
      <c r="G141" s="12" t="str">
        <f ca="1">VLOOKUP(F141,Table12[[Native]:[Population4]],5,FALSE)</f>
        <v>忻州市</v>
      </c>
    </row>
    <row r="142" spans="1:7" ht="15.75" thickBot="1" x14ac:dyDescent="0.3">
      <c r="A142" t="s">
        <v>2386</v>
      </c>
      <c r="B142" s="1" t="s">
        <v>2387</v>
      </c>
      <c r="C142" s="1" t="s">
        <v>17</v>
      </c>
      <c r="D142" s="1" t="s">
        <v>2113</v>
      </c>
      <c r="E142" s="9">
        <v>14197</v>
      </c>
      <c r="F142" s="1" t="str">
        <f>VLOOKUP(D142,Table12[[Name]:[Native]],3,FALSE)</f>
        <v>原平市</v>
      </c>
      <c r="G142" s="12" t="str">
        <f ca="1">VLOOKUP(F142,Table12[[Native]:[Population4]],5,FALSE)</f>
        <v>忻州市</v>
      </c>
    </row>
    <row r="143" spans="1:7" ht="15.75" thickBot="1" x14ac:dyDescent="0.3">
      <c r="A143" t="s">
        <v>2388</v>
      </c>
      <c r="B143" s="1" t="s">
        <v>2389</v>
      </c>
      <c r="C143" s="1" t="s">
        <v>7</v>
      </c>
      <c r="D143" s="1" t="s">
        <v>2132</v>
      </c>
      <c r="E143" s="9">
        <v>7451</v>
      </c>
      <c r="F143" s="1" t="str">
        <f>VLOOKUP(D143,Table12[[Name]:[Native]],3,FALSE)</f>
        <v>偏关县</v>
      </c>
      <c r="G143" s="12" t="str">
        <f ca="1">VLOOKUP(F143,Table12[[Native]:[Population4]],5,FALSE)</f>
        <v>忻州市</v>
      </c>
    </row>
    <row r="144" spans="1:7" ht="15.75" thickBot="1" x14ac:dyDescent="0.3">
      <c r="A144" t="s">
        <v>2390</v>
      </c>
      <c r="B144" s="1" t="s">
        <v>2391</v>
      </c>
      <c r="C144" s="1" t="s">
        <v>7</v>
      </c>
      <c r="D144" s="1" t="s">
        <v>2147</v>
      </c>
      <c r="E144" s="9">
        <v>74307</v>
      </c>
      <c r="F144" s="1" t="str">
        <f>VLOOKUP(D144,Table12[[Name]:[Native]],3,FALSE)</f>
        <v>河曲县</v>
      </c>
      <c r="G144" s="12" t="str">
        <f ca="1">VLOOKUP(F144,Table12[[Native]:[Population4]],5,FALSE)</f>
        <v>忻州市</v>
      </c>
    </row>
    <row r="145" spans="1:7" ht="15.75" thickBot="1" x14ac:dyDescent="0.3">
      <c r="A145" t="s">
        <v>1654</v>
      </c>
      <c r="B145" s="1" t="s">
        <v>1655</v>
      </c>
      <c r="C145" s="1" t="s">
        <v>17</v>
      </c>
      <c r="D145" s="1" t="s">
        <v>2140</v>
      </c>
      <c r="E145" s="9">
        <v>2242</v>
      </c>
      <c r="F145" s="1" t="str">
        <f>VLOOKUP(D145,Table12[[Name]:[Native]],3,FALSE)</f>
        <v>岢岚县</v>
      </c>
      <c r="G145" s="12" t="str">
        <f ca="1">VLOOKUP(F145,Table12[[Native]:[Population4]],5,FALSE)</f>
        <v>忻州市</v>
      </c>
    </row>
    <row r="146" spans="1:7" ht="15.75" thickBot="1" x14ac:dyDescent="0.3">
      <c r="A146" t="s">
        <v>2392</v>
      </c>
      <c r="B146" s="1" t="s">
        <v>2393</v>
      </c>
      <c r="C146" s="1" t="s">
        <v>7</v>
      </c>
      <c r="D146" s="1" t="s">
        <v>2173</v>
      </c>
      <c r="E146" s="9">
        <v>4473</v>
      </c>
      <c r="F146" s="1" t="str">
        <f>VLOOKUP(D146,Table12[[Name]:[Native]],3,FALSE)</f>
        <v>五寨县</v>
      </c>
      <c r="G146" s="12" t="str">
        <f ca="1">VLOOKUP(F146,Table12[[Native]:[Population4]],5,FALSE)</f>
        <v>忻州市</v>
      </c>
    </row>
    <row r="147" spans="1:7" ht="15.75" thickBot="1" x14ac:dyDescent="0.3">
      <c r="A147" t="s">
        <v>2394</v>
      </c>
      <c r="B147" s="1" t="s">
        <v>2395</v>
      </c>
      <c r="C147" s="1" t="s">
        <v>17</v>
      </c>
      <c r="D147" s="1" t="s">
        <v>2106</v>
      </c>
      <c r="E147" s="9">
        <v>8028</v>
      </c>
      <c r="F147" s="1" t="str">
        <f>VLOOKUP(D147,Table12[[Name]:[Native]],3,FALSE)</f>
        <v>繁峙县</v>
      </c>
      <c r="G147" s="12" t="str">
        <f ca="1">VLOOKUP(F147,Table12[[Native]:[Population4]],5,FALSE)</f>
        <v>忻州市</v>
      </c>
    </row>
    <row r="148" spans="1:7" ht="15.75" thickBot="1" x14ac:dyDescent="0.3">
      <c r="A148" t="s">
        <v>2396</v>
      </c>
      <c r="B148" s="1" t="s">
        <v>2397</v>
      </c>
      <c r="C148" s="1" t="s">
        <v>17</v>
      </c>
      <c r="D148" s="1" t="s">
        <v>2140</v>
      </c>
      <c r="E148" s="9">
        <v>2722</v>
      </c>
      <c r="F148" s="1" t="str">
        <f>VLOOKUP(D148,Table12[[Name]:[Native]],3,FALSE)</f>
        <v>岢岚县</v>
      </c>
      <c r="G148" s="12" t="str">
        <f ca="1">VLOOKUP(F148,Table12[[Native]:[Population4]],5,FALSE)</f>
        <v>忻州市</v>
      </c>
    </row>
    <row r="149" spans="1:7" ht="15.75" thickBot="1" x14ac:dyDescent="0.3">
      <c r="A149" t="s">
        <v>2398</v>
      </c>
      <c r="B149" s="1" t="s">
        <v>2399</v>
      </c>
      <c r="C149" s="1" t="s">
        <v>17</v>
      </c>
      <c r="D149" s="1" t="s">
        <v>2121</v>
      </c>
      <c r="E149" s="9">
        <v>8346</v>
      </c>
      <c r="F149" s="1" t="str">
        <f>VLOOKUP(D149,Table12[[Name]:[Native]],3,FALSE)</f>
        <v>宁武县</v>
      </c>
      <c r="G149" s="12" t="str">
        <f ca="1">VLOOKUP(F149,Table12[[Native]:[Population4]],5,FALSE)</f>
        <v>忻州市</v>
      </c>
    </row>
    <row r="150" spans="1:7" ht="15.75" thickBot="1" x14ac:dyDescent="0.3">
      <c r="A150" t="s">
        <v>2400</v>
      </c>
      <c r="B150" s="1" t="s">
        <v>2401</v>
      </c>
      <c r="C150" s="1" t="s">
        <v>17</v>
      </c>
      <c r="D150" s="1" t="s">
        <v>2121</v>
      </c>
      <c r="E150" s="9">
        <v>6157</v>
      </c>
      <c r="F150" s="1" t="str">
        <f>VLOOKUP(D150,Table12[[Name]:[Native]],3,FALSE)</f>
        <v>宁武县</v>
      </c>
      <c r="G150" s="12" t="str">
        <f ca="1">VLOOKUP(F150,Table12[[Native]:[Population4]],5,FALSE)</f>
        <v>忻州市</v>
      </c>
    </row>
    <row r="151" spans="1:7" ht="15.75" thickBot="1" x14ac:dyDescent="0.3">
      <c r="A151" t="s">
        <v>1347</v>
      </c>
      <c r="B151" s="1" t="s">
        <v>1348</v>
      </c>
      <c r="C151" s="1" t="s">
        <v>17</v>
      </c>
      <c r="D151" s="1" t="s">
        <v>2137</v>
      </c>
      <c r="E151" s="9">
        <v>6594</v>
      </c>
      <c r="F151" s="1" t="str">
        <f>VLOOKUP(D151,Table12[[Name]:[Native]],3,FALSE)</f>
        <v>静乐县</v>
      </c>
      <c r="G151" s="12" t="str">
        <f ca="1">VLOOKUP(F151,Table12[[Native]:[Population4]],5,FALSE)</f>
        <v>忻州市</v>
      </c>
    </row>
    <row r="152" spans="1:7" ht="15.75" thickBot="1" x14ac:dyDescent="0.3">
      <c r="A152" t="s">
        <v>2402</v>
      </c>
      <c r="B152" s="1" t="s">
        <v>2403</v>
      </c>
      <c r="C152" s="1" t="s">
        <v>17</v>
      </c>
      <c r="D152" s="1" t="s">
        <v>2190</v>
      </c>
      <c r="E152" s="9">
        <v>21437</v>
      </c>
      <c r="F152" s="1" t="str">
        <f>VLOOKUP(D152,Table12[[Name]:[Native]],3,FALSE)</f>
        <v>代县</v>
      </c>
      <c r="G152" s="12" t="str">
        <f ca="1">VLOOKUP(F152,Table12[[Native]:[Population4]],5,FALSE)</f>
        <v>忻州市</v>
      </c>
    </row>
    <row r="153" spans="1:7" ht="15.75" thickBot="1" x14ac:dyDescent="0.3">
      <c r="A153" t="s">
        <v>2404</v>
      </c>
      <c r="B153" s="1" t="s">
        <v>2405</v>
      </c>
      <c r="C153" s="1" t="s">
        <v>17</v>
      </c>
      <c r="D153" s="1" t="s">
        <v>2173</v>
      </c>
      <c r="E153" s="9">
        <v>3500</v>
      </c>
      <c r="F153" s="1" t="str">
        <f>VLOOKUP(D153,Table12[[Name]:[Native]],3,FALSE)</f>
        <v>五寨县</v>
      </c>
      <c r="G153" s="12" t="str">
        <f ca="1">VLOOKUP(F153,Table12[[Native]:[Population4]],5,FALSE)</f>
        <v>忻州市</v>
      </c>
    </row>
    <row r="154" spans="1:7" ht="15.75" thickBot="1" x14ac:dyDescent="0.3">
      <c r="A154" t="s">
        <v>2406</v>
      </c>
      <c r="B154" s="1" t="s">
        <v>2407</v>
      </c>
      <c r="C154" s="1" t="s">
        <v>7</v>
      </c>
      <c r="D154" s="1" t="s">
        <v>2132</v>
      </c>
      <c r="E154" s="9">
        <v>54981</v>
      </c>
      <c r="F154" s="1" t="str">
        <f>VLOOKUP(D154,Table12[[Name]:[Native]],3,FALSE)</f>
        <v>偏关县</v>
      </c>
      <c r="G154" s="12" t="str">
        <f ca="1">VLOOKUP(F154,Table12[[Native]:[Population4]],5,FALSE)</f>
        <v>忻州市</v>
      </c>
    </row>
    <row r="155" spans="1:7" ht="15.75" thickBot="1" x14ac:dyDescent="0.3">
      <c r="A155" t="s">
        <v>2408</v>
      </c>
      <c r="B155" s="1" t="s">
        <v>2409</v>
      </c>
      <c r="C155" s="1" t="s">
        <v>17</v>
      </c>
      <c r="D155" s="1" t="s">
        <v>2106</v>
      </c>
      <c r="E155" s="9">
        <v>17375</v>
      </c>
      <c r="F155" s="1" t="str">
        <f>VLOOKUP(D155,Table12[[Name]:[Native]],3,FALSE)</f>
        <v>繁峙县</v>
      </c>
      <c r="G155" s="12" t="str">
        <f ca="1">VLOOKUP(F155,Table12[[Native]:[Population4]],5,FALSE)</f>
        <v>忻州市</v>
      </c>
    </row>
    <row r="156" spans="1:7" ht="15.75" thickBot="1" x14ac:dyDescent="0.3">
      <c r="A156" t="s">
        <v>2410</v>
      </c>
      <c r="B156" s="1" t="s">
        <v>2411</v>
      </c>
      <c r="C156" s="1" t="s">
        <v>31</v>
      </c>
      <c r="D156" s="1" t="s">
        <v>2116</v>
      </c>
      <c r="E156" s="9">
        <v>74886</v>
      </c>
      <c r="F156" s="1" t="str">
        <f>VLOOKUP(D156,Table12[[Name]:[Native]],3,FALSE)</f>
        <v>忻府区</v>
      </c>
      <c r="G156" s="12" t="str">
        <f ca="1">VLOOKUP(F156,Table12[[Native]:[Population4]],5,FALSE)</f>
        <v>忻州市</v>
      </c>
    </row>
    <row r="157" spans="1:7" ht="15.75" thickBot="1" x14ac:dyDescent="0.3">
      <c r="A157" t="s">
        <v>2412</v>
      </c>
      <c r="B157" s="1" t="s">
        <v>2413</v>
      </c>
      <c r="C157" s="1" t="s">
        <v>17</v>
      </c>
      <c r="D157" s="1" t="s">
        <v>2113</v>
      </c>
      <c r="E157" s="9">
        <v>44058</v>
      </c>
      <c r="F157" s="1" t="str">
        <f>VLOOKUP(D157,Table12[[Name]:[Native]],3,FALSE)</f>
        <v>原平市</v>
      </c>
      <c r="G157" s="12" t="str">
        <f ca="1">VLOOKUP(F157,Table12[[Native]:[Population4]],5,FALSE)</f>
        <v>忻州市</v>
      </c>
    </row>
    <row r="158" spans="1:7" ht="15.75" thickBot="1" x14ac:dyDescent="0.3">
      <c r="A158" t="s">
        <v>2414</v>
      </c>
      <c r="B158" s="1" t="s">
        <v>2415</v>
      </c>
      <c r="C158" s="1" t="s">
        <v>17</v>
      </c>
      <c r="D158" s="1" t="s">
        <v>2173</v>
      </c>
      <c r="E158" s="9">
        <v>5026</v>
      </c>
      <c r="F158" s="1" t="str">
        <f>VLOOKUP(D158,Table12[[Name]:[Native]],3,FALSE)</f>
        <v>五寨县</v>
      </c>
      <c r="G158" s="12" t="str">
        <f ca="1">VLOOKUP(F158,Table12[[Native]:[Population4]],5,FALSE)</f>
        <v>忻州市</v>
      </c>
    </row>
    <row r="159" spans="1:7" ht="15.75" thickBot="1" x14ac:dyDescent="0.3">
      <c r="A159" t="s">
        <v>2416</v>
      </c>
      <c r="B159" s="1" t="s">
        <v>2417</v>
      </c>
      <c r="C159" s="1" t="s">
        <v>31</v>
      </c>
      <c r="D159" s="1" t="s">
        <v>2116</v>
      </c>
      <c r="E159" s="9">
        <v>44863</v>
      </c>
      <c r="F159" s="1" t="str">
        <f>VLOOKUP(D159,Table12[[Name]:[Native]],3,FALSE)</f>
        <v>忻府区</v>
      </c>
      <c r="G159" s="12" t="str">
        <f ca="1">VLOOKUP(F159,Table12[[Native]:[Population4]],5,FALSE)</f>
        <v>忻州市</v>
      </c>
    </row>
    <row r="160" spans="1:7" ht="15.75" thickBot="1" x14ac:dyDescent="0.3">
      <c r="A160" t="s">
        <v>2418</v>
      </c>
      <c r="B160" s="1" t="s">
        <v>2419</v>
      </c>
      <c r="C160" s="1" t="s">
        <v>7</v>
      </c>
      <c r="D160" s="1" t="s">
        <v>2116</v>
      </c>
      <c r="E160" s="9">
        <v>12754</v>
      </c>
      <c r="F160" s="1" t="str">
        <f>VLOOKUP(D160,Table12[[Name]:[Native]],3,FALSE)</f>
        <v>忻府区</v>
      </c>
      <c r="G160" s="12" t="str">
        <f ca="1">VLOOKUP(F160,Table12[[Native]:[Population4]],5,FALSE)</f>
        <v>忻州市</v>
      </c>
    </row>
    <row r="161" spans="1:7" ht="15.75" thickBot="1" x14ac:dyDescent="0.3">
      <c r="A161" t="s">
        <v>2420</v>
      </c>
      <c r="B161" s="1" t="s">
        <v>2421</v>
      </c>
      <c r="C161" s="1" t="s">
        <v>17</v>
      </c>
      <c r="D161" s="1" t="s">
        <v>2113</v>
      </c>
      <c r="E161" s="9">
        <v>30614</v>
      </c>
      <c r="F161" s="1" t="str">
        <f>VLOOKUP(D161,Table12[[Name]:[Native]],3,FALSE)</f>
        <v>原平市</v>
      </c>
      <c r="G161" s="12" t="str">
        <f ca="1">VLOOKUP(F161,Table12[[Native]:[Population4]],5,FALSE)</f>
        <v>忻州市</v>
      </c>
    </row>
    <row r="162" spans="1:7" ht="15.75" thickBot="1" x14ac:dyDescent="0.3">
      <c r="A162" t="s">
        <v>2422</v>
      </c>
      <c r="B162" s="1" t="s">
        <v>2423</v>
      </c>
      <c r="C162" s="1" t="s">
        <v>7</v>
      </c>
      <c r="D162" s="1" t="s">
        <v>2113</v>
      </c>
      <c r="E162" s="9">
        <v>19963</v>
      </c>
      <c r="F162" s="1" t="str">
        <f>VLOOKUP(D162,Table12[[Name]:[Native]],3,FALSE)</f>
        <v>原平市</v>
      </c>
      <c r="G162" s="12" t="str">
        <f ca="1">VLOOKUP(F162,Table12[[Native]:[Population4]],5,FALSE)</f>
        <v>忻州市</v>
      </c>
    </row>
    <row r="163" spans="1:7" ht="15.75" thickBot="1" x14ac:dyDescent="0.3">
      <c r="A163" t="s">
        <v>2424</v>
      </c>
      <c r="B163" s="1" t="s">
        <v>2425</v>
      </c>
      <c r="C163" s="1" t="s">
        <v>31</v>
      </c>
      <c r="D163" s="1" t="s">
        <v>2113</v>
      </c>
      <c r="E163" s="9">
        <v>32319</v>
      </c>
      <c r="F163" s="1" t="str">
        <f>VLOOKUP(D163,Table12[[Name]:[Native]],3,FALSE)</f>
        <v>原平市</v>
      </c>
      <c r="G163" s="12" t="str">
        <f ca="1">VLOOKUP(F163,Table12[[Native]:[Population4]],5,FALSE)</f>
        <v>忻州市</v>
      </c>
    </row>
    <row r="164" spans="1:7" ht="15.75" thickBot="1" x14ac:dyDescent="0.3">
      <c r="A164" t="s">
        <v>2426</v>
      </c>
      <c r="B164" s="1" t="s">
        <v>2427</v>
      </c>
      <c r="C164" s="1" t="s">
        <v>17</v>
      </c>
      <c r="D164" s="1" t="s">
        <v>2121</v>
      </c>
      <c r="E164" s="9">
        <v>5661</v>
      </c>
      <c r="F164" s="1" t="str">
        <f>VLOOKUP(D164,Table12[[Name]:[Native]],3,FALSE)</f>
        <v>宁武县</v>
      </c>
      <c r="G164" s="12" t="str">
        <f ca="1">VLOOKUP(F164,Table12[[Native]:[Population4]],5,FALSE)</f>
        <v>忻州市</v>
      </c>
    </row>
    <row r="165" spans="1:7" ht="15.75" thickBot="1" x14ac:dyDescent="0.3">
      <c r="A165" t="s">
        <v>2428</v>
      </c>
      <c r="B165" s="1" t="s">
        <v>2429</v>
      </c>
      <c r="C165" s="1" t="s">
        <v>31</v>
      </c>
      <c r="D165" s="1" t="s">
        <v>2116</v>
      </c>
      <c r="E165" s="9">
        <v>21914</v>
      </c>
      <c r="F165" s="1" t="str">
        <f>VLOOKUP(D165,Table12[[Name]:[Native]],3,FALSE)</f>
        <v>忻府区</v>
      </c>
      <c r="G165" s="12" t="str">
        <f ca="1">VLOOKUP(F165,Table12[[Native]:[Population4]],5,FALSE)</f>
        <v>忻州市</v>
      </c>
    </row>
    <row r="166" spans="1:7" ht="15.75" thickBot="1" x14ac:dyDescent="0.3">
      <c r="A166" t="s">
        <v>2430</v>
      </c>
      <c r="B166" s="1" t="s">
        <v>2431</v>
      </c>
      <c r="C166" s="1" t="s">
        <v>7</v>
      </c>
      <c r="D166" s="1" t="s">
        <v>2147</v>
      </c>
      <c r="E166" s="9">
        <v>15044</v>
      </c>
      <c r="F166" s="1" t="str">
        <f>VLOOKUP(D166,Table12[[Name]:[Native]],3,FALSE)</f>
        <v>河曲县</v>
      </c>
      <c r="G166" s="12" t="str">
        <f ca="1">VLOOKUP(F166,Table12[[Native]:[Population4]],5,FALSE)</f>
        <v>忻州市</v>
      </c>
    </row>
    <row r="167" spans="1:7" ht="15.75" thickBot="1" x14ac:dyDescent="0.3">
      <c r="A167" t="s">
        <v>2432</v>
      </c>
      <c r="B167" s="1" t="s">
        <v>2433</v>
      </c>
      <c r="C167" s="1" t="s">
        <v>7</v>
      </c>
      <c r="D167" s="1" t="s">
        <v>2173</v>
      </c>
      <c r="E167" s="9">
        <v>44962</v>
      </c>
      <c r="F167" s="1" t="str">
        <f>VLOOKUP(D167,Table12[[Name]:[Native]],3,FALSE)</f>
        <v>五寨县</v>
      </c>
      <c r="G167" s="12" t="str">
        <f ca="1">VLOOKUP(F167,Table12[[Native]:[Population4]],5,FALSE)</f>
        <v>忻州市</v>
      </c>
    </row>
    <row r="168" spans="1:7" ht="15.75" thickBot="1" x14ac:dyDescent="0.3">
      <c r="A168" t="s">
        <v>2434</v>
      </c>
      <c r="B168" s="1" t="s">
        <v>2435</v>
      </c>
      <c r="C168" s="1" t="s">
        <v>17</v>
      </c>
      <c r="D168" s="1" t="s">
        <v>2109</v>
      </c>
      <c r="E168" s="9">
        <v>21424</v>
      </c>
      <c r="F168" s="1" t="str">
        <f>VLOOKUP(D168,Table12[[Name]:[Native]],3,FALSE)</f>
        <v>五台县</v>
      </c>
      <c r="G168" s="12" t="str">
        <f ca="1">VLOOKUP(F168,Table12[[Native]:[Population4]],5,FALSE)</f>
        <v>忻州市</v>
      </c>
    </row>
    <row r="169" spans="1:7" ht="15.75" thickBot="1" x14ac:dyDescent="0.3">
      <c r="A169" t="s">
        <v>2436</v>
      </c>
      <c r="B169" s="1" t="s">
        <v>2437</v>
      </c>
      <c r="C169" s="1" t="s">
        <v>35</v>
      </c>
      <c r="D169" s="1" t="s">
        <v>2121</v>
      </c>
      <c r="E169" s="9">
        <v>6488</v>
      </c>
      <c r="F169" s="1" t="str">
        <f>VLOOKUP(D169,Table12[[Name]:[Native]],3,FALSE)</f>
        <v>宁武县</v>
      </c>
      <c r="G169" s="12" t="str">
        <f ca="1">VLOOKUP(F169,Table12[[Native]:[Population4]],5,FALSE)</f>
        <v>忻州市</v>
      </c>
    </row>
    <row r="170" spans="1:7" ht="15.75" thickBot="1" x14ac:dyDescent="0.3">
      <c r="A170" t="s">
        <v>2438</v>
      </c>
      <c r="B170" s="1" t="s">
        <v>2439</v>
      </c>
      <c r="C170" s="1" t="s">
        <v>7</v>
      </c>
      <c r="D170" s="1" t="s">
        <v>2121</v>
      </c>
      <c r="E170" s="9">
        <v>11605</v>
      </c>
      <c r="F170" s="1" t="str">
        <f>VLOOKUP(D170,Table12[[Name]:[Native]],3,FALSE)</f>
        <v>宁武县</v>
      </c>
      <c r="G170" s="12" t="str">
        <f ca="1">VLOOKUP(F170,Table12[[Native]:[Population4]],5,FALSE)</f>
        <v>忻州市</v>
      </c>
    </row>
    <row r="171" spans="1:7" ht="15.75" thickBot="1" x14ac:dyDescent="0.3">
      <c r="A171" t="s">
        <v>2440</v>
      </c>
      <c r="B171" s="1" t="s">
        <v>2441</v>
      </c>
      <c r="C171" s="1" t="s">
        <v>17</v>
      </c>
      <c r="D171" s="1" t="s">
        <v>2221</v>
      </c>
      <c r="E171" s="9">
        <v>16054</v>
      </c>
      <c r="F171" s="1" t="str">
        <f>VLOOKUP(D171,Table12[[Name]:[Native]],3,FALSE)</f>
        <v>定襄县</v>
      </c>
      <c r="G171" s="12" t="str">
        <f ca="1">VLOOKUP(F171,Table12[[Native]:[Population4]],5,FALSE)</f>
        <v>忻州市</v>
      </c>
    </row>
    <row r="172" spans="1:7" ht="15.75" thickBot="1" x14ac:dyDescent="0.3">
      <c r="A172" t="s">
        <v>2442</v>
      </c>
      <c r="B172" s="1" t="s">
        <v>2443</v>
      </c>
      <c r="C172" s="1" t="s">
        <v>7</v>
      </c>
      <c r="D172" s="1" t="s">
        <v>2158</v>
      </c>
      <c r="E172" s="9">
        <v>7874</v>
      </c>
      <c r="F172" s="1" t="str">
        <f>VLOOKUP(D172,Table12[[Name]:[Native]],3,FALSE)</f>
        <v>保德县</v>
      </c>
      <c r="G172" s="12" t="str">
        <f ca="1">VLOOKUP(F172,Table12[[Native]:[Population4]],5,FALSE)</f>
        <v>忻州市</v>
      </c>
    </row>
    <row r="173" spans="1:7" ht="15.75" thickBot="1" x14ac:dyDescent="0.3">
      <c r="A173" t="s">
        <v>2444</v>
      </c>
      <c r="B173" s="1" t="s">
        <v>2445</v>
      </c>
      <c r="C173" s="1" t="s">
        <v>7</v>
      </c>
      <c r="D173" s="1" t="s">
        <v>2190</v>
      </c>
      <c r="E173" s="9">
        <v>19840</v>
      </c>
      <c r="F173" s="1" t="str">
        <f>VLOOKUP(D173,Table12[[Name]:[Native]],3,FALSE)</f>
        <v>代县</v>
      </c>
      <c r="G173" s="12" t="str">
        <f ca="1">VLOOKUP(F173,Table12[[Native]:[Population4]],5,FALSE)</f>
        <v>忻州市</v>
      </c>
    </row>
    <row r="174" spans="1:7" ht="15.75" thickBot="1" x14ac:dyDescent="0.3">
      <c r="A174" t="s">
        <v>2446</v>
      </c>
      <c r="B174" s="1" t="s">
        <v>2447</v>
      </c>
      <c r="C174" s="1" t="s">
        <v>17</v>
      </c>
      <c r="D174" s="1" t="s">
        <v>2113</v>
      </c>
      <c r="E174" s="9">
        <v>19381</v>
      </c>
      <c r="F174" s="1" t="str">
        <f>VLOOKUP(D174,Table12[[Name]:[Native]],3,FALSE)</f>
        <v>原平市</v>
      </c>
      <c r="G174" s="12" t="str">
        <f ca="1">VLOOKUP(F174,Table12[[Native]:[Population4]],5,FALSE)</f>
        <v>忻州市</v>
      </c>
    </row>
    <row r="175" spans="1:7" ht="15.75" thickBot="1" x14ac:dyDescent="0.3">
      <c r="A175" t="s">
        <v>2448</v>
      </c>
      <c r="B175" s="1" t="s">
        <v>2449</v>
      </c>
      <c r="C175" s="1" t="s">
        <v>17</v>
      </c>
      <c r="D175" s="1" t="s">
        <v>2140</v>
      </c>
      <c r="E175" s="9">
        <v>2579</v>
      </c>
      <c r="F175" s="1" t="str">
        <f>VLOOKUP(D175,Table12[[Name]:[Native]],3,FALSE)</f>
        <v>岢岚县</v>
      </c>
      <c r="G175" s="12" t="str">
        <f ca="1">VLOOKUP(F175,Table12[[Native]:[Population4]],5,FALSE)</f>
        <v>忻州市</v>
      </c>
    </row>
    <row r="176" spans="1:7" ht="15.75" thickBot="1" x14ac:dyDescent="0.3">
      <c r="A176" t="s">
        <v>2450</v>
      </c>
      <c r="B176" s="1" t="s">
        <v>2451</v>
      </c>
      <c r="C176" s="1" t="s">
        <v>17</v>
      </c>
      <c r="D176" s="1" t="s">
        <v>2116</v>
      </c>
      <c r="E176" s="9">
        <v>2551</v>
      </c>
      <c r="F176" s="1" t="str">
        <f>VLOOKUP(D176,Table12[[Name]:[Native]],3,FALSE)</f>
        <v>忻府区</v>
      </c>
      <c r="G176" s="12" t="str">
        <f ca="1">VLOOKUP(F176,Table12[[Native]:[Population4]],5,FALSE)</f>
        <v>忻州市</v>
      </c>
    </row>
    <row r="177" spans="1:7" ht="15.75" thickBot="1" x14ac:dyDescent="0.3">
      <c r="A177" t="s">
        <v>2452</v>
      </c>
      <c r="B177" s="1" t="s">
        <v>2453</v>
      </c>
      <c r="C177" s="1" t="s">
        <v>7</v>
      </c>
      <c r="D177" s="1" t="s">
        <v>2190</v>
      </c>
      <c r="E177" s="9">
        <v>7863</v>
      </c>
      <c r="F177" s="1" t="str">
        <f>VLOOKUP(D177,Table12[[Name]:[Native]],3,FALSE)</f>
        <v>代县</v>
      </c>
      <c r="G177" s="12" t="str">
        <f ca="1">VLOOKUP(F177,Table12[[Native]:[Population4]],5,FALSE)</f>
        <v>忻州市</v>
      </c>
    </row>
    <row r="178" spans="1:7" ht="15.75" thickBot="1" x14ac:dyDescent="0.3">
      <c r="A178" t="s">
        <v>2454</v>
      </c>
      <c r="B178" s="1" t="s">
        <v>2455</v>
      </c>
      <c r="C178" s="1" t="s">
        <v>17</v>
      </c>
      <c r="D178" s="1" t="s">
        <v>2106</v>
      </c>
      <c r="E178" s="9">
        <v>6615</v>
      </c>
      <c r="F178" s="1" t="str">
        <f>VLOOKUP(D178,Table12[[Name]:[Native]],3,FALSE)</f>
        <v>繁峙县</v>
      </c>
      <c r="G178" s="12" t="str">
        <f ca="1">VLOOKUP(F178,Table12[[Native]:[Population4]],5,FALSE)</f>
        <v>忻州市</v>
      </c>
    </row>
    <row r="179" spans="1:7" ht="15.75" thickBot="1" x14ac:dyDescent="0.3">
      <c r="A179" t="s">
        <v>2456</v>
      </c>
      <c r="B179" s="1" t="s">
        <v>2457</v>
      </c>
      <c r="C179" s="1" t="s">
        <v>7</v>
      </c>
      <c r="D179" s="1" t="s">
        <v>2113</v>
      </c>
      <c r="E179" s="9">
        <v>21791</v>
      </c>
      <c r="F179" s="1" t="str">
        <f>VLOOKUP(D179,Table12[[Name]:[Native]],3,FALSE)</f>
        <v>原平市</v>
      </c>
      <c r="G179" s="12" t="str">
        <f ca="1">VLOOKUP(F179,Table12[[Native]:[Population4]],5,FALSE)</f>
        <v>忻州市</v>
      </c>
    </row>
    <row r="180" spans="1:7" ht="15.75" thickBot="1" x14ac:dyDescent="0.3">
      <c r="A180" t="s">
        <v>2458</v>
      </c>
      <c r="B180" s="1" t="s">
        <v>2459</v>
      </c>
      <c r="C180" s="1" t="s">
        <v>17</v>
      </c>
      <c r="D180" s="1" t="s">
        <v>2158</v>
      </c>
      <c r="E180" s="9">
        <v>3719</v>
      </c>
      <c r="F180" s="1" t="str">
        <f>VLOOKUP(D180,Table12[[Name]:[Native]],3,FALSE)</f>
        <v>保德县</v>
      </c>
      <c r="G180" s="12" t="str">
        <f ca="1">VLOOKUP(F180,Table12[[Native]:[Population4]],5,FALSE)</f>
        <v>忻州市</v>
      </c>
    </row>
    <row r="181" spans="1:7" ht="15.75" thickBot="1" x14ac:dyDescent="0.3">
      <c r="A181" t="s">
        <v>2460</v>
      </c>
      <c r="B181" s="1" t="s">
        <v>2461</v>
      </c>
      <c r="C181" s="1" t="s">
        <v>17</v>
      </c>
      <c r="D181" s="1" t="s">
        <v>2132</v>
      </c>
      <c r="E181" s="9">
        <v>11371</v>
      </c>
      <c r="F181" s="1" t="str">
        <f>VLOOKUP(D181,Table12[[Name]:[Native]],3,FALSE)</f>
        <v>偏关县</v>
      </c>
      <c r="G181" s="12" t="str">
        <f ca="1">VLOOKUP(F181,Table12[[Native]:[Population4]],5,FALSE)</f>
        <v>忻州市</v>
      </c>
    </row>
    <row r="182" spans="1:7" ht="15.75" thickBot="1" x14ac:dyDescent="0.3">
      <c r="A182" t="s">
        <v>2462</v>
      </c>
      <c r="B182" s="1" t="s">
        <v>2463</v>
      </c>
      <c r="C182" s="1" t="s">
        <v>17</v>
      </c>
      <c r="D182" s="1" t="s">
        <v>2158</v>
      </c>
      <c r="E182" s="9">
        <v>3836</v>
      </c>
      <c r="F182" s="1" t="str">
        <f>VLOOKUP(D182,Table12[[Name]:[Native]],3,FALSE)</f>
        <v>保德县</v>
      </c>
      <c r="G182" s="12" t="str">
        <f ca="1">VLOOKUP(F182,Table12[[Native]:[Population4]],5,FALSE)</f>
        <v>忻州市</v>
      </c>
    </row>
    <row r="183" spans="1:7" ht="15.75" thickBot="1" x14ac:dyDescent="0.3">
      <c r="A183" t="s">
        <v>2464</v>
      </c>
      <c r="B183" s="1" t="s">
        <v>2465</v>
      </c>
      <c r="C183" s="1" t="s">
        <v>17</v>
      </c>
      <c r="D183" s="1" t="s">
        <v>2158</v>
      </c>
      <c r="E183" s="9">
        <v>6873</v>
      </c>
      <c r="F183" s="1" t="str">
        <f>VLOOKUP(D183,Table12[[Name]:[Native]],3,FALSE)</f>
        <v>保德县</v>
      </c>
      <c r="G183" s="12" t="str">
        <f ca="1">VLOOKUP(F183,Table12[[Native]:[Population4]],5,FALSE)</f>
        <v>忻州市</v>
      </c>
    </row>
    <row r="184" spans="1:7" ht="15.75" thickBot="1" x14ac:dyDescent="0.3">
      <c r="A184" t="s">
        <v>2466</v>
      </c>
      <c r="B184" s="1" t="s">
        <v>2467</v>
      </c>
      <c r="C184" s="1" t="s">
        <v>7</v>
      </c>
      <c r="D184" s="1" t="s">
        <v>2112</v>
      </c>
      <c r="E184" s="9">
        <v>11723</v>
      </c>
      <c r="F184" s="1" t="str">
        <f>VLOOKUP(D184,Table12[[Name]:[Native]],3,FALSE)</f>
        <v>神池县</v>
      </c>
      <c r="G184" s="12" t="str">
        <f ca="1">VLOOKUP(F184,Table12[[Native]:[Population4]],5,FALSE)</f>
        <v>忻州市</v>
      </c>
    </row>
    <row r="185" spans="1:7" ht="15.75" thickBot="1" x14ac:dyDescent="0.3">
      <c r="A185" t="s">
        <v>2468</v>
      </c>
      <c r="B185" s="1" t="s">
        <v>2469</v>
      </c>
      <c r="C185" s="1" t="s">
        <v>7</v>
      </c>
      <c r="D185" s="1" t="s">
        <v>2158</v>
      </c>
      <c r="E185" s="9">
        <v>15111</v>
      </c>
      <c r="F185" s="1" t="str">
        <f>VLOOKUP(D185,Table12[[Name]:[Native]],3,FALSE)</f>
        <v>保德县</v>
      </c>
      <c r="G185" s="12" t="str">
        <f ca="1">VLOOKUP(F185,Table12[[Native]:[Population4]],5,FALSE)</f>
        <v>忻州市</v>
      </c>
    </row>
    <row r="186" spans="1:7" ht="15.75" thickBot="1" x14ac:dyDescent="0.3">
      <c r="A186" t="s">
        <v>2470</v>
      </c>
      <c r="B186" s="1" t="s">
        <v>2471</v>
      </c>
      <c r="C186" s="1" t="s">
        <v>35</v>
      </c>
      <c r="D186" s="1" t="s">
        <v>2113</v>
      </c>
      <c r="E186" s="9">
        <v>2775</v>
      </c>
      <c r="F186" s="1" t="str">
        <f>VLOOKUP(D186,Table12[[Name]:[Native]],3,FALSE)</f>
        <v>原平市</v>
      </c>
      <c r="G186" s="12" t="str">
        <f ca="1">VLOOKUP(F186,Table12[[Native]:[Population4]],5,FALSE)</f>
        <v>忻州市</v>
      </c>
    </row>
    <row r="187" spans="1:7" ht="15.75" thickBot="1" x14ac:dyDescent="0.3">
      <c r="A187" s="1" t="s">
        <v>2472</v>
      </c>
      <c r="B187" s="1" t="s">
        <v>2473</v>
      </c>
      <c r="C187" s="1" t="s">
        <v>35</v>
      </c>
      <c r="D187" s="1" t="s">
        <v>2113</v>
      </c>
      <c r="E187" s="9">
        <v>2432</v>
      </c>
      <c r="F187" s="1" t="str">
        <f>VLOOKUP(D187,Table12[[Name]:[Native]],3,FALSE)</f>
        <v>原平市</v>
      </c>
      <c r="G187" s="12" t="str">
        <f ca="1">VLOOKUP(F187,Table12[[Native]:[Population4]],5,FALSE)</f>
        <v>忻州市</v>
      </c>
    </row>
    <row r="188" spans="1:7" ht="15.75" thickBot="1" x14ac:dyDescent="0.3">
      <c r="A188" t="s">
        <v>1044</v>
      </c>
      <c r="B188" s="1" t="s">
        <v>1045</v>
      </c>
      <c r="C188" s="1" t="s">
        <v>17</v>
      </c>
      <c r="D188" s="1" t="s">
        <v>2190</v>
      </c>
      <c r="E188" s="9">
        <v>17997</v>
      </c>
      <c r="F188" s="1" t="str">
        <f>VLOOKUP(D188,Table12[[Name]:[Native]],3,FALSE)</f>
        <v>代县</v>
      </c>
      <c r="G188" s="12" t="str">
        <f ca="1">VLOOKUP(F188,Table12[[Native]:[Population4]],5,FALSE)</f>
        <v>忻州市</v>
      </c>
    </row>
    <row r="189" spans="1:7" ht="15.75" thickBot="1" x14ac:dyDescent="0.3">
      <c r="A189" t="s">
        <v>2474</v>
      </c>
      <c r="B189" s="1" t="s">
        <v>2475</v>
      </c>
      <c r="C189" s="1" t="s">
        <v>31</v>
      </c>
      <c r="D189" s="1" t="s">
        <v>2116</v>
      </c>
      <c r="E189" s="9">
        <v>35870</v>
      </c>
      <c r="F189" s="1" t="str">
        <f>VLOOKUP(D189,Table12[[Name]:[Native]],3,FALSE)</f>
        <v>忻府区</v>
      </c>
      <c r="G189" s="12" t="str">
        <f ca="1">VLOOKUP(F189,Table12[[Native]:[Population4]],5,FALSE)</f>
        <v>忻州市</v>
      </c>
    </row>
    <row r="190" spans="1:7" ht="15.75" thickBot="1" x14ac:dyDescent="0.3">
      <c r="A190" t="s">
        <v>2476</v>
      </c>
      <c r="B190" s="1" t="s">
        <v>2477</v>
      </c>
      <c r="C190" s="1" t="s">
        <v>17</v>
      </c>
      <c r="D190" s="1" t="s">
        <v>2121</v>
      </c>
      <c r="E190" s="9">
        <v>7935</v>
      </c>
      <c r="F190" s="1" t="str">
        <f>VLOOKUP(D190,Table12[[Name]:[Native]],3,FALSE)</f>
        <v>宁武县</v>
      </c>
      <c r="G190" s="12" t="str">
        <f ca="1">VLOOKUP(F190,Table12[[Native]:[Population4]],5,FALSE)</f>
        <v>忻州市</v>
      </c>
    </row>
    <row r="191" spans="1:7" ht="15.75" thickBot="1" x14ac:dyDescent="0.3">
      <c r="A191" t="s">
        <v>2478</v>
      </c>
      <c r="B191" s="1" t="s">
        <v>2479</v>
      </c>
      <c r="C191" s="1" t="s">
        <v>7</v>
      </c>
      <c r="D191" s="1" t="s">
        <v>2190</v>
      </c>
      <c r="E191" s="9">
        <v>18537</v>
      </c>
      <c r="F191" s="1" t="str">
        <f>VLOOKUP(D191,Table12[[Name]:[Native]],3,FALSE)</f>
        <v>代县</v>
      </c>
      <c r="G191" s="12" t="str">
        <f ca="1">VLOOKUP(F191,Table12[[Native]:[Population4]],5,FALSE)</f>
        <v>忻州市</v>
      </c>
    </row>
    <row r="192" spans="1:7" ht="15.75" thickBot="1" x14ac:dyDescent="0.3">
      <c r="A192" t="s">
        <v>607</v>
      </c>
      <c r="B192" s="1" t="s">
        <v>608</v>
      </c>
      <c r="C192" s="1" t="s">
        <v>17</v>
      </c>
      <c r="D192" s="1" t="s">
        <v>2147</v>
      </c>
      <c r="E192" s="9">
        <v>1657</v>
      </c>
      <c r="F192" s="1" t="str">
        <f>VLOOKUP(D192,Table12[[Name]:[Native]],3,FALSE)</f>
        <v>河曲县</v>
      </c>
      <c r="G192" s="12" t="str">
        <f ca="1">VLOOKUP(F192,Table12[[Native]:[Population4]],5,FALSE)</f>
        <v>忻州市</v>
      </c>
    </row>
    <row r="193" spans="1:7" ht="15.75" thickBot="1" x14ac:dyDescent="0.3">
      <c r="A193" t="s">
        <v>2480</v>
      </c>
      <c r="B193" s="1" t="s">
        <v>2481</v>
      </c>
      <c r="C193" s="1" t="s">
        <v>17</v>
      </c>
      <c r="D193" s="1" t="s">
        <v>2113</v>
      </c>
      <c r="E193" s="9">
        <v>12691</v>
      </c>
      <c r="F193" s="1" t="str">
        <f>VLOOKUP(D193,Table12[[Name]:[Native]],3,FALSE)</f>
        <v>原平市</v>
      </c>
      <c r="G193" s="12" t="str">
        <f ca="1">VLOOKUP(F193,Table12[[Native]:[Population4]],5,FALSE)</f>
        <v>忻州市</v>
      </c>
    </row>
    <row r="194" spans="1:7" ht="15.75" thickBot="1" x14ac:dyDescent="0.3">
      <c r="A194" t="s">
        <v>2482</v>
      </c>
      <c r="B194" s="1" t="s">
        <v>2483</v>
      </c>
      <c r="C194" s="1" t="s">
        <v>17</v>
      </c>
      <c r="D194" s="1" t="s">
        <v>2137</v>
      </c>
      <c r="E194" s="9">
        <v>5921</v>
      </c>
      <c r="F194" s="1" t="str">
        <f>VLOOKUP(D194,Table12[[Name]:[Native]],3,FALSE)</f>
        <v>静乐县</v>
      </c>
      <c r="G194" s="12" t="str">
        <f ca="1">VLOOKUP(F194,Table12[[Native]:[Population4]],5,FALSE)</f>
        <v>忻州市</v>
      </c>
    </row>
    <row r="195" spans="1:7" ht="15.75" thickBot="1" x14ac:dyDescent="0.3">
      <c r="A195" t="s">
        <v>2484</v>
      </c>
      <c r="B195" s="1" t="s">
        <v>2485</v>
      </c>
      <c r="C195" s="1" t="s">
        <v>7</v>
      </c>
      <c r="D195" s="1" t="s">
        <v>2116</v>
      </c>
      <c r="E195" s="9">
        <v>12233</v>
      </c>
      <c r="F195" s="1" t="str">
        <f>VLOOKUP(D195,Table12[[Name]:[Native]],3,FALSE)</f>
        <v>忻府区</v>
      </c>
      <c r="G195" s="12" t="str">
        <f ca="1">VLOOKUP(F195,Table12[[Native]:[Population4]],5,FALSE)</f>
        <v>忻州市</v>
      </c>
    </row>
    <row r="196" spans="1:7" ht="15.75" thickBot="1" x14ac:dyDescent="0.3">
      <c r="A196" t="s">
        <v>2486</v>
      </c>
      <c r="B196" s="1" t="s">
        <v>2487</v>
      </c>
      <c r="C196" s="1" t="s">
        <v>17</v>
      </c>
      <c r="D196" s="1" t="s">
        <v>2113</v>
      </c>
      <c r="E196" s="9">
        <v>17206</v>
      </c>
      <c r="F196" s="1" t="str">
        <f>VLOOKUP(D196,Table12[[Name]:[Native]],3,FALSE)</f>
        <v>原平市</v>
      </c>
      <c r="G196" s="12" t="str">
        <f ca="1">VLOOKUP(F196,Table12[[Native]:[Population4]],5,FALSE)</f>
        <v>忻州市</v>
      </c>
    </row>
    <row r="197" spans="1:7" ht="15.75" thickBot="1" x14ac:dyDescent="0.3">
      <c r="A197" t="s">
        <v>2488</v>
      </c>
      <c r="B197" s="1" t="s">
        <v>2489</v>
      </c>
      <c r="C197" s="1" t="s">
        <v>17</v>
      </c>
      <c r="D197" s="1" t="s">
        <v>2116</v>
      </c>
      <c r="E197" s="9">
        <v>13645</v>
      </c>
      <c r="F197" s="8" t="str">
        <f>VLOOKUP(D197,Table12[[Name]:[Native]],3,FALSE)</f>
        <v>忻府区</v>
      </c>
      <c r="G197" s="12" t="str">
        <f ca="1">VLOOKUP(F197,Table12[[Native]:[Population4]],5,FALSE)</f>
        <v>忻州市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220EC-4020-448F-8356-CF4627118D7D}">
  <dimension ref="A1:G46"/>
  <sheetViews>
    <sheetView topLeftCell="A21" workbookViewId="0">
      <selection activeCell="G2" sqref="A2:G46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2490</v>
      </c>
      <c r="B2" s="1" t="s">
        <v>2491</v>
      </c>
      <c r="C2" s="1" t="s">
        <v>7</v>
      </c>
      <c r="D2" s="1" t="s">
        <v>2492</v>
      </c>
      <c r="E2" s="9">
        <v>19275</v>
      </c>
      <c r="F2" s="7" t="str">
        <f>VLOOKUP(D2,Table12[[Name]:[Native]],3,FALSE)</f>
        <v>平定县</v>
      </c>
      <c r="G2" s="12" t="str">
        <f ca="1">VLOOKUP(F2,Table12[[Native]:[Population4]],5,FALSE)</f>
        <v>阳泉市</v>
      </c>
    </row>
    <row r="3" spans="1:7" ht="15.75" thickBot="1" x14ac:dyDescent="0.3">
      <c r="A3" t="s">
        <v>2493</v>
      </c>
      <c r="B3" s="1" t="s">
        <v>2494</v>
      </c>
      <c r="C3" s="1" t="s">
        <v>31</v>
      </c>
      <c r="D3" s="1" t="s">
        <v>624</v>
      </c>
      <c r="E3" s="9">
        <v>34374</v>
      </c>
      <c r="F3" s="1" t="str">
        <f>VLOOKUP(D3,Table12[[Name]:[Native]],3,FALSE)</f>
        <v>城区</v>
      </c>
      <c r="G3" s="12" t="str">
        <f ca="1">VLOOKUP(F3,Table12[[Native]:[Population4]],5,FALSE)</f>
        <v>晋城市</v>
      </c>
    </row>
    <row r="4" spans="1:7" ht="15.75" thickBot="1" x14ac:dyDescent="0.3">
      <c r="A4" t="s">
        <v>2495</v>
      </c>
      <c r="B4" s="1" t="s">
        <v>2496</v>
      </c>
      <c r="C4" s="1" t="s">
        <v>17</v>
      </c>
      <c r="D4" s="1" t="s">
        <v>2497</v>
      </c>
      <c r="E4" s="9">
        <v>10985</v>
      </c>
      <c r="F4" s="1" t="str">
        <f>VLOOKUP(D4,Table12[[Name]:[Native]],3,FALSE)</f>
        <v>盂县</v>
      </c>
      <c r="G4" s="12" t="str">
        <f ca="1">VLOOKUP(F4,Table12[[Native]:[Population4]],5,FALSE)</f>
        <v>阳泉市</v>
      </c>
    </row>
    <row r="5" spans="1:7" ht="15.75" thickBot="1" x14ac:dyDescent="0.3">
      <c r="A5" t="s">
        <v>2498</v>
      </c>
      <c r="B5" s="1" t="s">
        <v>2499</v>
      </c>
      <c r="C5" s="1" t="s">
        <v>31</v>
      </c>
      <c r="D5" s="1" t="s">
        <v>2500</v>
      </c>
      <c r="E5" s="9">
        <v>41085</v>
      </c>
      <c r="F5" s="1" t="str">
        <f>VLOOKUP(D5,Table12[[Name]:[Native]],3,FALSE)</f>
        <v>矿区</v>
      </c>
      <c r="G5" s="12" t="str">
        <f ca="1">VLOOKUP(F5,Table12[[Native]:[Population4]],5,FALSE)</f>
        <v>阳泉市</v>
      </c>
    </row>
    <row r="6" spans="1:7" ht="15.75" thickBot="1" x14ac:dyDescent="0.3">
      <c r="A6" t="s">
        <v>1901</v>
      </c>
      <c r="B6" s="1" t="s">
        <v>1902</v>
      </c>
      <c r="C6" s="1" t="s">
        <v>17</v>
      </c>
      <c r="D6" s="1" t="s">
        <v>2492</v>
      </c>
      <c r="E6" s="9">
        <v>19372</v>
      </c>
      <c r="F6" s="1" t="str">
        <f>VLOOKUP(D6,Table12[[Name]:[Native]],3,FALSE)</f>
        <v>平定县</v>
      </c>
      <c r="G6" s="12" t="str">
        <f ca="1">VLOOKUP(F6,Table12[[Native]:[Population4]],5,FALSE)</f>
        <v>阳泉市</v>
      </c>
    </row>
    <row r="7" spans="1:7" ht="15.75" thickBot="1" x14ac:dyDescent="0.3">
      <c r="A7" t="s">
        <v>2501</v>
      </c>
      <c r="B7" s="1" t="s">
        <v>2502</v>
      </c>
      <c r="C7" s="1" t="s">
        <v>7</v>
      </c>
      <c r="D7" s="1" t="s">
        <v>2497</v>
      </c>
      <c r="E7" s="9">
        <v>24238</v>
      </c>
      <c r="F7" s="1" t="str">
        <f>VLOOKUP(D7,Table12[[Name]:[Native]],3,FALSE)</f>
        <v>盂县</v>
      </c>
      <c r="G7" s="12" t="str">
        <f ca="1">VLOOKUP(F7,Table12[[Native]:[Population4]],5,FALSE)</f>
        <v>阳泉市</v>
      </c>
    </row>
    <row r="8" spans="1:7" ht="15.75" thickBot="1" x14ac:dyDescent="0.3">
      <c r="A8" t="s">
        <v>2503</v>
      </c>
      <c r="B8" s="1" t="s">
        <v>2504</v>
      </c>
      <c r="C8" s="1" t="s">
        <v>7</v>
      </c>
      <c r="D8" s="1" t="s">
        <v>2492</v>
      </c>
      <c r="E8" s="9">
        <v>27735</v>
      </c>
      <c r="F8" s="1" t="str">
        <f>VLOOKUP(D8,Table12[[Name]:[Native]],3,FALSE)</f>
        <v>平定县</v>
      </c>
      <c r="G8" s="12" t="str">
        <f ca="1">VLOOKUP(F8,Table12[[Native]:[Population4]],5,FALSE)</f>
        <v>阳泉市</v>
      </c>
    </row>
    <row r="9" spans="1:7" ht="15.75" thickBot="1" x14ac:dyDescent="0.3">
      <c r="A9" t="s">
        <v>2505</v>
      </c>
      <c r="B9" s="1" t="s">
        <v>2506</v>
      </c>
      <c r="C9" s="1" t="s">
        <v>17</v>
      </c>
      <c r="D9" s="1" t="s">
        <v>2497</v>
      </c>
      <c r="E9" s="9">
        <v>9769</v>
      </c>
      <c r="F9" s="1" t="str">
        <f>VLOOKUP(D9,Table12[[Name]:[Native]],3,FALSE)</f>
        <v>盂县</v>
      </c>
      <c r="G9" s="12" t="str">
        <f ca="1">VLOOKUP(F9,Table12[[Native]:[Population4]],5,FALSE)</f>
        <v>阳泉市</v>
      </c>
    </row>
    <row r="10" spans="1:7" ht="15.75" thickBot="1" x14ac:dyDescent="0.3">
      <c r="A10" t="s">
        <v>2507</v>
      </c>
      <c r="B10" s="1" t="s">
        <v>2508</v>
      </c>
      <c r="C10" s="1" t="s">
        <v>7</v>
      </c>
      <c r="D10" s="1" t="s">
        <v>2492</v>
      </c>
      <c r="E10" s="9">
        <v>122675</v>
      </c>
      <c r="F10" s="1" t="str">
        <f>VLOOKUP(D10,Table12[[Name]:[Native]],3,FALSE)</f>
        <v>平定县</v>
      </c>
      <c r="G10" s="12" t="str">
        <f ca="1">VLOOKUP(F10,Table12[[Native]:[Population4]],5,FALSE)</f>
        <v>阳泉市</v>
      </c>
    </row>
    <row r="11" spans="1:7" ht="15.75" thickBot="1" x14ac:dyDescent="0.3">
      <c r="A11" t="s">
        <v>2509</v>
      </c>
      <c r="B11" s="1" t="s">
        <v>2510</v>
      </c>
      <c r="C11" s="1" t="s">
        <v>31</v>
      </c>
      <c r="D11" s="1" t="s">
        <v>2500</v>
      </c>
      <c r="E11" s="9">
        <v>20560</v>
      </c>
      <c r="F11" s="1" t="str">
        <f>VLOOKUP(D11,Table12[[Name]:[Native]],3,FALSE)</f>
        <v>矿区</v>
      </c>
      <c r="G11" s="12" t="str">
        <f ca="1">VLOOKUP(F11,Table12[[Native]:[Population4]],5,FALSE)</f>
        <v>阳泉市</v>
      </c>
    </row>
    <row r="12" spans="1:7" ht="15.75" thickBot="1" x14ac:dyDescent="0.3">
      <c r="A12" t="s">
        <v>2511</v>
      </c>
      <c r="B12" s="1" t="s">
        <v>2512</v>
      </c>
      <c r="C12" s="1" t="s">
        <v>7</v>
      </c>
      <c r="D12" s="1" t="s">
        <v>2513</v>
      </c>
      <c r="E12" s="9">
        <v>44032</v>
      </c>
      <c r="F12" s="1" t="str">
        <f>VLOOKUP(D12,Table12[[Name]:[Native]],3,FALSE)</f>
        <v>郊区</v>
      </c>
      <c r="G12" s="12" t="str">
        <f ca="1">VLOOKUP(F12,Table12[[Native]:[Population4]],5,FALSE)</f>
        <v>阳泉市</v>
      </c>
    </row>
    <row r="13" spans="1:7" ht="15.75" thickBot="1" x14ac:dyDescent="0.3">
      <c r="A13" t="s">
        <v>2514</v>
      </c>
      <c r="B13" s="1" t="s">
        <v>2515</v>
      </c>
      <c r="C13" s="1" t="s">
        <v>17</v>
      </c>
      <c r="D13" s="1" t="s">
        <v>2513</v>
      </c>
      <c r="E13" s="9">
        <v>6384</v>
      </c>
      <c r="F13" s="1" t="str">
        <f>VLOOKUP(D13,Table12[[Name]:[Native]],3,FALSE)</f>
        <v>郊区</v>
      </c>
      <c r="G13" s="12" t="str">
        <f ca="1">VLOOKUP(F13,Table12[[Native]:[Population4]],5,FALSE)</f>
        <v>阳泉市</v>
      </c>
    </row>
    <row r="14" spans="1:7" ht="15.75" thickBot="1" x14ac:dyDescent="0.3">
      <c r="A14" t="s">
        <v>2516</v>
      </c>
      <c r="B14" s="1" t="s">
        <v>2517</v>
      </c>
      <c r="C14" s="1" t="s">
        <v>7</v>
      </c>
      <c r="D14" s="1" t="s">
        <v>2492</v>
      </c>
      <c r="E14" s="9">
        <v>27018</v>
      </c>
      <c r="F14" s="1" t="str">
        <f>VLOOKUP(D14,Table12[[Name]:[Native]],3,FALSE)</f>
        <v>平定县</v>
      </c>
      <c r="G14" s="12" t="str">
        <f ca="1">VLOOKUP(F14,Table12[[Native]:[Population4]],5,FALSE)</f>
        <v>阳泉市</v>
      </c>
    </row>
    <row r="15" spans="1:7" ht="15.75" thickBot="1" x14ac:dyDescent="0.3">
      <c r="A15" t="s">
        <v>2518</v>
      </c>
      <c r="B15" s="1" t="s">
        <v>2519</v>
      </c>
      <c r="C15" s="1" t="s">
        <v>35</v>
      </c>
      <c r="D15" s="1" t="s">
        <v>2513</v>
      </c>
      <c r="E15" s="9">
        <v>50715</v>
      </c>
      <c r="F15" s="1" t="str">
        <f>VLOOKUP(D15,Table12[[Name]:[Native]],3,FALSE)</f>
        <v>郊区</v>
      </c>
      <c r="G15" s="12" t="str">
        <f ca="1">VLOOKUP(F15,Table12[[Native]:[Population4]],5,FALSE)</f>
        <v>阳泉市</v>
      </c>
    </row>
    <row r="16" spans="1:7" ht="15.75" thickBot="1" x14ac:dyDescent="0.3">
      <c r="A16" t="s">
        <v>2520</v>
      </c>
      <c r="B16" s="1" t="s">
        <v>2521</v>
      </c>
      <c r="C16" s="1" t="s">
        <v>17</v>
      </c>
      <c r="D16" s="1" t="s">
        <v>2497</v>
      </c>
      <c r="E16" s="9">
        <v>9345</v>
      </c>
      <c r="F16" s="1" t="str">
        <f>VLOOKUP(D16,Table12[[Name]:[Native]],3,FALSE)</f>
        <v>盂县</v>
      </c>
      <c r="G16" s="12" t="str">
        <f ca="1">VLOOKUP(F16,Table12[[Native]:[Population4]],5,FALSE)</f>
        <v>阳泉市</v>
      </c>
    </row>
    <row r="17" spans="1:7" ht="15.75" thickBot="1" x14ac:dyDescent="0.3">
      <c r="A17" t="s">
        <v>910</v>
      </c>
      <c r="B17" s="1" t="s">
        <v>911</v>
      </c>
      <c r="C17" s="1" t="s">
        <v>17</v>
      </c>
      <c r="D17" s="1" t="s">
        <v>2513</v>
      </c>
      <c r="E17" s="9">
        <v>19447</v>
      </c>
      <c r="F17" s="1" t="str">
        <f>VLOOKUP(D17,Table12[[Name]:[Native]],3,FALSE)</f>
        <v>郊区</v>
      </c>
      <c r="G17" s="12" t="str">
        <f ca="1">VLOOKUP(F17,Table12[[Native]:[Population4]],5,FALSE)</f>
        <v>阳泉市</v>
      </c>
    </row>
    <row r="18" spans="1:7" ht="15.75" thickBot="1" x14ac:dyDescent="0.3">
      <c r="A18" t="s">
        <v>2522</v>
      </c>
      <c r="B18" s="1" t="s">
        <v>2523</v>
      </c>
      <c r="C18" s="1" t="s">
        <v>7</v>
      </c>
      <c r="D18" s="1" t="s">
        <v>2497</v>
      </c>
      <c r="E18" s="9">
        <v>24579</v>
      </c>
      <c r="F18" s="1" t="str">
        <f>VLOOKUP(D18,Table12[[Name]:[Native]],3,FALSE)</f>
        <v>盂县</v>
      </c>
      <c r="G18" s="12" t="str">
        <f ca="1">VLOOKUP(F18,Table12[[Native]:[Population4]],5,FALSE)</f>
        <v>阳泉市</v>
      </c>
    </row>
    <row r="19" spans="1:7" ht="15.75" thickBot="1" x14ac:dyDescent="0.3">
      <c r="A19" t="s">
        <v>2524</v>
      </c>
      <c r="B19" s="1" t="s">
        <v>2525</v>
      </c>
      <c r="C19" s="1" t="s">
        <v>7</v>
      </c>
      <c r="D19" s="1" t="s">
        <v>2497</v>
      </c>
      <c r="E19" s="9">
        <v>31187</v>
      </c>
      <c r="F19" s="1" t="str">
        <f>VLOOKUP(D19,Table12[[Name]:[Native]],3,FALSE)</f>
        <v>盂县</v>
      </c>
      <c r="G19" s="12" t="str">
        <f ca="1">VLOOKUP(F19,Table12[[Native]:[Population4]],5,FALSE)</f>
        <v>阳泉市</v>
      </c>
    </row>
    <row r="20" spans="1:7" ht="15.75" thickBot="1" x14ac:dyDescent="0.3">
      <c r="A20" t="s">
        <v>2526</v>
      </c>
      <c r="B20" s="1" t="s">
        <v>2527</v>
      </c>
      <c r="C20" s="1" t="s">
        <v>31</v>
      </c>
      <c r="D20" s="1" t="s">
        <v>624</v>
      </c>
      <c r="E20" s="9">
        <v>64821</v>
      </c>
      <c r="F20" s="1" t="str">
        <f>VLOOKUP(D20,Table12[[Name]:[Native]],3,FALSE)</f>
        <v>城区</v>
      </c>
      <c r="G20" s="12" t="str">
        <f ca="1">VLOOKUP(F20,Table12[[Native]:[Population4]],5,FALSE)</f>
        <v>晋城市</v>
      </c>
    </row>
    <row r="21" spans="1:7" ht="15.75" thickBot="1" x14ac:dyDescent="0.3">
      <c r="A21" t="s">
        <v>2528</v>
      </c>
      <c r="B21" s="1" t="s">
        <v>2529</v>
      </c>
      <c r="C21" s="1" t="s">
        <v>7</v>
      </c>
      <c r="D21" s="1" t="s">
        <v>2492</v>
      </c>
      <c r="E21" s="9">
        <v>16561</v>
      </c>
      <c r="F21" s="1" t="str">
        <f>VLOOKUP(D21,Table12[[Name]:[Native]],3,FALSE)</f>
        <v>平定县</v>
      </c>
      <c r="G21" s="12" t="str">
        <f ca="1">VLOOKUP(F21,Table12[[Native]:[Population4]],5,FALSE)</f>
        <v>阳泉市</v>
      </c>
    </row>
    <row r="22" spans="1:7" ht="15.75" thickBot="1" x14ac:dyDescent="0.3">
      <c r="A22" t="s">
        <v>2530</v>
      </c>
      <c r="B22" s="1" t="s">
        <v>2531</v>
      </c>
      <c r="C22" s="1" t="s">
        <v>7</v>
      </c>
      <c r="D22" s="1" t="s">
        <v>2497</v>
      </c>
      <c r="E22" s="9">
        <v>19280</v>
      </c>
      <c r="F22" s="1" t="str">
        <f>VLOOKUP(D22,Table12[[Name]:[Native]],3,FALSE)</f>
        <v>盂县</v>
      </c>
      <c r="G22" s="12" t="str">
        <f ca="1">VLOOKUP(F22,Table12[[Native]:[Population4]],5,FALSE)</f>
        <v>阳泉市</v>
      </c>
    </row>
    <row r="23" spans="1:7" ht="15.75" thickBot="1" x14ac:dyDescent="0.3">
      <c r="A23" t="s">
        <v>2532</v>
      </c>
      <c r="B23" s="1" t="s">
        <v>2533</v>
      </c>
      <c r="C23" s="1" t="s">
        <v>31</v>
      </c>
      <c r="D23" s="1" t="s">
        <v>2500</v>
      </c>
      <c r="E23" s="9">
        <v>52182</v>
      </c>
      <c r="F23" s="1" t="str">
        <f>VLOOKUP(D23,Table12[[Name]:[Native]],3,FALSE)</f>
        <v>矿区</v>
      </c>
      <c r="G23" s="12" t="str">
        <f ca="1">VLOOKUP(F23,Table12[[Native]:[Population4]],5,FALSE)</f>
        <v>阳泉市</v>
      </c>
    </row>
    <row r="24" spans="1:7" ht="15.75" thickBot="1" x14ac:dyDescent="0.3">
      <c r="A24" t="s">
        <v>2534</v>
      </c>
      <c r="B24" s="1" t="s">
        <v>2535</v>
      </c>
      <c r="C24" s="1" t="s">
        <v>7</v>
      </c>
      <c r="D24" s="1" t="s">
        <v>2513</v>
      </c>
      <c r="E24" s="9">
        <v>30240</v>
      </c>
      <c r="F24" s="1" t="str">
        <f>VLOOKUP(D24,Table12[[Name]:[Native]],3,FALSE)</f>
        <v>郊区</v>
      </c>
      <c r="G24" s="12" t="str">
        <f ca="1">VLOOKUP(F24,Table12[[Native]:[Population4]],5,FALSE)</f>
        <v>阳泉市</v>
      </c>
    </row>
    <row r="25" spans="1:7" ht="15.75" thickBot="1" x14ac:dyDescent="0.3">
      <c r="A25" t="s">
        <v>2536</v>
      </c>
      <c r="B25" s="1" t="s">
        <v>2537</v>
      </c>
      <c r="C25" s="1" t="s">
        <v>31</v>
      </c>
      <c r="D25" s="1" t="s">
        <v>624</v>
      </c>
      <c r="E25" s="9">
        <v>2695</v>
      </c>
      <c r="F25" s="1" t="str">
        <f>VLOOKUP(D25,Table12[[Name]:[Native]],3,FALSE)</f>
        <v>城区</v>
      </c>
      <c r="G25" s="12" t="str">
        <f ca="1">VLOOKUP(F25,Table12[[Native]:[Population4]],5,FALSE)</f>
        <v>晋城市</v>
      </c>
    </row>
    <row r="26" spans="1:7" ht="15.75" thickBot="1" x14ac:dyDescent="0.3">
      <c r="A26" t="s">
        <v>2538</v>
      </c>
      <c r="B26" s="1" t="s">
        <v>2539</v>
      </c>
      <c r="C26" s="1" t="s">
        <v>31</v>
      </c>
      <c r="D26" s="1" t="s">
        <v>2500</v>
      </c>
      <c r="E26" s="9">
        <v>43752</v>
      </c>
      <c r="F26" s="1" t="str">
        <f>VLOOKUP(D26,Table12[[Name]:[Native]],3,FALSE)</f>
        <v>矿区</v>
      </c>
      <c r="G26" s="12" t="str">
        <f ca="1">VLOOKUP(F26,Table12[[Native]:[Population4]],5,FALSE)</f>
        <v>阳泉市</v>
      </c>
    </row>
    <row r="27" spans="1:7" ht="15.75" thickBot="1" x14ac:dyDescent="0.3">
      <c r="A27" t="s">
        <v>2540</v>
      </c>
      <c r="B27" s="1" t="s">
        <v>2541</v>
      </c>
      <c r="C27" s="1" t="s">
        <v>31</v>
      </c>
      <c r="D27" s="1" t="s">
        <v>2500</v>
      </c>
      <c r="E27" s="9">
        <v>50557</v>
      </c>
      <c r="F27" s="1" t="str">
        <f>VLOOKUP(D27,Table12[[Name]:[Native]],3,FALSE)</f>
        <v>矿区</v>
      </c>
      <c r="G27" s="12" t="str">
        <f ca="1">VLOOKUP(F27,Table12[[Native]:[Population4]],5,FALSE)</f>
        <v>阳泉市</v>
      </c>
    </row>
    <row r="28" spans="1:7" ht="15.75" thickBot="1" x14ac:dyDescent="0.3">
      <c r="A28" t="s">
        <v>2542</v>
      </c>
      <c r="B28" s="1" t="s">
        <v>2543</v>
      </c>
      <c r="C28" s="1" t="s">
        <v>7</v>
      </c>
      <c r="D28" s="1" t="s">
        <v>2497</v>
      </c>
      <c r="E28" s="9">
        <v>14478</v>
      </c>
      <c r="F28" s="1" t="str">
        <f>VLOOKUP(D28,Table12[[Name]:[Native]],3,FALSE)</f>
        <v>盂县</v>
      </c>
      <c r="G28" s="12" t="str">
        <f ca="1">VLOOKUP(F28,Table12[[Native]:[Population4]],5,FALSE)</f>
        <v>阳泉市</v>
      </c>
    </row>
    <row r="29" spans="1:7" ht="15.75" thickBot="1" x14ac:dyDescent="0.3">
      <c r="A29" t="s">
        <v>2544</v>
      </c>
      <c r="B29" s="1" t="s">
        <v>2545</v>
      </c>
      <c r="C29" s="1" t="s">
        <v>31</v>
      </c>
      <c r="D29" s="1" t="s">
        <v>624</v>
      </c>
      <c r="E29" s="9">
        <v>55628</v>
      </c>
      <c r="F29" s="1" t="str">
        <f>VLOOKUP(D29,Table12[[Name]:[Native]],3,FALSE)</f>
        <v>城区</v>
      </c>
      <c r="G29" s="12" t="str">
        <f ca="1">VLOOKUP(F29,Table12[[Native]:[Population4]],5,FALSE)</f>
        <v>晋城市</v>
      </c>
    </row>
    <row r="30" spans="1:7" ht="15.75" thickBot="1" x14ac:dyDescent="0.3">
      <c r="A30" t="s">
        <v>2546</v>
      </c>
      <c r="B30" s="1" t="s">
        <v>2547</v>
      </c>
      <c r="C30" s="1" t="s">
        <v>31</v>
      </c>
      <c r="D30" s="1" t="s">
        <v>2500</v>
      </c>
      <c r="E30" s="9">
        <v>34858</v>
      </c>
      <c r="F30" s="1" t="str">
        <f>VLOOKUP(D30,Table12[[Name]:[Native]],3,FALSE)</f>
        <v>矿区</v>
      </c>
      <c r="G30" s="12" t="str">
        <f ca="1">VLOOKUP(F30,Table12[[Native]:[Population4]],5,FALSE)</f>
        <v>阳泉市</v>
      </c>
    </row>
    <row r="31" spans="1:7" ht="15.75" thickBot="1" x14ac:dyDescent="0.3">
      <c r="A31" t="s">
        <v>2548</v>
      </c>
      <c r="B31" s="1" t="s">
        <v>2549</v>
      </c>
      <c r="C31" s="1" t="s">
        <v>17</v>
      </c>
      <c r="D31" s="1" t="s">
        <v>2492</v>
      </c>
      <c r="E31" s="9">
        <v>17474</v>
      </c>
      <c r="F31" s="1" t="str">
        <f>VLOOKUP(D31,Table12[[Name]:[Native]],3,FALSE)</f>
        <v>平定县</v>
      </c>
      <c r="G31" s="12" t="str">
        <f ca="1">VLOOKUP(F31,Table12[[Native]:[Population4]],5,FALSE)</f>
        <v>阳泉市</v>
      </c>
    </row>
    <row r="32" spans="1:7" ht="15.75" thickBot="1" x14ac:dyDescent="0.3">
      <c r="A32" t="s">
        <v>2550</v>
      </c>
      <c r="B32" s="1" t="s">
        <v>2551</v>
      </c>
      <c r="C32" s="1" t="s">
        <v>7</v>
      </c>
      <c r="D32" s="1" t="s">
        <v>2497</v>
      </c>
      <c r="E32" s="9">
        <v>26898</v>
      </c>
      <c r="F32" s="1" t="str">
        <f>VLOOKUP(D32,Table12[[Name]:[Native]],3,FALSE)</f>
        <v>盂县</v>
      </c>
      <c r="G32" s="12" t="str">
        <f ca="1">VLOOKUP(F32,Table12[[Native]:[Population4]],5,FALSE)</f>
        <v>阳泉市</v>
      </c>
    </row>
    <row r="33" spans="1:7" ht="15.75" thickBot="1" x14ac:dyDescent="0.3">
      <c r="A33" t="s">
        <v>2552</v>
      </c>
      <c r="B33" s="1" t="s">
        <v>2553</v>
      </c>
      <c r="C33" s="1" t="s">
        <v>7</v>
      </c>
      <c r="D33" s="1" t="s">
        <v>2492</v>
      </c>
      <c r="E33" s="9">
        <v>31978</v>
      </c>
      <c r="F33" s="1" t="str">
        <f>VLOOKUP(D33,Table12[[Name]:[Native]],3,FALSE)</f>
        <v>平定县</v>
      </c>
      <c r="G33" s="12" t="str">
        <f ca="1">VLOOKUP(F33,Table12[[Native]:[Population4]],5,FALSE)</f>
        <v>阳泉市</v>
      </c>
    </row>
    <row r="34" spans="1:7" ht="15.75" thickBot="1" x14ac:dyDescent="0.3">
      <c r="A34" t="s">
        <v>2554</v>
      </c>
      <c r="B34" s="1" t="s">
        <v>2555</v>
      </c>
      <c r="C34" s="1" t="s">
        <v>17</v>
      </c>
      <c r="D34" s="1" t="s">
        <v>2497</v>
      </c>
      <c r="E34" s="9">
        <v>13151</v>
      </c>
      <c r="F34" s="1" t="str">
        <f>VLOOKUP(D34,Table12[[Name]:[Native]],3,FALSE)</f>
        <v>盂县</v>
      </c>
      <c r="G34" s="12" t="str">
        <f ca="1">VLOOKUP(F34,Table12[[Native]:[Population4]],5,FALSE)</f>
        <v>阳泉市</v>
      </c>
    </row>
    <row r="35" spans="1:7" ht="15.75" thickBot="1" x14ac:dyDescent="0.3">
      <c r="A35" t="s">
        <v>2556</v>
      </c>
      <c r="B35" s="1" t="s">
        <v>2557</v>
      </c>
      <c r="C35" s="1" t="s">
        <v>17</v>
      </c>
      <c r="D35" s="1" t="s">
        <v>2497</v>
      </c>
      <c r="E35" s="9">
        <v>7750</v>
      </c>
      <c r="F35" s="1" t="str">
        <f>VLOOKUP(D35,Table12[[Name]:[Native]],3,FALSE)</f>
        <v>盂县</v>
      </c>
      <c r="G35" s="12" t="str">
        <f ca="1">VLOOKUP(F35,Table12[[Native]:[Population4]],5,FALSE)</f>
        <v>阳泉市</v>
      </c>
    </row>
    <row r="36" spans="1:7" ht="15.75" thickBot="1" x14ac:dyDescent="0.3">
      <c r="A36" t="s">
        <v>2558</v>
      </c>
      <c r="B36" s="1" t="s">
        <v>2559</v>
      </c>
      <c r="C36" s="1" t="s">
        <v>31</v>
      </c>
      <c r="D36" s="1" t="s">
        <v>624</v>
      </c>
      <c r="E36" s="9">
        <v>25197</v>
      </c>
      <c r="F36" s="1" t="str">
        <f>VLOOKUP(D36,Table12[[Name]:[Native]],3,FALSE)</f>
        <v>城区</v>
      </c>
      <c r="G36" s="12" t="str">
        <f ca="1">VLOOKUP(F36,Table12[[Native]:[Population4]],5,FALSE)</f>
        <v>晋城市</v>
      </c>
    </row>
    <row r="37" spans="1:7" ht="15.75" thickBot="1" x14ac:dyDescent="0.3">
      <c r="A37" t="s">
        <v>2560</v>
      </c>
      <c r="B37" s="1" t="s">
        <v>2561</v>
      </c>
      <c r="C37" s="1" t="s">
        <v>17</v>
      </c>
      <c r="D37" s="1" t="s">
        <v>2513</v>
      </c>
      <c r="E37" s="9">
        <v>12347</v>
      </c>
      <c r="F37" s="1" t="str">
        <f>VLOOKUP(D37,Table12[[Name]:[Native]],3,FALSE)</f>
        <v>郊区</v>
      </c>
      <c r="G37" s="12" t="str">
        <f ca="1">VLOOKUP(F37,Table12[[Native]:[Population4]],5,FALSE)</f>
        <v>阳泉市</v>
      </c>
    </row>
    <row r="38" spans="1:7" ht="15.75" thickBot="1" x14ac:dyDescent="0.3">
      <c r="A38" t="s">
        <v>2562</v>
      </c>
      <c r="B38" s="1" t="s">
        <v>2563</v>
      </c>
      <c r="C38" s="1" t="s">
        <v>17</v>
      </c>
      <c r="D38" s="1" t="s">
        <v>2497</v>
      </c>
      <c r="E38" s="9">
        <v>7983</v>
      </c>
      <c r="F38" s="1" t="str">
        <f>VLOOKUP(D38,Table12[[Name]:[Native]],3,FALSE)</f>
        <v>盂县</v>
      </c>
      <c r="G38" s="12" t="str">
        <f ca="1">VLOOKUP(F38,Table12[[Native]:[Population4]],5,FALSE)</f>
        <v>阳泉市</v>
      </c>
    </row>
    <row r="39" spans="1:7" ht="15.75" thickBot="1" x14ac:dyDescent="0.3">
      <c r="A39" t="s">
        <v>2564</v>
      </c>
      <c r="B39" s="1" t="s">
        <v>2565</v>
      </c>
      <c r="C39" s="1" t="s">
        <v>7</v>
      </c>
      <c r="D39" s="1" t="s">
        <v>2497</v>
      </c>
      <c r="E39" s="9">
        <v>93013</v>
      </c>
      <c r="F39" s="1" t="str">
        <f>VLOOKUP(D39,Table12[[Name]:[Native]],3,FALSE)</f>
        <v>盂县</v>
      </c>
      <c r="G39" s="12" t="str">
        <f ca="1">VLOOKUP(F39,Table12[[Native]:[Population4]],5,FALSE)</f>
        <v>阳泉市</v>
      </c>
    </row>
    <row r="40" spans="1:7" ht="15.75" thickBot="1" x14ac:dyDescent="0.3">
      <c r="A40" t="s">
        <v>2566</v>
      </c>
      <c r="B40" s="1" t="s">
        <v>2567</v>
      </c>
      <c r="C40" s="1" t="s">
        <v>7</v>
      </c>
      <c r="D40" s="1" t="s">
        <v>2497</v>
      </c>
      <c r="E40" s="9">
        <v>18426</v>
      </c>
      <c r="F40" s="1" t="str">
        <f>VLOOKUP(D40,Table12[[Name]:[Native]],3,FALSE)</f>
        <v>盂县</v>
      </c>
      <c r="G40" s="12" t="str">
        <f ca="1">VLOOKUP(F40,Table12[[Native]:[Population4]],5,FALSE)</f>
        <v>阳泉市</v>
      </c>
    </row>
    <row r="41" spans="1:7" ht="15.75" thickBot="1" x14ac:dyDescent="0.3">
      <c r="A41" t="s">
        <v>2568</v>
      </c>
      <c r="B41" s="1" t="s">
        <v>2569</v>
      </c>
      <c r="C41" s="1" t="s">
        <v>17</v>
      </c>
      <c r="D41" s="1" t="s">
        <v>2513</v>
      </c>
      <c r="E41" s="9">
        <v>10065</v>
      </c>
      <c r="F41" s="1" t="str">
        <f>VLOOKUP(D41,Table12[[Name]:[Native]],3,FALSE)</f>
        <v>郊区</v>
      </c>
      <c r="G41" s="12" t="str">
        <f ca="1">VLOOKUP(F41,Table12[[Native]:[Population4]],5,FALSE)</f>
        <v>阳泉市</v>
      </c>
    </row>
    <row r="42" spans="1:7" ht="15.75" thickBot="1" x14ac:dyDescent="0.3">
      <c r="A42" t="s">
        <v>2570</v>
      </c>
      <c r="B42" s="1" t="s">
        <v>2571</v>
      </c>
      <c r="C42" s="1" t="s">
        <v>7</v>
      </c>
      <c r="D42" s="1" t="s">
        <v>2492</v>
      </c>
      <c r="E42" s="9">
        <v>14165</v>
      </c>
      <c r="F42" s="1" t="str">
        <f>VLOOKUP(D42,Table12[[Name]:[Native]],3,FALSE)</f>
        <v>平定县</v>
      </c>
      <c r="G42" s="12" t="str">
        <f ca="1">VLOOKUP(F42,Table12[[Native]:[Population4]],5,FALSE)</f>
        <v>阳泉市</v>
      </c>
    </row>
    <row r="43" spans="1:7" ht="15.75" thickBot="1" x14ac:dyDescent="0.3">
      <c r="A43" t="s">
        <v>2086</v>
      </c>
      <c r="B43" s="1" t="s">
        <v>2087</v>
      </c>
      <c r="C43" s="1" t="s">
        <v>31</v>
      </c>
      <c r="D43" s="1" t="s">
        <v>624</v>
      </c>
      <c r="E43" s="9">
        <v>10391</v>
      </c>
      <c r="F43" s="1" t="str">
        <f>VLOOKUP(D43,Table12[[Name]:[Native]],3,FALSE)</f>
        <v>城区</v>
      </c>
      <c r="G43" s="12" t="str">
        <f ca="1">VLOOKUP(F43,Table12[[Native]:[Population4]],5,FALSE)</f>
        <v>晋城市</v>
      </c>
    </row>
    <row r="44" spans="1:7" ht="15.75" thickBot="1" x14ac:dyDescent="0.3">
      <c r="A44" t="s">
        <v>2466</v>
      </c>
      <c r="B44" s="1" t="s">
        <v>2467</v>
      </c>
      <c r="C44" s="1" t="s">
        <v>7</v>
      </c>
      <c r="D44" s="1" t="s">
        <v>624</v>
      </c>
      <c r="E44" s="9">
        <v>42211</v>
      </c>
      <c r="F44" s="1" t="str">
        <f>VLOOKUP(D44,Table12[[Name]:[Native]],3,FALSE)</f>
        <v>城区</v>
      </c>
      <c r="G44" s="12" t="str">
        <f ca="1">VLOOKUP(F44,Table12[[Native]:[Population4]],5,FALSE)</f>
        <v>晋城市</v>
      </c>
    </row>
    <row r="45" spans="1:7" ht="15.75" thickBot="1" x14ac:dyDescent="0.3">
      <c r="A45" t="s">
        <v>2572</v>
      </c>
      <c r="B45" s="1" t="s">
        <v>2573</v>
      </c>
      <c r="C45" s="1" t="s">
        <v>7</v>
      </c>
      <c r="D45" s="1" t="s">
        <v>2513</v>
      </c>
      <c r="E45" s="9">
        <v>70614</v>
      </c>
      <c r="F45" s="1" t="str">
        <f>VLOOKUP(D45,Table12[[Name]:[Native]],3,FALSE)</f>
        <v>郊区</v>
      </c>
      <c r="G45" s="12" t="str">
        <f ca="1">VLOOKUP(F45,Table12[[Native]:[Population4]],5,FALSE)</f>
        <v>阳泉市</v>
      </c>
    </row>
    <row r="46" spans="1:7" ht="15.75" thickBot="1" x14ac:dyDescent="0.3">
      <c r="A46" t="s">
        <v>2574</v>
      </c>
      <c r="B46" s="1" t="s">
        <v>2575</v>
      </c>
      <c r="C46" s="1" t="s">
        <v>7</v>
      </c>
      <c r="D46" s="1" t="s">
        <v>2492</v>
      </c>
      <c r="E46" s="9">
        <v>39012</v>
      </c>
      <c r="F46" s="8" t="str">
        <f>VLOOKUP(D46,Table12[[Name]:[Native]],3,FALSE)</f>
        <v>平定县</v>
      </c>
      <c r="G46" s="12" t="str">
        <f ca="1">VLOOKUP(F46,Table12[[Native]:[Population4]],5,FALSE)</f>
        <v>阳泉市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AF56-7DCF-4FC3-8F40-E5B722FF501C}">
  <dimension ref="A1:G163"/>
  <sheetViews>
    <sheetView topLeftCell="A138" workbookViewId="0">
      <selection activeCell="G2" sqref="A2:G16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3022</v>
      </c>
      <c r="G1" t="s">
        <v>3024</v>
      </c>
    </row>
    <row r="2" spans="1:7" ht="15.75" thickBot="1" x14ac:dyDescent="0.3">
      <c r="A2" t="s">
        <v>2576</v>
      </c>
      <c r="B2" s="1" t="s">
        <v>2577</v>
      </c>
      <c r="C2" s="1" t="s">
        <v>31</v>
      </c>
      <c r="D2" s="1" t="s">
        <v>2578</v>
      </c>
      <c r="E2" s="9">
        <v>51731</v>
      </c>
      <c r="F2" s="7" t="str">
        <f>VLOOKUP(D2,Table12[[Name]:[Native]],3,FALSE)</f>
        <v>盐湖区</v>
      </c>
      <c r="G2" s="12" t="str">
        <f ca="1">VLOOKUP(F2,Table12[[Native]:[Population4]],5,FALSE)</f>
        <v>运城市</v>
      </c>
    </row>
    <row r="3" spans="1:7" ht="15.75" thickBot="1" x14ac:dyDescent="0.3">
      <c r="A3" t="s">
        <v>2579</v>
      </c>
      <c r="B3" s="1" t="s">
        <v>2580</v>
      </c>
      <c r="C3" s="1" t="s">
        <v>7</v>
      </c>
      <c r="D3" s="1" t="s">
        <v>2581</v>
      </c>
      <c r="E3" s="9">
        <v>29561</v>
      </c>
      <c r="F3" s="1" t="str">
        <f>VLOOKUP(D3,Table12[[Name]:[Native]],3,FALSE)</f>
        <v>绛县</v>
      </c>
      <c r="G3" s="12" t="str">
        <f ca="1">VLOOKUP(F3,Table12[[Native]:[Population4]],5,FALSE)</f>
        <v>运城市</v>
      </c>
    </row>
    <row r="4" spans="1:7" ht="15.75" thickBot="1" x14ac:dyDescent="0.3">
      <c r="A4" t="s">
        <v>621</v>
      </c>
      <c r="B4" s="1" t="s">
        <v>622</v>
      </c>
      <c r="C4" s="1" t="s">
        <v>31</v>
      </c>
      <c r="D4" s="1" t="s">
        <v>2578</v>
      </c>
      <c r="E4" s="9">
        <v>82732</v>
      </c>
      <c r="F4" s="1" t="str">
        <f>VLOOKUP(D4,Table12[[Name]:[Native]],3,FALSE)</f>
        <v>盐湖区</v>
      </c>
      <c r="G4" s="12" t="str">
        <f ca="1">VLOOKUP(F4,Table12[[Native]:[Population4]],5,FALSE)</f>
        <v>运城市</v>
      </c>
    </row>
    <row r="5" spans="1:7" ht="15.75" thickBot="1" x14ac:dyDescent="0.3">
      <c r="A5" t="s">
        <v>2582</v>
      </c>
      <c r="B5" s="1" t="s">
        <v>2583</v>
      </c>
      <c r="C5" s="1" t="s">
        <v>17</v>
      </c>
      <c r="D5" s="1" t="s">
        <v>2584</v>
      </c>
      <c r="E5" s="9">
        <v>41220</v>
      </c>
      <c r="F5" s="1" t="str">
        <f>VLOOKUP(D5,Table12[[Name]:[Native]],3,FALSE)</f>
        <v>临猗县</v>
      </c>
      <c r="G5" s="12" t="str">
        <f ca="1">VLOOKUP(F5,Table12[[Native]:[Population4]],5,FALSE)</f>
        <v>运城市</v>
      </c>
    </row>
    <row r="6" spans="1:7" ht="15.75" thickBot="1" x14ac:dyDescent="0.3">
      <c r="A6" t="s">
        <v>2585</v>
      </c>
      <c r="B6" s="1" t="s">
        <v>2586</v>
      </c>
      <c r="C6" s="1" t="s">
        <v>7</v>
      </c>
      <c r="D6" s="1" t="s">
        <v>2578</v>
      </c>
      <c r="E6" s="9">
        <v>33489</v>
      </c>
      <c r="F6" s="1" t="str">
        <f>VLOOKUP(D6,Table12[[Name]:[Native]],3,FALSE)</f>
        <v>盐湖区</v>
      </c>
      <c r="G6" s="12" t="str">
        <f ca="1">VLOOKUP(F6,Table12[[Native]:[Population4]],5,FALSE)</f>
        <v>运城市</v>
      </c>
    </row>
    <row r="7" spans="1:7" ht="15.75" thickBot="1" x14ac:dyDescent="0.3">
      <c r="A7" t="s">
        <v>2587</v>
      </c>
      <c r="B7" s="1" t="s">
        <v>2588</v>
      </c>
      <c r="C7" s="1" t="s">
        <v>17</v>
      </c>
      <c r="D7" s="1" t="s">
        <v>2584</v>
      </c>
      <c r="E7" s="9">
        <v>30962</v>
      </c>
      <c r="F7" s="1" t="str">
        <f>VLOOKUP(D7,Table12[[Name]:[Native]],3,FALSE)</f>
        <v>临猗县</v>
      </c>
      <c r="G7" s="12" t="str">
        <f ca="1">VLOOKUP(F7,Table12[[Native]:[Population4]],5,FALSE)</f>
        <v>运城市</v>
      </c>
    </row>
    <row r="8" spans="1:7" ht="15.75" thickBot="1" x14ac:dyDescent="0.3">
      <c r="A8" t="s">
        <v>2589</v>
      </c>
      <c r="B8" s="1" t="s">
        <v>2590</v>
      </c>
      <c r="C8" s="1" t="s">
        <v>7</v>
      </c>
      <c r="D8" s="1" t="s">
        <v>2591</v>
      </c>
      <c r="E8" s="9">
        <v>22682</v>
      </c>
      <c r="F8" s="1" t="str">
        <f>VLOOKUP(D8,Table12[[Name]:[Native]],3,FALSE)</f>
        <v>新绛县</v>
      </c>
      <c r="G8" s="12" t="str">
        <f ca="1">VLOOKUP(F8,Table12[[Native]:[Population4]],5,FALSE)</f>
        <v>运城市</v>
      </c>
    </row>
    <row r="9" spans="1:7" ht="15.75" thickBot="1" x14ac:dyDescent="0.3">
      <c r="A9" t="s">
        <v>2592</v>
      </c>
      <c r="B9" s="1" t="s">
        <v>2593</v>
      </c>
      <c r="C9" s="1" t="s">
        <v>17</v>
      </c>
      <c r="D9" s="1" t="s">
        <v>2594</v>
      </c>
      <c r="E9" s="9">
        <v>15248</v>
      </c>
      <c r="F9" s="1" t="str">
        <f>VLOOKUP(D9,Table12[[Name]:[Native]],3,FALSE)</f>
        <v>平陆县</v>
      </c>
      <c r="G9" s="12" t="str">
        <f ca="1">VLOOKUP(F9,Table12[[Native]:[Population4]],5,FALSE)</f>
        <v>运城市</v>
      </c>
    </row>
    <row r="10" spans="1:7" ht="15.75" thickBot="1" x14ac:dyDescent="0.3">
      <c r="A10" t="s">
        <v>2595</v>
      </c>
      <c r="B10" s="1" t="s">
        <v>2596</v>
      </c>
      <c r="C10" s="1" t="s">
        <v>17</v>
      </c>
      <c r="D10" s="1" t="s">
        <v>2597</v>
      </c>
      <c r="E10" s="9">
        <v>29512</v>
      </c>
      <c r="F10" s="1" t="str">
        <f>VLOOKUP(D10,Table12[[Name]:[Native]],3,FALSE)</f>
        <v>稷山县</v>
      </c>
      <c r="G10" s="12" t="str">
        <f ca="1">VLOOKUP(F10,Table12[[Native]:[Population4]],5,FALSE)</f>
        <v>运城市</v>
      </c>
    </row>
    <row r="11" spans="1:7" ht="15.75" thickBot="1" x14ac:dyDescent="0.3">
      <c r="A11" t="s">
        <v>2598</v>
      </c>
      <c r="B11" s="1" t="s">
        <v>2599</v>
      </c>
      <c r="C11" s="1" t="s">
        <v>7</v>
      </c>
      <c r="D11" s="1" t="s">
        <v>2594</v>
      </c>
      <c r="E11" s="9">
        <v>22100</v>
      </c>
      <c r="F11" s="1" t="str">
        <f>VLOOKUP(D11,Table12[[Name]:[Native]],3,FALSE)</f>
        <v>平陆县</v>
      </c>
      <c r="G11" s="12" t="str">
        <f ca="1">VLOOKUP(F11,Table12[[Native]:[Population4]],5,FALSE)</f>
        <v>运城市</v>
      </c>
    </row>
    <row r="12" spans="1:7" ht="15.75" thickBot="1" x14ac:dyDescent="0.3">
      <c r="A12" t="s">
        <v>2600</v>
      </c>
      <c r="B12" s="1" t="s">
        <v>2601</v>
      </c>
      <c r="C12" s="1" t="s">
        <v>7</v>
      </c>
      <c r="D12" s="1" t="s">
        <v>2602</v>
      </c>
      <c r="E12" s="9">
        <v>29071</v>
      </c>
      <c r="F12" s="1" t="str">
        <f>VLOOKUP(D12,Table12[[Name]:[Native]],3,FALSE)</f>
        <v>河津市</v>
      </c>
      <c r="G12" s="12" t="str">
        <f ca="1">VLOOKUP(F12,Table12[[Native]:[Population4]],5,FALSE)</f>
        <v>运城市</v>
      </c>
    </row>
    <row r="13" spans="1:7" ht="15.75" thickBot="1" x14ac:dyDescent="0.3">
      <c r="A13" t="s">
        <v>2603</v>
      </c>
      <c r="B13" s="1" t="s">
        <v>2604</v>
      </c>
      <c r="C13" s="1" t="s">
        <v>7</v>
      </c>
      <c r="D13" s="1" t="s">
        <v>2594</v>
      </c>
      <c r="E13" s="9">
        <v>45114</v>
      </c>
      <c r="F13" s="1" t="str">
        <f>VLOOKUP(D13,Table12[[Name]:[Native]],3,FALSE)</f>
        <v>平陆县</v>
      </c>
      <c r="G13" s="12" t="str">
        <f ca="1">VLOOKUP(F13,Table12[[Native]:[Population4]],5,FALSE)</f>
        <v>运城市</v>
      </c>
    </row>
    <row r="14" spans="1:7" ht="15.75" thickBot="1" x14ac:dyDescent="0.3">
      <c r="A14" t="s">
        <v>2605</v>
      </c>
      <c r="B14" s="1" t="s">
        <v>2606</v>
      </c>
      <c r="C14" s="1" t="s">
        <v>17</v>
      </c>
      <c r="D14" s="1" t="s">
        <v>2607</v>
      </c>
      <c r="E14" s="9">
        <v>12998</v>
      </c>
      <c r="F14" s="1" t="str">
        <f>VLOOKUP(D14,Table12[[Name]:[Native]],3,FALSE)</f>
        <v>垣曲县</v>
      </c>
      <c r="G14" s="12" t="str">
        <f ca="1">VLOOKUP(F14,Table12[[Native]:[Population4]],5,FALSE)</f>
        <v>运城市</v>
      </c>
    </row>
    <row r="15" spans="1:7" ht="15.75" thickBot="1" x14ac:dyDescent="0.3">
      <c r="A15" t="s">
        <v>2608</v>
      </c>
      <c r="B15" s="1" t="s">
        <v>2609</v>
      </c>
      <c r="C15" s="1" t="s">
        <v>7</v>
      </c>
      <c r="D15" s="1" t="s">
        <v>2581</v>
      </c>
      <c r="E15" s="9">
        <v>11150</v>
      </c>
      <c r="F15" s="1" t="str">
        <f>VLOOKUP(D15,Table12[[Name]:[Native]],3,FALSE)</f>
        <v>绛县</v>
      </c>
      <c r="G15" s="12" t="str">
        <f ca="1">VLOOKUP(F15,Table12[[Native]:[Population4]],5,FALSE)</f>
        <v>运城市</v>
      </c>
    </row>
    <row r="16" spans="1:7" ht="15.75" thickBot="1" x14ac:dyDescent="0.3">
      <c r="A16" t="s">
        <v>1440</v>
      </c>
      <c r="B16" s="1" t="s">
        <v>1441</v>
      </c>
      <c r="C16" s="1" t="s">
        <v>31</v>
      </c>
      <c r="D16" s="1" t="s">
        <v>2610</v>
      </c>
      <c r="E16" s="9">
        <v>54972</v>
      </c>
      <c r="F16" s="1" t="str">
        <f>VLOOKUP(D16,Table12[[Name]:[Native]],3,FALSE)</f>
        <v>永济市</v>
      </c>
      <c r="G16" s="12" t="str">
        <f ca="1">VLOOKUP(F16,Table12[[Native]:[Population4]],5,FALSE)</f>
        <v>运城市</v>
      </c>
    </row>
    <row r="17" spans="1:7" ht="15.75" thickBot="1" x14ac:dyDescent="0.3">
      <c r="A17" t="s">
        <v>2611</v>
      </c>
      <c r="B17" s="1" t="s">
        <v>2612</v>
      </c>
      <c r="C17" s="1" t="s">
        <v>31</v>
      </c>
      <c r="D17" s="1" t="s">
        <v>2610</v>
      </c>
      <c r="E17" s="9">
        <v>52376</v>
      </c>
      <c r="F17" s="1" t="str">
        <f>VLOOKUP(D17,Table12[[Name]:[Native]],3,FALSE)</f>
        <v>永济市</v>
      </c>
      <c r="G17" s="12" t="str">
        <f ca="1">VLOOKUP(F17,Table12[[Native]:[Population4]],5,FALSE)</f>
        <v>运城市</v>
      </c>
    </row>
    <row r="18" spans="1:7" ht="15.75" thickBot="1" x14ac:dyDescent="0.3">
      <c r="A18" t="s">
        <v>2128</v>
      </c>
      <c r="B18" s="1" t="s">
        <v>2129</v>
      </c>
      <c r="C18" s="1" t="s">
        <v>31</v>
      </c>
      <c r="D18" s="1" t="s">
        <v>2602</v>
      </c>
      <c r="E18" s="9">
        <v>103465</v>
      </c>
      <c r="F18" s="1" t="str">
        <f>VLOOKUP(D18,Table12[[Name]:[Native]],3,FALSE)</f>
        <v>河津市</v>
      </c>
      <c r="G18" s="12" t="str">
        <f ca="1">VLOOKUP(F18,Table12[[Native]:[Population4]],5,FALSE)</f>
        <v>运城市</v>
      </c>
    </row>
    <row r="19" spans="1:7" ht="15.75" thickBot="1" x14ac:dyDescent="0.3">
      <c r="A19" t="s">
        <v>2613</v>
      </c>
      <c r="B19" s="1" t="s">
        <v>2614</v>
      </c>
      <c r="C19" s="1" t="s">
        <v>31</v>
      </c>
      <c r="D19" s="1" t="s">
        <v>2610</v>
      </c>
      <c r="E19" s="9">
        <v>63327</v>
      </c>
      <c r="F19" s="1" t="str">
        <f>VLOOKUP(D19,Table12[[Name]:[Native]],3,FALSE)</f>
        <v>永济市</v>
      </c>
      <c r="G19" s="12" t="str">
        <f ca="1">VLOOKUP(F19,Table12[[Native]:[Population4]],5,FALSE)</f>
        <v>运城市</v>
      </c>
    </row>
    <row r="20" spans="1:7" ht="15.75" thickBot="1" x14ac:dyDescent="0.3">
      <c r="A20" t="s">
        <v>2615</v>
      </c>
      <c r="B20" s="1" t="s">
        <v>2616</v>
      </c>
      <c r="C20" s="1" t="s">
        <v>17</v>
      </c>
      <c r="D20" s="1" t="s">
        <v>2584</v>
      </c>
      <c r="E20" s="9">
        <v>27967</v>
      </c>
      <c r="F20" s="1" t="str">
        <f>VLOOKUP(D20,Table12[[Name]:[Native]],3,FALSE)</f>
        <v>临猗县</v>
      </c>
      <c r="G20" s="12" t="str">
        <f ca="1">VLOOKUP(F20,Table12[[Native]:[Population4]],5,FALSE)</f>
        <v>运城市</v>
      </c>
    </row>
    <row r="21" spans="1:7" ht="15.75" thickBot="1" x14ac:dyDescent="0.3">
      <c r="A21" t="s">
        <v>2617</v>
      </c>
      <c r="B21" s="1" t="s">
        <v>2618</v>
      </c>
      <c r="C21" s="1" t="s">
        <v>7</v>
      </c>
      <c r="D21" s="1" t="s">
        <v>2581</v>
      </c>
      <c r="E21" s="9">
        <v>28660</v>
      </c>
      <c r="F21" s="1" t="str">
        <f>VLOOKUP(D21,Table12[[Name]:[Native]],3,FALSE)</f>
        <v>绛县</v>
      </c>
      <c r="G21" s="12" t="str">
        <f ca="1">VLOOKUP(F21,Table12[[Native]:[Population4]],5,FALSE)</f>
        <v>运城市</v>
      </c>
    </row>
    <row r="22" spans="1:7" ht="15.75" thickBot="1" x14ac:dyDescent="0.3">
      <c r="A22" t="s">
        <v>2619</v>
      </c>
      <c r="B22" s="1" t="s">
        <v>2620</v>
      </c>
      <c r="C22" s="1" t="s">
        <v>7</v>
      </c>
      <c r="D22" s="1" t="s">
        <v>2584</v>
      </c>
      <c r="E22" s="9">
        <v>23227</v>
      </c>
      <c r="F22" s="1" t="str">
        <f>VLOOKUP(D22,Table12[[Name]:[Native]],3,FALSE)</f>
        <v>临猗县</v>
      </c>
      <c r="G22" s="12" t="str">
        <f ca="1">VLOOKUP(F22,Table12[[Native]:[Population4]],5,FALSE)</f>
        <v>运城市</v>
      </c>
    </row>
    <row r="23" spans="1:7" ht="15.75" thickBot="1" x14ac:dyDescent="0.3">
      <c r="A23" t="s">
        <v>2621</v>
      </c>
      <c r="B23" s="1" t="s">
        <v>2622</v>
      </c>
      <c r="C23" s="1" t="s">
        <v>31</v>
      </c>
      <c r="D23" s="1" t="s">
        <v>2578</v>
      </c>
      <c r="E23" s="9">
        <v>14149</v>
      </c>
      <c r="F23" s="1" t="str">
        <f>VLOOKUP(D23,Table12[[Name]:[Native]],3,FALSE)</f>
        <v>盐湖区</v>
      </c>
      <c r="G23" s="12" t="str">
        <f ca="1">VLOOKUP(F23,Table12[[Native]:[Population4]],5,FALSE)</f>
        <v>运城市</v>
      </c>
    </row>
    <row r="24" spans="1:7" ht="15.75" thickBot="1" x14ac:dyDescent="0.3">
      <c r="A24" t="s">
        <v>2623</v>
      </c>
      <c r="B24" s="1" t="s">
        <v>2624</v>
      </c>
      <c r="C24" s="1" t="s">
        <v>7</v>
      </c>
      <c r="D24" s="1" t="s">
        <v>2625</v>
      </c>
      <c r="E24" s="9">
        <v>29237</v>
      </c>
      <c r="F24" s="1" t="str">
        <f>VLOOKUP(D24,Table12[[Name]:[Native]],3,FALSE)</f>
        <v>芮城县</v>
      </c>
      <c r="G24" s="12" t="str">
        <f ca="1">VLOOKUP(F24,Table12[[Native]:[Population4]],5,FALSE)</f>
        <v>运城市</v>
      </c>
    </row>
    <row r="25" spans="1:7" ht="15.75" thickBot="1" x14ac:dyDescent="0.3">
      <c r="A25" t="s">
        <v>650</v>
      </c>
      <c r="B25" s="1" t="s">
        <v>652</v>
      </c>
      <c r="C25" s="1" t="s">
        <v>31</v>
      </c>
      <c r="D25" s="1" t="s">
        <v>2578</v>
      </c>
      <c r="E25" s="9">
        <v>107880</v>
      </c>
      <c r="F25" s="1" t="str">
        <f>VLOOKUP(D25,Table12[[Name]:[Native]],3,FALSE)</f>
        <v>盐湖区</v>
      </c>
      <c r="G25" s="12" t="str">
        <f ca="1">VLOOKUP(F25,Table12[[Native]:[Population4]],5,FALSE)</f>
        <v>运城市</v>
      </c>
    </row>
    <row r="26" spans="1:7" ht="15.75" thickBot="1" x14ac:dyDescent="0.3">
      <c r="A26" t="s">
        <v>2626</v>
      </c>
      <c r="B26" s="1" t="s">
        <v>2627</v>
      </c>
      <c r="C26" s="1" t="s">
        <v>35</v>
      </c>
      <c r="D26" s="1" t="s">
        <v>2610</v>
      </c>
      <c r="E26" s="9">
        <v>1107</v>
      </c>
      <c r="F26" s="1" t="str">
        <f>VLOOKUP(D26,Table12[[Name]:[Native]],3,FALSE)</f>
        <v>永济市</v>
      </c>
      <c r="G26" s="12" t="str">
        <f ca="1">VLOOKUP(F26,Table12[[Native]:[Population4]],5,FALSE)</f>
        <v>运城市</v>
      </c>
    </row>
    <row r="27" spans="1:7" ht="15.75" thickBot="1" x14ac:dyDescent="0.3">
      <c r="A27" t="s">
        <v>2628</v>
      </c>
      <c r="B27" s="1" t="s">
        <v>2629</v>
      </c>
      <c r="C27" s="1" t="s">
        <v>7</v>
      </c>
      <c r="D27" s="1" t="s">
        <v>2578</v>
      </c>
      <c r="E27" s="9">
        <v>14320</v>
      </c>
      <c r="F27" s="1" t="str">
        <f>VLOOKUP(D27,Table12[[Name]:[Native]],3,FALSE)</f>
        <v>盐湖区</v>
      </c>
      <c r="G27" s="12" t="str">
        <f ca="1">VLOOKUP(F27,Table12[[Native]:[Population4]],5,FALSE)</f>
        <v>运城市</v>
      </c>
    </row>
    <row r="28" spans="1:7" ht="15.75" thickBot="1" x14ac:dyDescent="0.3">
      <c r="A28" t="s">
        <v>2630</v>
      </c>
      <c r="B28" s="1" t="s">
        <v>2631</v>
      </c>
      <c r="C28" s="1" t="s">
        <v>17</v>
      </c>
      <c r="D28" s="1" t="s">
        <v>2625</v>
      </c>
      <c r="E28" s="9">
        <v>20001</v>
      </c>
      <c r="F28" s="1" t="str">
        <f>VLOOKUP(D28,Table12[[Name]:[Native]],3,FALSE)</f>
        <v>芮城县</v>
      </c>
      <c r="G28" s="12" t="str">
        <f ca="1">VLOOKUP(F28,Table12[[Native]:[Population4]],5,FALSE)</f>
        <v>运城市</v>
      </c>
    </row>
    <row r="29" spans="1:7" ht="15.75" thickBot="1" x14ac:dyDescent="0.3">
      <c r="A29" t="s">
        <v>2632</v>
      </c>
      <c r="B29" s="1" t="s">
        <v>2633</v>
      </c>
      <c r="C29" s="1" t="s">
        <v>7</v>
      </c>
      <c r="D29" s="1" t="s">
        <v>2584</v>
      </c>
      <c r="E29" s="9">
        <v>33604</v>
      </c>
      <c r="F29" s="1" t="str">
        <f>VLOOKUP(D29,Table12[[Name]:[Native]],3,FALSE)</f>
        <v>临猗县</v>
      </c>
      <c r="G29" s="12" t="str">
        <f ca="1">VLOOKUP(F29,Table12[[Native]:[Population4]],5,FALSE)</f>
        <v>运城市</v>
      </c>
    </row>
    <row r="30" spans="1:7" ht="15.75" thickBot="1" x14ac:dyDescent="0.3">
      <c r="A30" t="s">
        <v>2634</v>
      </c>
      <c r="B30" s="1" t="s">
        <v>2635</v>
      </c>
      <c r="C30" s="1" t="s">
        <v>7</v>
      </c>
      <c r="D30" s="1" t="s">
        <v>2636</v>
      </c>
      <c r="E30" s="9">
        <v>52344</v>
      </c>
      <c r="F30" s="1" t="str">
        <f>VLOOKUP(D30,Table12[[Name]:[Native]],3,FALSE)</f>
        <v>闻喜县</v>
      </c>
      <c r="G30" s="12" t="str">
        <f ca="1">VLOOKUP(F30,Table12[[Native]:[Population4]],5,FALSE)</f>
        <v>运城市</v>
      </c>
    </row>
    <row r="31" spans="1:7" ht="15.75" thickBot="1" x14ac:dyDescent="0.3">
      <c r="A31" t="s">
        <v>2637</v>
      </c>
      <c r="B31" s="1" t="s">
        <v>2638</v>
      </c>
      <c r="C31" s="1" t="s">
        <v>17</v>
      </c>
      <c r="D31" s="1" t="s">
        <v>2594</v>
      </c>
      <c r="E31" s="9">
        <v>12765</v>
      </c>
      <c r="F31" s="1" t="str">
        <f>VLOOKUP(D31,Table12[[Name]:[Native]],3,FALSE)</f>
        <v>平陆县</v>
      </c>
      <c r="G31" s="12" t="str">
        <f ca="1">VLOOKUP(F31,Table12[[Native]:[Population4]],5,FALSE)</f>
        <v>运城市</v>
      </c>
    </row>
    <row r="32" spans="1:7" ht="15.75" thickBot="1" x14ac:dyDescent="0.3">
      <c r="A32" t="s">
        <v>2639</v>
      </c>
      <c r="B32" s="1" t="s">
        <v>2640</v>
      </c>
      <c r="C32" s="1" t="s">
        <v>7</v>
      </c>
      <c r="D32" s="1" t="s">
        <v>2602</v>
      </c>
      <c r="E32" s="9">
        <v>48201</v>
      </c>
      <c r="F32" s="1" t="str">
        <f>VLOOKUP(D32,Table12[[Name]:[Native]],3,FALSE)</f>
        <v>河津市</v>
      </c>
      <c r="G32" s="12" t="str">
        <f ca="1">VLOOKUP(F32,Table12[[Native]:[Population4]],5,FALSE)</f>
        <v>运城市</v>
      </c>
    </row>
    <row r="33" spans="1:7" ht="15.75" thickBot="1" x14ac:dyDescent="0.3">
      <c r="A33" t="s">
        <v>2641</v>
      </c>
      <c r="B33" s="1" t="s">
        <v>2642</v>
      </c>
      <c r="C33" s="1" t="s">
        <v>17</v>
      </c>
      <c r="D33" s="1" t="s">
        <v>2578</v>
      </c>
      <c r="E33" s="9">
        <v>15627</v>
      </c>
      <c r="F33" s="1" t="str">
        <f>VLOOKUP(D33,Table12[[Name]:[Native]],3,FALSE)</f>
        <v>盐湖区</v>
      </c>
      <c r="G33" s="12" t="str">
        <f ca="1">VLOOKUP(F33,Table12[[Native]:[Population4]],5,FALSE)</f>
        <v>运城市</v>
      </c>
    </row>
    <row r="34" spans="1:7" ht="15.75" thickBot="1" x14ac:dyDescent="0.3">
      <c r="A34" t="s">
        <v>2643</v>
      </c>
      <c r="B34" s="1" t="s">
        <v>2644</v>
      </c>
      <c r="C34" s="1" t="s">
        <v>35</v>
      </c>
      <c r="D34" s="1" t="s">
        <v>2625</v>
      </c>
      <c r="E34" s="9">
        <v>12189</v>
      </c>
      <c r="F34" s="1" t="str">
        <f>VLOOKUP(D34,Table12[[Name]:[Native]],3,FALSE)</f>
        <v>芮城县</v>
      </c>
      <c r="G34" s="12" t="str">
        <f ca="1">VLOOKUP(F34,Table12[[Native]:[Population4]],5,FALSE)</f>
        <v>运城市</v>
      </c>
    </row>
    <row r="35" spans="1:7" ht="15.75" thickBot="1" x14ac:dyDescent="0.3">
      <c r="A35" t="s">
        <v>2645</v>
      </c>
      <c r="B35" s="1" t="s">
        <v>2646</v>
      </c>
      <c r="C35" s="1" t="s">
        <v>7</v>
      </c>
      <c r="D35" s="1" t="s">
        <v>2625</v>
      </c>
      <c r="E35" s="9">
        <v>63518</v>
      </c>
      <c r="F35" s="1" t="str">
        <f>VLOOKUP(D35,Table12[[Name]:[Native]],3,FALSE)</f>
        <v>芮城县</v>
      </c>
      <c r="G35" s="12" t="str">
        <f ca="1">VLOOKUP(F35,Table12[[Native]:[Population4]],5,FALSE)</f>
        <v>运城市</v>
      </c>
    </row>
    <row r="36" spans="1:7" ht="15.75" thickBot="1" x14ac:dyDescent="0.3">
      <c r="A36" t="s">
        <v>1140</v>
      </c>
      <c r="B36" s="1" t="s">
        <v>1141</v>
      </c>
      <c r="C36" s="1" t="s">
        <v>17</v>
      </c>
      <c r="D36" s="1" t="s">
        <v>2647</v>
      </c>
      <c r="E36" s="9">
        <v>31564</v>
      </c>
      <c r="F36" s="1" t="str">
        <f>VLOOKUP(D36,Table12[[Name]:[Native]],3,FALSE)</f>
        <v>万荣县</v>
      </c>
      <c r="G36" s="12" t="str">
        <f ca="1">VLOOKUP(F36,Table12[[Native]:[Population4]],5,FALSE)</f>
        <v>运城市</v>
      </c>
    </row>
    <row r="37" spans="1:7" ht="15.75" thickBot="1" x14ac:dyDescent="0.3">
      <c r="A37" t="s">
        <v>2648</v>
      </c>
      <c r="B37" s="1" t="s">
        <v>2649</v>
      </c>
      <c r="C37" s="1" t="s">
        <v>17</v>
      </c>
      <c r="D37" s="1" t="s">
        <v>2607</v>
      </c>
      <c r="E37" s="9">
        <v>20720</v>
      </c>
      <c r="F37" s="1" t="str">
        <f>VLOOKUP(D37,Table12[[Name]:[Native]],3,FALSE)</f>
        <v>垣曲县</v>
      </c>
      <c r="G37" s="12" t="str">
        <f ca="1">VLOOKUP(F37,Table12[[Native]:[Population4]],5,FALSE)</f>
        <v>运城市</v>
      </c>
    </row>
    <row r="38" spans="1:7" ht="15.75" thickBot="1" x14ac:dyDescent="0.3">
      <c r="A38" t="s">
        <v>2650</v>
      </c>
      <c r="B38" s="1" t="s">
        <v>2651</v>
      </c>
      <c r="C38" s="1" t="s">
        <v>17</v>
      </c>
      <c r="D38" s="1" t="s">
        <v>2647</v>
      </c>
      <c r="E38" s="9">
        <v>36075</v>
      </c>
      <c r="F38" s="1" t="str">
        <f>VLOOKUP(D38,Table12[[Name]:[Native]],3,FALSE)</f>
        <v>万荣县</v>
      </c>
      <c r="G38" s="12" t="str">
        <f ca="1">VLOOKUP(F38,Table12[[Native]:[Population4]],5,FALSE)</f>
        <v>运城市</v>
      </c>
    </row>
    <row r="39" spans="1:7" ht="15.75" thickBot="1" x14ac:dyDescent="0.3">
      <c r="A39" t="s">
        <v>387</v>
      </c>
      <c r="B39" s="1" t="s">
        <v>388</v>
      </c>
      <c r="C39" s="1" t="s">
        <v>7</v>
      </c>
      <c r="D39" s="1" t="s">
        <v>2607</v>
      </c>
      <c r="E39" s="9">
        <v>23525</v>
      </c>
      <c r="F39" s="1" t="str">
        <f>VLOOKUP(D39,Table12[[Name]:[Native]],3,FALSE)</f>
        <v>垣曲县</v>
      </c>
      <c r="G39" s="12" t="str">
        <f ca="1">VLOOKUP(F39,Table12[[Native]:[Population4]],5,FALSE)</f>
        <v>运城市</v>
      </c>
    </row>
    <row r="40" spans="1:7" ht="15.75" thickBot="1" x14ac:dyDescent="0.3">
      <c r="A40" t="s">
        <v>2652</v>
      </c>
      <c r="B40" s="1" t="s">
        <v>2653</v>
      </c>
      <c r="C40" s="1" t="s">
        <v>7</v>
      </c>
      <c r="D40" s="1" t="s">
        <v>2581</v>
      </c>
      <c r="E40" s="9">
        <v>83478</v>
      </c>
      <c r="F40" s="1" t="str">
        <f>VLOOKUP(D40,Table12[[Name]:[Native]],3,FALSE)</f>
        <v>绛县</v>
      </c>
      <c r="G40" s="12" t="str">
        <f ca="1">VLOOKUP(F40,Table12[[Native]:[Population4]],5,FALSE)</f>
        <v>运城市</v>
      </c>
    </row>
    <row r="41" spans="1:7" ht="15.75" thickBot="1" x14ac:dyDescent="0.3">
      <c r="A41" t="s">
        <v>2654</v>
      </c>
      <c r="B41" s="1" t="s">
        <v>2655</v>
      </c>
      <c r="C41" s="1" t="s">
        <v>7</v>
      </c>
      <c r="D41" s="1" t="s">
        <v>2591</v>
      </c>
      <c r="E41" s="9">
        <v>41121</v>
      </c>
      <c r="F41" s="1" t="str">
        <f>VLOOKUP(D41,Table12[[Name]:[Native]],3,FALSE)</f>
        <v>新绛县</v>
      </c>
      <c r="G41" s="12" t="str">
        <f ca="1">VLOOKUP(F41,Table12[[Native]:[Population4]],5,FALSE)</f>
        <v>运城市</v>
      </c>
    </row>
    <row r="42" spans="1:7" ht="15.75" thickBot="1" x14ac:dyDescent="0.3">
      <c r="A42" t="s">
        <v>2656</v>
      </c>
      <c r="B42" s="1" t="s">
        <v>2657</v>
      </c>
      <c r="C42" s="1" t="s">
        <v>7</v>
      </c>
      <c r="D42" s="1" t="s">
        <v>2636</v>
      </c>
      <c r="E42" s="9">
        <v>32221</v>
      </c>
      <c r="F42" s="1" t="str">
        <f>VLOOKUP(D42,Table12[[Name]:[Native]],3,FALSE)</f>
        <v>闻喜县</v>
      </c>
      <c r="G42" s="12" t="str">
        <f ca="1">VLOOKUP(F42,Table12[[Native]:[Population4]],5,FALSE)</f>
        <v>运城市</v>
      </c>
    </row>
    <row r="43" spans="1:7" ht="15.75" thickBot="1" x14ac:dyDescent="0.3">
      <c r="A43" t="s">
        <v>2658</v>
      </c>
      <c r="B43" s="1" t="s">
        <v>2659</v>
      </c>
      <c r="C43" s="1" t="s">
        <v>7</v>
      </c>
      <c r="D43" s="1" t="s">
        <v>2625</v>
      </c>
      <c r="E43" s="9">
        <v>91225</v>
      </c>
      <c r="F43" s="1" t="str">
        <f>VLOOKUP(D43,Table12[[Name]:[Native]],3,FALSE)</f>
        <v>芮城县</v>
      </c>
      <c r="G43" s="12" t="str">
        <f ca="1">VLOOKUP(F43,Table12[[Native]:[Population4]],5,FALSE)</f>
        <v>运城市</v>
      </c>
    </row>
    <row r="44" spans="1:7" ht="15.75" thickBot="1" x14ac:dyDescent="0.3">
      <c r="A44" t="s">
        <v>2660</v>
      </c>
      <c r="B44" s="1" t="s">
        <v>2661</v>
      </c>
      <c r="C44" s="1" t="s">
        <v>7</v>
      </c>
      <c r="D44" s="1" t="s">
        <v>2647</v>
      </c>
      <c r="E44" s="9">
        <v>24910</v>
      </c>
      <c r="F44" s="1" t="str">
        <f>VLOOKUP(D44,Table12[[Name]:[Native]],3,FALSE)</f>
        <v>万荣县</v>
      </c>
      <c r="G44" s="12" t="str">
        <f ca="1">VLOOKUP(F44,Table12[[Native]:[Population4]],5,FALSE)</f>
        <v>运城市</v>
      </c>
    </row>
    <row r="45" spans="1:7" ht="15.75" thickBot="1" x14ac:dyDescent="0.3">
      <c r="A45" t="s">
        <v>2662</v>
      </c>
      <c r="B45" s="1" t="s">
        <v>2663</v>
      </c>
      <c r="C45" s="1" t="s">
        <v>7</v>
      </c>
      <c r="D45" s="1" t="s">
        <v>2610</v>
      </c>
      <c r="E45" s="9">
        <v>22630</v>
      </c>
      <c r="F45" s="1" t="str">
        <f>VLOOKUP(D45,Table12[[Name]:[Native]],3,FALSE)</f>
        <v>永济市</v>
      </c>
      <c r="G45" s="12" t="str">
        <f ca="1">VLOOKUP(F45,Table12[[Native]:[Population4]],5,FALSE)</f>
        <v>运城市</v>
      </c>
    </row>
    <row r="46" spans="1:7" ht="15.75" thickBot="1" x14ac:dyDescent="0.3">
      <c r="A46" t="s">
        <v>2664</v>
      </c>
      <c r="B46" s="1" t="s">
        <v>2665</v>
      </c>
      <c r="C46" s="1" t="s">
        <v>17</v>
      </c>
      <c r="D46" s="1" t="s">
        <v>2581</v>
      </c>
      <c r="E46" s="9">
        <v>18790</v>
      </c>
      <c r="F46" s="1" t="str">
        <f>VLOOKUP(D46,Table12[[Name]:[Native]],3,FALSE)</f>
        <v>绛县</v>
      </c>
      <c r="G46" s="12" t="str">
        <f ca="1">VLOOKUP(F46,Table12[[Native]:[Population4]],5,FALSE)</f>
        <v>运城市</v>
      </c>
    </row>
    <row r="47" spans="1:7" ht="15.75" thickBot="1" x14ac:dyDescent="0.3">
      <c r="A47" t="s">
        <v>2511</v>
      </c>
      <c r="B47" s="1" t="s">
        <v>2512</v>
      </c>
      <c r="C47" s="1" t="s">
        <v>7</v>
      </c>
      <c r="D47" s="1" t="s">
        <v>2636</v>
      </c>
      <c r="E47" s="9">
        <v>35092</v>
      </c>
      <c r="F47" s="1" t="str">
        <f>VLOOKUP(D47,Table12[[Name]:[Native]],3,FALSE)</f>
        <v>闻喜县</v>
      </c>
      <c r="G47" s="12" t="str">
        <f ca="1">VLOOKUP(F47,Table12[[Native]:[Population4]],5,FALSE)</f>
        <v>运城市</v>
      </c>
    </row>
    <row r="48" spans="1:7" ht="15.75" thickBot="1" x14ac:dyDescent="0.3">
      <c r="A48" t="s">
        <v>2666</v>
      </c>
      <c r="B48" s="1" t="s">
        <v>2667</v>
      </c>
      <c r="C48" s="1" t="s">
        <v>7</v>
      </c>
      <c r="D48" s="1" t="s">
        <v>2591</v>
      </c>
      <c r="E48" s="9">
        <v>40154</v>
      </c>
      <c r="F48" s="1" t="str">
        <f>VLOOKUP(D48,Table12[[Name]:[Native]],3,FALSE)</f>
        <v>新绛县</v>
      </c>
      <c r="G48" s="12" t="str">
        <f ca="1">VLOOKUP(F48,Table12[[Native]:[Population4]],5,FALSE)</f>
        <v>运城市</v>
      </c>
    </row>
    <row r="49" spans="1:7" ht="15.75" thickBot="1" x14ac:dyDescent="0.3">
      <c r="A49" t="s">
        <v>2668</v>
      </c>
      <c r="B49" s="1" t="s">
        <v>2669</v>
      </c>
      <c r="C49" s="1" t="s">
        <v>7</v>
      </c>
      <c r="D49" s="1" t="s">
        <v>2581</v>
      </c>
      <c r="E49" s="9">
        <v>46681</v>
      </c>
      <c r="F49" s="1" t="str">
        <f>VLOOKUP(D49,Table12[[Name]:[Native]],3,FALSE)</f>
        <v>绛县</v>
      </c>
      <c r="G49" s="12" t="str">
        <f ca="1">VLOOKUP(F49,Table12[[Native]:[Population4]],5,FALSE)</f>
        <v>运城市</v>
      </c>
    </row>
    <row r="50" spans="1:7" ht="15.75" thickBot="1" x14ac:dyDescent="0.3">
      <c r="A50" t="s">
        <v>2670</v>
      </c>
      <c r="B50" s="1" t="s">
        <v>2671</v>
      </c>
      <c r="C50" s="1" t="s">
        <v>17</v>
      </c>
      <c r="D50" s="1" t="s">
        <v>2594</v>
      </c>
      <c r="E50" s="9">
        <v>15407</v>
      </c>
      <c r="F50" s="1" t="str">
        <f>VLOOKUP(D50,Table12[[Name]:[Native]],3,FALSE)</f>
        <v>平陆县</v>
      </c>
      <c r="G50" s="12" t="str">
        <f ca="1">VLOOKUP(F50,Table12[[Native]:[Population4]],5,FALSE)</f>
        <v>运城市</v>
      </c>
    </row>
    <row r="51" spans="1:7" ht="15.75" thickBot="1" x14ac:dyDescent="0.3">
      <c r="A51" t="s">
        <v>2672</v>
      </c>
      <c r="B51" s="1" t="s">
        <v>2673</v>
      </c>
      <c r="C51" s="1" t="s">
        <v>7</v>
      </c>
      <c r="D51" s="1" t="s">
        <v>2578</v>
      </c>
      <c r="E51" s="9">
        <v>17956</v>
      </c>
      <c r="F51" s="1" t="str">
        <f>VLOOKUP(D51,Table12[[Name]:[Native]],3,FALSE)</f>
        <v>盐湖区</v>
      </c>
      <c r="G51" s="12" t="str">
        <f ca="1">VLOOKUP(F51,Table12[[Native]:[Population4]],5,FALSE)</f>
        <v>运城市</v>
      </c>
    </row>
    <row r="52" spans="1:7" ht="15.75" thickBot="1" x14ac:dyDescent="0.3">
      <c r="A52" t="s">
        <v>1943</v>
      </c>
      <c r="B52" s="1" t="s">
        <v>1944</v>
      </c>
      <c r="C52" s="1" t="s">
        <v>17</v>
      </c>
      <c r="D52" s="1" t="s">
        <v>2636</v>
      </c>
      <c r="E52" s="9">
        <v>23188</v>
      </c>
      <c r="F52" s="1" t="str">
        <f>VLOOKUP(D52,Table12[[Name]:[Native]],3,FALSE)</f>
        <v>闻喜县</v>
      </c>
      <c r="G52" s="12" t="str">
        <f ca="1">VLOOKUP(F52,Table12[[Native]:[Population4]],5,FALSE)</f>
        <v>运城市</v>
      </c>
    </row>
    <row r="53" spans="1:7" ht="15.75" thickBot="1" x14ac:dyDescent="0.3">
      <c r="A53" t="s">
        <v>2674</v>
      </c>
      <c r="B53" s="1" t="s">
        <v>2675</v>
      </c>
      <c r="C53" s="1" t="s">
        <v>17</v>
      </c>
      <c r="D53" s="1" t="s">
        <v>2636</v>
      </c>
      <c r="E53" s="9">
        <v>18425</v>
      </c>
      <c r="F53" s="1" t="str">
        <f>VLOOKUP(D53,Table12[[Name]:[Native]],3,FALSE)</f>
        <v>闻喜县</v>
      </c>
      <c r="G53" s="12" t="str">
        <f ca="1">VLOOKUP(F53,Table12[[Native]:[Population4]],5,FALSE)</f>
        <v>运城市</v>
      </c>
    </row>
    <row r="54" spans="1:7" ht="15.75" thickBot="1" x14ac:dyDescent="0.3">
      <c r="A54" t="s">
        <v>2676</v>
      </c>
      <c r="B54" s="1" t="s">
        <v>2677</v>
      </c>
      <c r="C54" s="1" t="s">
        <v>17</v>
      </c>
      <c r="D54" s="1" t="s">
        <v>2607</v>
      </c>
      <c r="E54" s="9">
        <v>21591</v>
      </c>
      <c r="F54" s="1" t="str">
        <f>VLOOKUP(D54,Table12[[Name]:[Native]],3,FALSE)</f>
        <v>垣曲县</v>
      </c>
      <c r="G54" s="12" t="str">
        <f ca="1">VLOOKUP(F54,Table12[[Native]:[Population4]],5,FALSE)</f>
        <v>运城市</v>
      </c>
    </row>
    <row r="55" spans="1:7" ht="15.75" thickBot="1" x14ac:dyDescent="0.3">
      <c r="A55" t="s">
        <v>2678</v>
      </c>
      <c r="B55" s="1" t="s">
        <v>2679</v>
      </c>
      <c r="C55" s="1" t="s">
        <v>17</v>
      </c>
      <c r="D55" s="1" t="s">
        <v>2647</v>
      </c>
      <c r="E55" s="9">
        <v>20697</v>
      </c>
      <c r="F55" s="1" t="str">
        <f>VLOOKUP(D55,Table12[[Name]:[Native]],3,FALSE)</f>
        <v>万荣县</v>
      </c>
      <c r="G55" s="12" t="str">
        <f ca="1">VLOOKUP(F55,Table12[[Native]:[Population4]],5,FALSE)</f>
        <v>运城市</v>
      </c>
    </row>
    <row r="56" spans="1:7" ht="15.75" thickBot="1" x14ac:dyDescent="0.3">
      <c r="A56" t="s">
        <v>2680</v>
      </c>
      <c r="B56" s="1" t="s">
        <v>2681</v>
      </c>
      <c r="C56" s="1" t="s">
        <v>7</v>
      </c>
      <c r="D56" s="1" t="s">
        <v>2597</v>
      </c>
      <c r="E56" s="9">
        <v>39608</v>
      </c>
      <c r="F56" s="1" t="str">
        <f>VLOOKUP(D56,Table12[[Name]:[Native]],3,FALSE)</f>
        <v>稷山县</v>
      </c>
      <c r="G56" s="12" t="str">
        <f ca="1">VLOOKUP(F56,Table12[[Native]:[Population4]],5,FALSE)</f>
        <v>运城市</v>
      </c>
    </row>
    <row r="57" spans="1:7" ht="15.75" thickBot="1" x14ac:dyDescent="0.3">
      <c r="A57" t="s">
        <v>2682</v>
      </c>
      <c r="B57" s="1" t="s">
        <v>2683</v>
      </c>
      <c r="C57" s="1" t="s">
        <v>17</v>
      </c>
      <c r="D57" s="1" t="s">
        <v>2684</v>
      </c>
      <c r="E57" s="9">
        <v>36498</v>
      </c>
      <c r="F57" s="1" t="str">
        <f>VLOOKUP(D57,Table12[[Name]:[Native]],3,FALSE)</f>
        <v>夏县</v>
      </c>
      <c r="G57" s="12" t="str">
        <f ca="1">VLOOKUP(F57,Table12[[Native]:[Population4]],5,FALSE)</f>
        <v>运城市</v>
      </c>
    </row>
    <row r="58" spans="1:7" ht="15.75" thickBot="1" x14ac:dyDescent="0.3">
      <c r="A58" t="s">
        <v>2685</v>
      </c>
      <c r="B58" s="1" t="s">
        <v>2686</v>
      </c>
      <c r="C58" s="1" t="s">
        <v>17</v>
      </c>
      <c r="D58" s="1" t="s">
        <v>2647</v>
      </c>
      <c r="E58" s="9">
        <v>25094</v>
      </c>
      <c r="F58" s="1" t="str">
        <f>VLOOKUP(D58,Table12[[Name]:[Native]],3,FALSE)</f>
        <v>万荣县</v>
      </c>
      <c r="G58" s="12" t="str">
        <f ca="1">VLOOKUP(F58,Table12[[Native]:[Population4]],5,FALSE)</f>
        <v>运城市</v>
      </c>
    </row>
    <row r="59" spans="1:7" ht="15.75" thickBot="1" x14ac:dyDescent="0.3">
      <c r="A59" t="s">
        <v>2687</v>
      </c>
      <c r="B59" s="1" t="s">
        <v>2688</v>
      </c>
      <c r="C59" s="1" t="s">
        <v>17</v>
      </c>
      <c r="D59" s="1" t="s">
        <v>2584</v>
      </c>
      <c r="E59" s="9">
        <v>40263</v>
      </c>
      <c r="F59" s="1" t="str">
        <f>VLOOKUP(D59,Table12[[Name]:[Native]],3,FALSE)</f>
        <v>临猗县</v>
      </c>
      <c r="G59" s="12" t="str">
        <f ca="1">VLOOKUP(F59,Table12[[Native]:[Population4]],5,FALSE)</f>
        <v>运城市</v>
      </c>
    </row>
    <row r="60" spans="1:7" ht="15.75" thickBot="1" x14ac:dyDescent="0.3">
      <c r="A60" t="s">
        <v>2689</v>
      </c>
      <c r="B60" s="1" t="s">
        <v>2690</v>
      </c>
      <c r="C60" s="1" t="s">
        <v>7</v>
      </c>
      <c r="D60" s="1" t="s">
        <v>2647</v>
      </c>
      <c r="E60" s="9">
        <v>81386</v>
      </c>
      <c r="F60" s="1" t="str">
        <f>VLOOKUP(D60,Table12[[Name]:[Native]],3,FALSE)</f>
        <v>万荣县</v>
      </c>
      <c r="G60" s="12" t="str">
        <f ca="1">VLOOKUP(F60,Table12[[Native]:[Population4]],5,FALSE)</f>
        <v>运城市</v>
      </c>
    </row>
    <row r="61" spans="1:7" ht="15.75" thickBot="1" x14ac:dyDescent="0.3">
      <c r="A61" t="s">
        <v>2691</v>
      </c>
      <c r="B61" s="1" t="s">
        <v>2692</v>
      </c>
      <c r="C61" s="1" t="s">
        <v>17</v>
      </c>
      <c r="D61" s="1" t="s">
        <v>2607</v>
      </c>
      <c r="E61" s="9">
        <v>6332</v>
      </c>
      <c r="F61" s="1" t="str">
        <f>VLOOKUP(D61,Table12[[Name]:[Native]],3,FALSE)</f>
        <v>垣曲县</v>
      </c>
      <c r="G61" s="12" t="str">
        <f ca="1">VLOOKUP(F61,Table12[[Native]:[Population4]],5,FALSE)</f>
        <v>运城市</v>
      </c>
    </row>
    <row r="62" spans="1:7" ht="15.75" thickBot="1" x14ac:dyDescent="0.3">
      <c r="A62" t="s">
        <v>2693</v>
      </c>
      <c r="B62" s="1" t="s">
        <v>2694</v>
      </c>
      <c r="C62" s="1" t="s">
        <v>7</v>
      </c>
      <c r="D62" s="1" t="s">
        <v>2578</v>
      </c>
      <c r="E62" s="9">
        <v>57773</v>
      </c>
      <c r="F62" s="1" t="str">
        <f>VLOOKUP(D62,Table12[[Name]:[Native]],3,FALSE)</f>
        <v>盐湖区</v>
      </c>
      <c r="G62" s="12" t="str">
        <f ca="1">VLOOKUP(F62,Table12[[Native]:[Population4]],5,FALSE)</f>
        <v>运城市</v>
      </c>
    </row>
    <row r="63" spans="1:7" ht="15.75" thickBot="1" x14ac:dyDescent="0.3">
      <c r="A63" t="s">
        <v>2695</v>
      </c>
      <c r="B63" s="1" t="s">
        <v>2696</v>
      </c>
      <c r="C63" s="1" t="s">
        <v>7</v>
      </c>
      <c r="D63" s="1" t="s">
        <v>2597</v>
      </c>
      <c r="E63" s="9">
        <v>132509</v>
      </c>
      <c r="F63" s="1" t="str">
        <f>VLOOKUP(D63,Table12[[Name]:[Native]],3,FALSE)</f>
        <v>稷山县</v>
      </c>
      <c r="G63" s="12" t="str">
        <f ca="1">VLOOKUP(F63,Table12[[Native]:[Population4]],5,FALSE)</f>
        <v>运城市</v>
      </c>
    </row>
    <row r="64" spans="1:7" ht="15.75" thickBot="1" x14ac:dyDescent="0.3">
      <c r="A64" t="s">
        <v>2697</v>
      </c>
      <c r="B64" s="1" t="s">
        <v>2698</v>
      </c>
      <c r="C64" s="1" t="s">
        <v>17</v>
      </c>
      <c r="D64" s="1" t="s">
        <v>2578</v>
      </c>
      <c r="E64" s="9">
        <v>21934</v>
      </c>
      <c r="F64" s="1" t="str">
        <f>VLOOKUP(D64,Table12[[Name]:[Native]],3,FALSE)</f>
        <v>盐湖区</v>
      </c>
      <c r="G64" s="12" t="str">
        <f ca="1">VLOOKUP(F64,Table12[[Native]:[Population4]],5,FALSE)</f>
        <v>运城市</v>
      </c>
    </row>
    <row r="65" spans="1:7" ht="15.75" thickBot="1" x14ac:dyDescent="0.3">
      <c r="A65" t="s">
        <v>2518</v>
      </c>
      <c r="B65" s="1" t="s">
        <v>2519</v>
      </c>
      <c r="C65" s="1" t="s">
        <v>35</v>
      </c>
      <c r="D65" s="1" t="s">
        <v>2591</v>
      </c>
      <c r="E65" s="9">
        <v>11997</v>
      </c>
      <c r="F65" s="1" t="str">
        <f>VLOOKUP(D65,Table12[[Name]:[Native]],3,FALSE)</f>
        <v>新绛县</v>
      </c>
      <c r="G65" s="12" t="str">
        <f ca="1">VLOOKUP(F65,Table12[[Native]:[Population4]],5,FALSE)</f>
        <v>运城市</v>
      </c>
    </row>
    <row r="66" spans="1:7" ht="15.75" thickBot="1" x14ac:dyDescent="0.3">
      <c r="A66" t="s">
        <v>2699</v>
      </c>
      <c r="B66" s="1" t="s">
        <v>2700</v>
      </c>
      <c r="C66" s="1" t="s">
        <v>7</v>
      </c>
      <c r="D66" s="1" t="s">
        <v>2610</v>
      </c>
      <c r="E66" s="9">
        <v>38578</v>
      </c>
      <c r="F66" s="1" t="str">
        <f>VLOOKUP(D66,Table12[[Name]:[Native]],3,FALSE)</f>
        <v>永济市</v>
      </c>
      <c r="G66" s="12" t="str">
        <f ca="1">VLOOKUP(F66,Table12[[Native]:[Population4]],5,FALSE)</f>
        <v>运城市</v>
      </c>
    </row>
    <row r="67" spans="1:7" ht="15.75" thickBot="1" x14ac:dyDescent="0.3">
      <c r="A67" t="s">
        <v>2701</v>
      </c>
      <c r="B67" s="1" t="s">
        <v>2702</v>
      </c>
      <c r="C67" s="1" t="s">
        <v>7</v>
      </c>
      <c r="D67" s="1" t="s">
        <v>2610</v>
      </c>
      <c r="E67" s="9">
        <v>47634</v>
      </c>
      <c r="F67" s="1" t="str">
        <f>VLOOKUP(D67,Table12[[Name]:[Native]],3,FALSE)</f>
        <v>永济市</v>
      </c>
      <c r="G67" s="12" t="str">
        <f ca="1">VLOOKUP(F67,Table12[[Native]:[Population4]],5,FALSE)</f>
        <v>运城市</v>
      </c>
    </row>
    <row r="68" spans="1:7" ht="15.75" thickBot="1" x14ac:dyDescent="0.3">
      <c r="A68" t="s">
        <v>2703</v>
      </c>
      <c r="B68" s="1" t="s">
        <v>2704</v>
      </c>
      <c r="C68" s="1" t="s">
        <v>17</v>
      </c>
      <c r="D68" s="1" t="s">
        <v>2581</v>
      </c>
      <c r="E68" s="9">
        <v>8916</v>
      </c>
      <c r="F68" s="1" t="str">
        <f>VLOOKUP(D68,Table12[[Name]:[Native]],3,FALSE)</f>
        <v>绛县</v>
      </c>
      <c r="G68" s="12" t="str">
        <f ca="1">VLOOKUP(F68,Table12[[Native]:[Population4]],5,FALSE)</f>
        <v>运城市</v>
      </c>
    </row>
    <row r="69" spans="1:7" ht="15.75" thickBot="1" x14ac:dyDescent="0.3">
      <c r="A69" t="s">
        <v>2705</v>
      </c>
      <c r="B69" s="1" t="s">
        <v>2706</v>
      </c>
      <c r="C69" s="1" t="s">
        <v>7</v>
      </c>
      <c r="D69" s="1" t="s">
        <v>2584</v>
      </c>
      <c r="E69" s="9">
        <v>38100</v>
      </c>
      <c r="F69" s="1" t="str">
        <f>VLOOKUP(D69,Table12[[Name]:[Native]],3,FALSE)</f>
        <v>临猗县</v>
      </c>
      <c r="G69" s="12" t="str">
        <f ca="1">VLOOKUP(F69,Table12[[Native]:[Population4]],5,FALSE)</f>
        <v>运城市</v>
      </c>
    </row>
    <row r="70" spans="1:7" ht="15.75" thickBot="1" x14ac:dyDescent="0.3">
      <c r="A70" t="s">
        <v>2707</v>
      </c>
      <c r="B70" s="1" t="s">
        <v>2708</v>
      </c>
      <c r="C70" s="1" t="s">
        <v>7</v>
      </c>
      <c r="D70" s="1" t="s">
        <v>2607</v>
      </c>
      <c r="E70" s="9">
        <v>13755</v>
      </c>
      <c r="F70" s="1" t="str">
        <f>VLOOKUP(D70,Table12[[Name]:[Native]],3,FALSE)</f>
        <v>垣曲县</v>
      </c>
      <c r="G70" s="12" t="str">
        <f ca="1">VLOOKUP(F70,Table12[[Native]:[Population4]],5,FALSE)</f>
        <v>运城市</v>
      </c>
    </row>
    <row r="71" spans="1:7" ht="15.75" thickBot="1" x14ac:dyDescent="0.3">
      <c r="A71" t="s">
        <v>2709</v>
      </c>
      <c r="B71" s="1" t="s">
        <v>2710</v>
      </c>
      <c r="C71" s="1" t="s">
        <v>17</v>
      </c>
      <c r="D71" s="1" t="s">
        <v>2647</v>
      </c>
      <c r="E71" s="9">
        <v>25586</v>
      </c>
      <c r="F71" s="1" t="str">
        <f>VLOOKUP(D71,Table12[[Name]:[Native]],3,FALSE)</f>
        <v>万荣县</v>
      </c>
      <c r="G71" s="12" t="str">
        <f ca="1">VLOOKUP(F71,Table12[[Native]:[Population4]],5,FALSE)</f>
        <v>运城市</v>
      </c>
    </row>
    <row r="72" spans="1:7" ht="15.75" thickBot="1" x14ac:dyDescent="0.3">
      <c r="A72" t="s">
        <v>169</v>
      </c>
      <c r="B72" s="1" t="s">
        <v>2711</v>
      </c>
      <c r="C72" s="1" t="s">
        <v>7</v>
      </c>
      <c r="D72" s="1" t="s">
        <v>2636</v>
      </c>
      <c r="E72" s="9">
        <v>31921</v>
      </c>
      <c r="F72" s="1" t="str">
        <f>VLOOKUP(D72,Table12[[Name]:[Native]],3,FALSE)</f>
        <v>闻喜县</v>
      </c>
      <c r="G72" s="12" t="str">
        <f ca="1">VLOOKUP(F72,Table12[[Native]:[Population4]],5,FALSE)</f>
        <v>运城市</v>
      </c>
    </row>
    <row r="73" spans="1:7" ht="15.75" thickBot="1" x14ac:dyDescent="0.3">
      <c r="A73" t="s">
        <v>2712</v>
      </c>
      <c r="B73" s="1" t="s">
        <v>2713</v>
      </c>
      <c r="C73" s="1" t="s">
        <v>7</v>
      </c>
      <c r="D73" s="1" t="s">
        <v>2578</v>
      </c>
      <c r="E73" s="9">
        <v>34720</v>
      </c>
      <c r="F73" s="1" t="str">
        <f>VLOOKUP(D73,Table12[[Name]:[Native]],3,FALSE)</f>
        <v>盐湖区</v>
      </c>
      <c r="G73" s="12" t="str">
        <f ca="1">VLOOKUP(F73,Table12[[Native]:[Population4]],5,FALSE)</f>
        <v>运城市</v>
      </c>
    </row>
    <row r="74" spans="1:7" ht="15.75" thickBot="1" x14ac:dyDescent="0.3">
      <c r="A74" t="s">
        <v>2714</v>
      </c>
      <c r="B74" s="1" t="s">
        <v>2715</v>
      </c>
      <c r="C74" s="1" t="s">
        <v>7</v>
      </c>
      <c r="D74" s="1" t="s">
        <v>2591</v>
      </c>
      <c r="E74" s="9">
        <v>56381</v>
      </c>
      <c r="F74" s="1" t="str">
        <f>VLOOKUP(D74,Table12[[Name]:[Native]],3,FALSE)</f>
        <v>新绛县</v>
      </c>
      <c r="G74" s="12" t="str">
        <f ca="1">VLOOKUP(F74,Table12[[Native]:[Population4]],5,FALSE)</f>
        <v>运城市</v>
      </c>
    </row>
    <row r="75" spans="1:7" ht="15.75" thickBot="1" x14ac:dyDescent="0.3">
      <c r="A75" t="s">
        <v>2716</v>
      </c>
      <c r="B75" s="1" t="s">
        <v>2717</v>
      </c>
      <c r="C75" s="1" t="s">
        <v>7</v>
      </c>
      <c r="D75" s="1" t="s">
        <v>2607</v>
      </c>
      <c r="E75" s="9">
        <v>10832</v>
      </c>
      <c r="F75" s="1" t="str">
        <f>VLOOKUP(D75,Table12[[Name]:[Native]],3,FALSE)</f>
        <v>垣曲县</v>
      </c>
      <c r="G75" s="12" t="str">
        <f ca="1">VLOOKUP(F75,Table12[[Native]:[Population4]],5,FALSE)</f>
        <v>运城市</v>
      </c>
    </row>
    <row r="76" spans="1:7" ht="15.75" thickBot="1" x14ac:dyDescent="0.3">
      <c r="A76" t="s">
        <v>2718</v>
      </c>
      <c r="B76" s="1" t="s">
        <v>2719</v>
      </c>
      <c r="C76" s="1" t="s">
        <v>7</v>
      </c>
      <c r="D76" s="1" t="s">
        <v>2584</v>
      </c>
      <c r="E76" s="9">
        <v>26948</v>
      </c>
      <c r="F76" s="1" t="str">
        <f>VLOOKUP(D76,Table12[[Name]:[Native]],3,FALSE)</f>
        <v>临猗县</v>
      </c>
      <c r="G76" s="12" t="str">
        <f ca="1">VLOOKUP(F76,Table12[[Native]:[Population4]],5,FALSE)</f>
        <v>运城市</v>
      </c>
    </row>
    <row r="77" spans="1:7" ht="15.75" thickBot="1" x14ac:dyDescent="0.3">
      <c r="A77" t="s">
        <v>2720</v>
      </c>
      <c r="B77" s="1" t="s">
        <v>2721</v>
      </c>
      <c r="C77" s="1" t="s">
        <v>7</v>
      </c>
      <c r="D77" s="1" t="s">
        <v>2684</v>
      </c>
      <c r="E77" s="9">
        <v>28471</v>
      </c>
      <c r="F77" s="1" t="str">
        <f>VLOOKUP(D77,Table12[[Name]:[Native]],3,FALSE)</f>
        <v>夏县</v>
      </c>
      <c r="G77" s="12" t="str">
        <f ca="1">VLOOKUP(F77,Table12[[Native]:[Population4]],5,FALSE)</f>
        <v>运城市</v>
      </c>
    </row>
    <row r="78" spans="1:7" ht="15.75" thickBot="1" x14ac:dyDescent="0.3">
      <c r="A78" t="s">
        <v>2722</v>
      </c>
      <c r="B78" s="1" t="s">
        <v>2723</v>
      </c>
      <c r="C78" s="1" t="s">
        <v>17</v>
      </c>
      <c r="D78" s="1" t="s">
        <v>2584</v>
      </c>
      <c r="E78" s="9">
        <v>31574</v>
      </c>
      <c r="F78" s="1" t="str">
        <f>VLOOKUP(D78,Table12[[Name]:[Native]],3,FALSE)</f>
        <v>临猗县</v>
      </c>
      <c r="G78" s="12" t="str">
        <f ca="1">VLOOKUP(F78,Table12[[Native]:[Population4]],5,FALSE)</f>
        <v>运城市</v>
      </c>
    </row>
    <row r="79" spans="1:7" ht="15.75" thickBot="1" x14ac:dyDescent="0.3">
      <c r="A79" t="s">
        <v>2724</v>
      </c>
      <c r="B79" s="1" t="s">
        <v>2725</v>
      </c>
      <c r="C79" s="1" t="s">
        <v>7</v>
      </c>
      <c r="D79" s="1" t="s">
        <v>2581</v>
      </c>
      <c r="E79" s="9">
        <v>9747</v>
      </c>
      <c r="F79" s="1" t="str">
        <f>VLOOKUP(D79,Table12[[Name]:[Native]],3,FALSE)</f>
        <v>绛县</v>
      </c>
      <c r="G79" s="12" t="str">
        <f ca="1">VLOOKUP(F79,Table12[[Native]:[Population4]],5,FALSE)</f>
        <v>运城市</v>
      </c>
    </row>
    <row r="80" spans="1:7" ht="15.75" thickBot="1" x14ac:dyDescent="0.3">
      <c r="A80" t="s">
        <v>2726</v>
      </c>
      <c r="B80" s="1" t="s">
        <v>2727</v>
      </c>
      <c r="C80" s="1" t="s">
        <v>7</v>
      </c>
      <c r="D80" s="1" t="s">
        <v>2625</v>
      </c>
      <c r="E80" s="9">
        <v>43851</v>
      </c>
      <c r="F80" s="1" t="str">
        <f>VLOOKUP(D80,Table12[[Name]:[Native]],3,FALSE)</f>
        <v>芮城县</v>
      </c>
      <c r="G80" s="12" t="str">
        <f ca="1">VLOOKUP(F80,Table12[[Native]:[Population4]],5,FALSE)</f>
        <v>运城市</v>
      </c>
    </row>
    <row r="81" spans="1:7" ht="15.75" thickBot="1" x14ac:dyDescent="0.3">
      <c r="A81" t="s">
        <v>721</v>
      </c>
      <c r="B81" s="1" t="s">
        <v>722</v>
      </c>
      <c r="C81" s="1" t="s">
        <v>31</v>
      </c>
      <c r="D81" s="1" t="s">
        <v>2578</v>
      </c>
      <c r="E81" s="9">
        <v>35679</v>
      </c>
      <c r="F81" s="1" t="str">
        <f>VLOOKUP(D81,Table12[[Name]:[Native]],3,FALSE)</f>
        <v>盐湖区</v>
      </c>
      <c r="G81" s="12" t="str">
        <f ca="1">VLOOKUP(F81,Table12[[Native]:[Population4]],5,FALSE)</f>
        <v>运城市</v>
      </c>
    </row>
    <row r="82" spans="1:7" ht="15.75" thickBot="1" x14ac:dyDescent="0.3">
      <c r="A82" t="s">
        <v>2728</v>
      </c>
      <c r="B82" s="1" t="s">
        <v>2729</v>
      </c>
      <c r="C82" s="1" t="s">
        <v>17</v>
      </c>
      <c r="D82" s="1" t="s">
        <v>2684</v>
      </c>
      <c r="E82" s="9">
        <v>18215</v>
      </c>
      <c r="F82" s="1" t="str">
        <f>VLOOKUP(D82,Table12[[Name]:[Native]],3,FALSE)</f>
        <v>夏县</v>
      </c>
      <c r="G82" s="12" t="str">
        <f ca="1">VLOOKUP(F82,Table12[[Native]:[Population4]],5,FALSE)</f>
        <v>运城市</v>
      </c>
    </row>
    <row r="83" spans="1:7" ht="15.75" thickBot="1" x14ac:dyDescent="0.3">
      <c r="A83" t="s">
        <v>2730</v>
      </c>
      <c r="B83" s="1" t="s">
        <v>2731</v>
      </c>
      <c r="C83" s="1" t="s">
        <v>7</v>
      </c>
      <c r="D83" s="1" t="s">
        <v>2581</v>
      </c>
      <c r="E83" s="9">
        <v>24060</v>
      </c>
      <c r="F83" s="1" t="str">
        <f>VLOOKUP(D83,Table12[[Name]:[Native]],3,FALSE)</f>
        <v>绛县</v>
      </c>
      <c r="G83" s="12" t="str">
        <f ca="1">VLOOKUP(F83,Table12[[Native]:[Population4]],5,FALSE)</f>
        <v>运城市</v>
      </c>
    </row>
    <row r="84" spans="1:7" ht="15.75" thickBot="1" x14ac:dyDescent="0.3">
      <c r="A84" t="s">
        <v>2732</v>
      </c>
      <c r="B84" s="1" t="s">
        <v>2733</v>
      </c>
      <c r="C84" s="1" t="s">
        <v>7</v>
      </c>
      <c r="D84" s="1" t="s">
        <v>2625</v>
      </c>
      <c r="E84" s="9">
        <v>30615</v>
      </c>
      <c r="F84" s="1" t="str">
        <f>VLOOKUP(D84,Table12[[Name]:[Native]],3,FALSE)</f>
        <v>芮城县</v>
      </c>
      <c r="G84" s="12" t="str">
        <f ca="1">VLOOKUP(F84,Table12[[Native]:[Population4]],5,FALSE)</f>
        <v>运城市</v>
      </c>
    </row>
    <row r="85" spans="1:7" ht="15.75" thickBot="1" x14ac:dyDescent="0.3">
      <c r="A85" t="s">
        <v>2734</v>
      </c>
      <c r="B85" s="1" t="s">
        <v>2735</v>
      </c>
      <c r="C85" s="1" t="s">
        <v>17</v>
      </c>
      <c r="D85" s="1" t="s">
        <v>2647</v>
      </c>
      <c r="E85" s="9">
        <v>31471</v>
      </c>
      <c r="F85" s="1" t="str">
        <f>VLOOKUP(D85,Table12[[Name]:[Native]],3,FALSE)</f>
        <v>万荣县</v>
      </c>
      <c r="G85" s="12" t="str">
        <f ca="1">VLOOKUP(F85,Table12[[Native]:[Population4]],5,FALSE)</f>
        <v>运城市</v>
      </c>
    </row>
    <row r="86" spans="1:7" ht="15.75" thickBot="1" x14ac:dyDescent="0.3">
      <c r="A86" t="s">
        <v>2736</v>
      </c>
      <c r="B86" s="1" t="s">
        <v>2737</v>
      </c>
      <c r="C86" s="1" t="s">
        <v>7</v>
      </c>
      <c r="D86" s="1" t="s">
        <v>2684</v>
      </c>
      <c r="E86" s="9">
        <v>12263</v>
      </c>
      <c r="F86" s="1" t="str">
        <f>VLOOKUP(D86,Table12[[Name]:[Native]],3,FALSE)</f>
        <v>夏县</v>
      </c>
      <c r="G86" s="12" t="str">
        <f ca="1">VLOOKUP(F86,Table12[[Native]:[Population4]],5,FALSE)</f>
        <v>运城市</v>
      </c>
    </row>
    <row r="87" spans="1:7" ht="15.75" thickBot="1" x14ac:dyDescent="0.3">
      <c r="A87" t="s">
        <v>2738</v>
      </c>
      <c r="B87" s="1" t="s">
        <v>2739</v>
      </c>
      <c r="C87" s="1" t="s">
        <v>7</v>
      </c>
      <c r="D87" s="1" t="s">
        <v>2584</v>
      </c>
      <c r="E87" s="9">
        <v>34970</v>
      </c>
      <c r="F87" s="1" t="str">
        <f>VLOOKUP(D87,Table12[[Name]:[Native]],3,FALSE)</f>
        <v>临猗县</v>
      </c>
      <c r="G87" s="12" t="str">
        <f ca="1">VLOOKUP(F87,Table12[[Native]:[Population4]],5,FALSE)</f>
        <v>运城市</v>
      </c>
    </row>
    <row r="88" spans="1:7" ht="15.75" thickBot="1" x14ac:dyDescent="0.3">
      <c r="A88" t="s">
        <v>2740</v>
      </c>
      <c r="B88" s="1" t="s">
        <v>2741</v>
      </c>
      <c r="C88" s="1" t="s">
        <v>7</v>
      </c>
      <c r="D88" s="1" t="s">
        <v>2684</v>
      </c>
      <c r="E88" s="9">
        <v>49502</v>
      </c>
      <c r="F88" s="1" t="str">
        <f>VLOOKUP(D88,Table12[[Name]:[Native]],3,FALSE)</f>
        <v>夏县</v>
      </c>
      <c r="G88" s="12" t="str">
        <f ca="1">VLOOKUP(F88,Table12[[Native]:[Population4]],5,FALSE)</f>
        <v>运城市</v>
      </c>
    </row>
    <row r="89" spans="1:7" ht="15.75" thickBot="1" x14ac:dyDescent="0.3">
      <c r="A89" t="s">
        <v>2742</v>
      </c>
      <c r="B89" s="1" t="s">
        <v>2743</v>
      </c>
      <c r="C89" s="1" t="s">
        <v>17</v>
      </c>
      <c r="D89" s="1" t="s">
        <v>2636</v>
      </c>
      <c r="E89" s="9">
        <v>17637</v>
      </c>
      <c r="F89" s="1" t="str">
        <f>VLOOKUP(D89,Table12[[Name]:[Native]],3,FALSE)</f>
        <v>闻喜县</v>
      </c>
      <c r="G89" s="12" t="str">
        <f ca="1">VLOOKUP(F89,Table12[[Native]:[Population4]],5,FALSE)</f>
        <v>运城市</v>
      </c>
    </row>
    <row r="90" spans="1:7" ht="15.75" thickBot="1" x14ac:dyDescent="0.3">
      <c r="A90" t="s">
        <v>2744</v>
      </c>
      <c r="B90" s="1" t="s">
        <v>2745</v>
      </c>
      <c r="C90" s="1" t="s">
        <v>7</v>
      </c>
      <c r="D90" s="1" t="s">
        <v>2647</v>
      </c>
      <c r="E90" s="9">
        <v>27453</v>
      </c>
      <c r="F90" s="1" t="str">
        <f>VLOOKUP(D90,Table12[[Name]:[Native]],3,FALSE)</f>
        <v>万荣县</v>
      </c>
      <c r="G90" s="12" t="str">
        <f ca="1">VLOOKUP(F90,Table12[[Native]:[Population4]],5,FALSE)</f>
        <v>运城市</v>
      </c>
    </row>
    <row r="91" spans="1:7" ht="15.75" thickBot="1" x14ac:dyDescent="0.3">
      <c r="A91" t="s">
        <v>2746</v>
      </c>
      <c r="B91" s="1" t="s">
        <v>2747</v>
      </c>
      <c r="C91" s="1" t="s">
        <v>17</v>
      </c>
      <c r="D91" s="1" t="s">
        <v>2594</v>
      </c>
      <c r="E91" s="9">
        <v>9642</v>
      </c>
      <c r="F91" s="1" t="str">
        <f>VLOOKUP(D91,Table12[[Name]:[Native]],3,FALSE)</f>
        <v>平陆县</v>
      </c>
      <c r="G91" s="12" t="str">
        <f ca="1">VLOOKUP(F91,Table12[[Native]:[Population4]],5,FALSE)</f>
        <v>运城市</v>
      </c>
    </row>
    <row r="92" spans="1:7" ht="15.75" thickBot="1" x14ac:dyDescent="0.3">
      <c r="A92" t="s">
        <v>2748</v>
      </c>
      <c r="B92" s="1" t="s">
        <v>2749</v>
      </c>
      <c r="C92" s="1" t="s">
        <v>17</v>
      </c>
      <c r="D92" s="1" t="s">
        <v>2607</v>
      </c>
      <c r="E92" s="9">
        <v>16699</v>
      </c>
      <c r="F92" s="1" t="str">
        <f>VLOOKUP(D92,Table12[[Name]:[Native]],3,FALSE)</f>
        <v>垣曲县</v>
      </c>
      <c r="G92" s="12" t="str">
        <f ca="1">VLOOKUP(F92,Table12[[Native]:[Population4]],5,FALSE)</f>
        <v>运城市</v>
      </c>
    </row>
    <row r="93" spans="1:7" ht="15.75" thickBot="1" x14ac:dyDescent="0.3">
      <c r="A93" t="s">
        <v>2750</v>
      </c>
      <c r="B93" s="1" t="s">
        <v>2751</v>
      </c>
      <c r="C93" s="1" t="s">
        <v>7</v>
      </c>
      <c r="D93" s="1" t="s">
        <v>2610</v>
      </c>
      <c r="E93" s="9">
        <v>40817</v>
      </c>
      <c r="F93" s="1" t="str">
        <f>VLOOKUP(D93,Table12[[Name]:[Native]],3,FALSE)</f>
        <v>永济市</v>
      </c>
      <c r="G93" s="12" t="str">
        <f ca="1">VLOOKUP(F93,Table12[[Native]:[Population4]],5,FALSE)</f>
        <v>运城市</v>
      </c>
    </row>
    <row r="94" spans="1:7" ht="15.75" thickBot="1" x14ac:dyDescent="0.3">
      <c r="A94" t="s">
        <v>2752</v>
      </c>
      <c r="B94" s="1" t="s">
        <v>2753</v>
      </c>
      <c r="C94" s="1" t="s">
        <v>17</v>
      </c>
      <c r="D94" s="1" t="s">
        <v>2684</v>
      </c>
      <c r="E94" s="9">
        <v>9665</v>
      </c>
      <c r="F94" s="1" t="str">
        <f>VLOOKUP(D94,Table12[[Name]:[Native]],3,FALSE)</f>
        <v>夏县</v>
      </c>
      <c r="G94" s="12" t="str">
        <f ca="1">VLOOKUP(F94,Table12[[Native]:[Population4]],5,FALSE)</f>
        <v>运城市</v>
      </c>
    </row>
    <row r="95" spans="1:7" ht="15.75" thickBot="1" x14ac:dyDescent="0.3">
      <c r="A95" t="s">
        <v>2754</v>
      </c>
      <c r="B95" s="1" t="s">
        <v>2755</v>
      </c>
      <c r="C95" s="1" t="s">
        <v>7</v>
      </c>
      <c r="D95" s="1" t="s">
        <v>2584</v>
      </c>
      <c r="E95" s="9">
        <v>28865</v>
      </c>
      <c r="F95" s="1" t="str">
        <f>VLOOKUP(D95,Table12[[Name]:[Native]],3,FALSE)</f>
        <v>临猗县</v>
      </c>
      <c r="G95" s="12" t="str">
        <f ca="1">VLOOKUP(F95,Table12[[Native]:[Population4]],5,FALSE)</f>
        <v>运城市</v>
      </c>
    </row>
    <row r="96" spans="1:7" ht="15.75" thickBot="1" x14ac:dyDescent="0.3">
      <c r="A96" t="s">
        <v>2756</v>
      </c>
      <c r="B96" s="1" t="s">
        <v>2757</v>
      </c>
      <c r="C96" s="1" t="s">
        <v>7</v>
      </c>
      <c r="D96" s="1" t="s">
        <v>2597</v>
      </c>
      <c r="E96" s="9">
        <v>30151</v>
      </c>
      <c r="F96" s="1" t="str">
        <f>VLOOKUP(D96,Table12[[Name]:[Native]],3,FALSE)</f>
        <v>稷山县</v>
      </c>
      <c r="G96" s="12" t="str">
        <f ca="1">VLOOKUP(F96,Table12[[Native]:[Population4]],5,FALSE)</f>
        <v>运城市</v>
      </c>
    </row>
    <row r="97" spans="1:7" ht="15.75" thickBot="1" x14ac:dyDescent="0.3">
      <c r="A97" t="s">
        <v>2758</v>
      </c>
      <c r="B97" s="1" t="s">
        <v>2759</v>
      </c>
      <c r="C97" s="1" t="s">
        <v>31</v>
      </c>
      <c r="D97" s="1" t="s">
        <v>2602</v>
      </c>
      <c r="E97" s="9">
        <v>28010</v>
      </c>
      <c r="F97" s="1" t="str">
        <f>VLOOKUP(D97,Table12[[Name]:[Native]],3,FALSE)</f>
        <v>河津市</v>
      </c>
      <c r="G97" s="12" t="str">
        <f ca="1">VLOOKUP(F97,Table12[[Native]:[Population4]],5,FALSE)</f>
        <v>运城市</v>
      </c>
    </row>
    <row r="98" spans="1:7" ht="15.75" thickBot="1" x14ac:dyDescent="0.3">
      <c r="A98" t="s">
        <v>2760</v>
      </c>
      <c r="B98" s="1" t="s">
        <v>2761</v>
      </c>
      <c r="C98" s="1" t="s">
        <v>7</v>
      </c>
      <c r="D98" s="1" t="s">
        <v>2610</v>
      </c>
      <c r="E98" s="9">
        <v>47607</v>
      </c>
      <c r="F98" s="1" t="str">
        <f>VLOOKUP(D98,Table12[[Name]:[Native]],3,FALSE)</f>
        <v>永济市</v>
      </c>
      <c r="G98" s="12" t="str">
        <f ca="1">VLOOKUP(F98,Table12[[Native]:[Population4]],5,FALSE)</f>
        <v>运城市</v>
      </c>
    </row>
    <row r="99" spans="1:7" ht="15.75" thickBot="1" x14ac:dyDescent="0.3">
      <c r="A99" t="s">
        <v>2762</v>
      </c>
      <c r="B99" s="1" t="s">
        <v>2763</v>
      </c>
      <c r="C99" s="1" t="s">
        <v>7</v>
      </c>
      <c r="D99" s="1" t="s">
        <v>2591</v>
      </c>
      <c r="E99" s="9">
        <v>17578</v>
      </c>
      <c r="F99" s="1" t="str">
        <f>VLOOKUP(D99,Table12[[Name]:[Native]],3,FALSE)</f>
        <v>新绛县</v>
      </c>
      <c r="G99" s="12" t="str">
        <f ca="1">VLOOKUP(F99,Table12[[Native]:[Population4]],5,FALSE)</f>
        <v>运城市</v>
      </c>
    </row>
    <row r="100" spans="1:7" ht="15.75" thickBot="1" x14ac:dyDescent="0.3">
      <c r="A100" t="s">
        <v>2764</v>
      </c>
      <c r="B100" s="1" t="s">
        <v>2765</v>
      </c>
      <c r="C100" s="1" t="s">
        <v>7</v>
      </c>
      <c r="D100" s="1" t="s">
        <v>2647</v>
      </c>
      <c r="E100" s="9">
        <v>42855</v>
      </c>
      <c r="F100" s="1" t="str">
        <f>VLOOKUP(D100,Table12[[Name]:[Native]],3,FALSE)</f>
        <v>万荣县</v>
      </c>
      <c r="G100" s="12" t="str">
        <f ca="1">VLOOKUP(F100,Table12[[Native]:[Population4]],5,FALSE)</f>
        <v>运城市</v>
      </c>
    </row>
    <row r="101" spans="1:7" ht="15.75" thickBot="1" x14ac:dyDescent="0.3">
      <c r="A101" t="s">
        <v>2766</v>
      </c>
      <c r="B101" s="1" t="s">
        <v>2767</v>
      </c>
      <c r="C101" s="1" t="s">
        <v>7</v>
      </c>
      <c r="D101" s="1" t="s">
        <v>2584</v>
      </c>
      <c r="E101" s="9">
        <v>18782</v>
      </c>
      <c r="F101" s="1" t="str">
        <f>VLOOKUP(D101,Table12[[Name]:[Native]],3,FALSE)</f>
        <v>临猗县</v>
      </c>
      <c r="G101" s="12" t="str">
        <f ca="1">VLOOKUP(F101,Table12[[Native]:[Population4]],5,FALSE)</f>
        <v>运城市</v>
      </c>
    </row>
    <row r="102" spans="1:7" ht="15.75" thickBot="1" x14ac:dyDescent="0.3">
      <c r="A102" t="s">
        <v>2768</v>
      </c>
      <c r="B102" s="1" t="s">
        <v>2769</v>
      </c>
      <c r="C102" s="1" t="s">
        <v>7</v>
      </c>
      <c r="D102" s="1" t="s">
        <v>2578</v>
      </c>
      <c r="E102" s="9">
        <v>11940</v>
      </c>
      <c r="F102" s="1" t="str">
        <f>VLOOKUP(D102,Table12[[Name]:[Native]],3,FALSE)</f>
        <v>盐湖区</v>
      </c>
      <c r="G102" s="12" t="str">
        <f ca="1">VLOOKUP(F102,Table12[[Native]:[Population4]],5,FALSE)</f>
        <v>运城市</v>
      </c>
    </row>
    <row r="103" spans="1:7" ht="15.75" thickBot="1" x14ac:dyDescent="0.3">
      <c r="A103" t="s">
        <v>2770</v>
      </c>
      <c r="B103" s="1" t="s">
        <v>2771</v>
      </c>
      <c r="C103" s="1" t="s">
        <v>7</v>
      </c>
      <c r="D103" s="1" t="s">
        <v>2594</v>
      </c>
      <c r="E103" s="9">
        <v>9234</v>
      </c>
      <c r="F103" s="1" t="str">
        <f>VLOOKUP(D103,Table12[[Name]:[Native]],3,FALSE)</f>
        <v>平陆县</v>
      </c>
      <c r="G103" s="12" t="str">
        <f ca="1">VLOOKUP(F103,Table12[[Native]:[Population4]],5,FALSE)</f>
        <v>运城市</v>
      </c>
    </row>
    <row r="104" spans="1:7" ht="15.75" thickBot="1" x14ac:dyDescent="0.3">
      <c r="A104" t="s">
        <v>1606</v>
      </c>
      <c r="B104" s="1" t="s">
        <v>1607</v>
      </c>
      <c r="C104" s="1" t="s">
        <v>7</v>
      </c>
      <c r="D104" s="1" t="s">
        <v>2591</v>
      </c>
      <c r="E104" s="9">
        <v>40227</v>
      </c>
      <c r="F104" s="1" t="str">
        <f>VLOOKUP(D104,Table12[[Name]:[Native]],3,FALSE)</f>
        <v>新绛县</v>
      </c>
      <c r="G104" s="12" t="str">
        <f ca="1">VLOOKUP(F104,Table12[[Native]:[Population4]],5,FALSE)</f>
        <v>运城市</v>
      </c>
    </row>
    <row r="105" spans="1:7" ht="15.75" thickBot="1" x14ac:dyDescent="0.3">
      <c r="A105" t="s">
        <v>2772</v>
      </c>
      <c r="B105" s="1" t="s">
        <v>2773</v>
      </c>
      <c r="C105" s="1" t="s">
        <v>7</v>
      </c>
      <c r="D105" s="1" t="s">
        <v>2602</v>
      </c>
      <c r="E105" s="9">
        <v>50893</v>
      </c>
      <c r="F105" s="1" t="str">
        <f>VLOOKUP(D105,Table12[[Name]:[Native]],3,FALSE)</f>
        <v>河津市</v>
      </c>
      <c r="G105" s="12" t="str">
        <f ca="1">VLOOKUP(F105,Table12[[Native]:[Population4]],5,FALSE)</f>
        <v>运城市</v>
      </c>
    </row>
    <row r="106" spans="1:7" ht="15.75" thickBot="1" x14ac:dyDescent="0.3">
      <c r="A106" t="s">
        <v>2774</v>
      </c>
      <c r="B106" s="1" t="s">
        <v>2775</v>
      </c>
      <c r="C106" s="1" t="s">
        <v>17</v>
      </c>
      <c r="D106" s="1" t="s">
        <v>2578</v>
      </c>
      <c r="E106" s="9">
        <v>19215</v>
      </c>
      <c r="F106" s="1" t="str">
        <f>VLOOKUP(D106,Table12[[Name]:[Native]],3,FALSE)</f>
        <v>盐湖区</v>
      </c>
      <c r="G106" s="12" t="str">
        <f ca="1">VLOOKUP(F106,Table12[[Native]:[Population4]],5,FALSE)</f>
        <v>运城市</v>
      </c>
    </row>
    <row r="107" spans="1:7" ht="15.75" thickBot="1" x14ac:dyDescent="0.3">
      <c r="A107" t="s">
        <v>2776</v>
      </c>
      <c r="B107" s="1" t="s">
        <v>2777</v>
      </c>
      <c r="C107" s="1" t="s">
        <v>17</v>
      </c>
      <c r="D107" s="1" t="s">
        <v>2578</v>
      </c>
      <c r="E107" s="9">
        <v>9046</v>
      </c>
      <c r="F107" s="1" t="str">
        <f>VLOOKUP(D107,Table12[[Name]:[Native]],3,FALSE)</f>
        <v>盐湖区</v>
      </c>
      <c r="G107" s="12" t="str">
        <f ca="1">VLOOKUP(F107,Table12[[Native]:[Population4]],5,FALSE)</f>
        <v>运城市</v>
      </c>
    </row>
    <row r="108" spans="1:7" ht="15.75" thickBot="1" x14ac:dyDescent="0.3">
      <c r="A108" t="s">
        <v>2778</v>
      </c>
      <c r="B108" s="1" t="s">
        <v>2779</v>
      </c>
      <c r="C108" s="1" t="s">
        <v>35</v>
      </c>
      <c r="D108" s="1" t="s">
        <v>2581</v>
      </c>
      <c r="E108" s="9">
        <v>6941</v>
      </c>
      <c r="F108" s="1" t="str">
        <f>VLOOKUP(D108,Table12[[Name]:[Native]],3,FALSE)</f>
        <v>绛县</v>
      </c>
      <c r="G108" s="12" t="str">
        <f ca="1">VLOOKUP(F108,Table12[[Native]:[Population4]],5,FALSE)</f>
        <v>运城市</v>
      </c>
    </row>
    <row r="109" spans="1:7" ht="15.75" thickBot="1" x14ac:dyDescent="0.3">
      <c r="A109" t="s">
        <v>2780</v>
      </c>
      <c r="B109" s="1" t="s">
        <v>2781</v>
      </c>
      <c r="C109" s="1" t="s">
        <v>35</v>
      </c>
      <c r="D109" s="1" t="s">
        <v>2602</v>
      </c>
      <c r="E109" s="9">
        <v>37955</v>
      </c>
      <c r="F109" s="1" t="str">
        <f>VLOOKUP(D109,Table12[[Name]:[Native]],3,FALSE)</f>
        <v>河津市</v>
      </c>
      <c r="G109" s="12" t="str">
        <f ca="1">VLOOKUP(F109,Table12[[Native]:[Population4]],5,FALSE)</f>
        <v>运城市</v>
      </c>
    </row>
    <row r="110" spans="1:7" ht="15.75" thickBot="1" x14ac:dyDescent="0.3">
      <c r="A110" t="s">
        <v>2782</v>
      </c>
      <c r="B110" s="1" t="s">
        <v>2783</v>
      </c>
      <c r="C110" s="1" t="s">
        <v>17</v>
      </c>
      <c r="D110" s="1" t="s">
        <v>2636</v>
      </c>
      <c r="E110" s="9">
        <v>11478</v>
      </c>
      <c r="F110" s="1" t="str">
        <f>VLOOKUP(D110,Table12[[Name]:[Native]],3,FALSE)</f>
        <v>闻喜县</v>
      </c>
      <c r="G110" s="12" t="str">
        <f ca="1">VLOOKUP(F110,Table12[[Native]:[Population4]],5,FALSE)</f>
        <v>运城市</v>
      </c>
    </row>
    <row r="111" spans="1:7" ht="15.75" thickBot="1" x14ac:dyDescent="0.3">
      <c r="A111" t="s">
        <v>2784</v>
      </c>
      <c r="B111" s="1" t="s">
        <v>2785</v>
      </c>
      <c r="C111" s="1" t="s">
        <v>7</v>
      </c>
      <c r="D111" s="1" t="s">
        <v>2594</v>
      </c>
      <c r="E111" s="9">
        <v>84329</v>
      </c>
      <c r="F111" s="1" t="str">
        <f>VLOOKUP(D111,Table12[[Name]:[Native]],3,FALSE)</f>
        <v>平陆县</v>
      </c>
      <c r="G111" s="12" t="str">
        <f ca="1">VLOOKUP(F111,Table12[[Native]:[Population4]],5,FALSE)</f>
        <v>运城市</v>
      </c>
    </row>
    <row r="112" spans="1:7" ht="15.75" thickBot="1" x14ac:dyDescent="0.3">
      <c r="A112" t="s">
        <v>2786</v>
      </c>
      <c r="B112" s="1" t="s">
        <v>2787</v>
      </c>
      <c r="C112" s="1" t="s">
        <v>35</v>
      </c>
      <c r="D112" s="1" t="s">
        <v>2591</v>
      </c>
      <c r="E112" s="9">
        <v>33282</v>
      </c>
      <c r="F112" s="1" t="str">
        <f>VLOOKUP(D112,Table12[[Name]:[Native]],3,FALSE)</f>
        <v>新绛县</v>
      </c>
      <c r="G112" s="12" t="str">
        <f ca="1">VLOOKUP(F112,Table12[[Native]:[Population4]],5,FALSE)</f>
        <v>运城市</v>
      </c>
    </row>
    <row r="113" spans="1:7" ht="15.75" thickBot="1" x14ac:dyDescent="0.3">
      <c r="A113" t="s">
        <v>2788</v>
      </c>
      <c r="B113" s="1" t="s">
        <v>2789</v>
      </c>
      <c r="C113" s="1" t="s">
        <v>17</v>
      </c>
      <c r="D113" s="1" t="s">
        <v>2636</v>
      </c>
      <c r="E113" s="9">
        <v>6940</v>
      </c>
      <c r="F113" s="1" t="str">
        <f>VLOOKUP(D113,Table12[[Name]:[Native]],3,FALSE)</f>
        <v>闻喜县</v>
      </c>
      <c r="G113" s="12" t="str">
        <f ca="1">VLOOKUP(F113,Table12[[Native]:[Population4]],5,FALSE)</f>
        <v>运城市</v>
      </c>
    </row>
    <row r="114" spans="1:7" ht="15.75" thickBot="1" x14ac:dyDescent="0.3">
      <c r="A114" t="s">
        <v>1624</v>
      </c>
      <c r="B114" s="1" t="s">
        <v>1625</v>
      </c>
      <c r="C114" s="1" t="s">
        <v>7</v>
      </c>
      <c r="D114" s="1" t="s">
        <v>2684</v>
      </c>
      <c r="E114" s="9">
        <v>45914</v>
      </c>
      <c r="F114" s="1" t="str">
        <f>VLOOKUP(D114,Table12[[Name]:[Native]],3,FALSE)</f>
        <v>夏县</v>
      </c>
      <c r="G114" s="12" t="str">
        <f ca="1">VLOOKUP(F114,Table12[[Native]:[Population4]],5,FALSE)</f>
        <v>运城市</v>
      </c>
    </row>
    <row r="115" spans="1:7" ht="15.75" thickBot="1" x14ac:dyDescent="0.3">
      <c r="A115" t="s">
        <v>2790</v>
      </c>
      <c r="B115" s="1" t="s">
        <v>2791</v>
      </c>
      <c r="C115" s="1" t="s">
        <v>7</v>
      </c>
      <c r="D115" s="1" t="s">
        <v>2684</v>
      </c>
      <c r="E115" s="9">
        <v>9326</v>
      </c>
      <c r="F115" s="1" t="str">
        <f>VLOOKUP(D115,Table12[[Name]:[Native]],3,FALSE)</f>
        <v>夏县</v>
      </c>
      <c r="G115" s="12" t="str">
        <f ca="1">VLOOKUP(F115,Table12[[Native]:[Population4]],5,FALSE)</f>
        <v>运城市</v>
      </c>
    </row>
    <row r="116" spans="1:7" ht="15.75" thickBot="1" x14ac:dyDescent="0.3">
      <c r="A116" t="s">
        <v>2792</v>
      </c>
      <c r="B116" s="1" t="s">
        <v>2793</v>
      </c>
      <c r="C116" s="1" t="s">
        <v>7</v>
      </c>
      <c r="D116" s="1" t="s">
        <v>2584</v>
      </c>
      <c r="E116" s="9">
        <v>54976</v>
      </c>
      <c r="F116" s="1" t="str">
        <f>VLOOKUP(D116,Table12[[Name]:[Native]],3,FALSE)</f>
        <v>临猗县</v>
      </c>
      <c r="G116" s="12" t="str">
        <f ca="1">VLOOKUP(F116,Table12[[Native]:[Population4]],5,FALSE)</f>
        <v>运城市</v>
      </c>
    </row>
    <row r="117" spans="1:7" ht="15.75" thickBot="1" x14ac:dyDescent="0.3">
      <c r="A117" t="s">
        <v>2794</v>
      </c>
      <c r="B117" s="1" t="s">
        <v>2795</v>
      </c>
      <c r="C117" s="1" t="s">
        <v>17</v>
      </c>
      <c r="D117" s="1" t="s">
        <v>2597</v>
      </c>
      <c r="E117" s="9">
        <v>49872</v>
      </c>
      <c r="F117" s="1" t="str">
        <f>VLOOKUP(D117,Table12[[Name]:[Native]],3,FALSE)</f>
        <v>稷山县</v>
      </c>
      <c r="G117" s="12" t="str">
        <f ca="1">VLOOKUP(F117,Table12[[Native]:[Population4]],5,FALSE)</f>
        <v>运城市</v>
      </c>
    </row>
    <row r="118" spans="1:7" ht="15.75" thickBot="1" x14ac:dyDescent="0.3">
      <c r="A118" t="s">
        <v>2796</v>
      </c>
      <c r="B118" s="1" t="s">
        <v>2797</v>
      </c>
      <c r="C118" s="1" t="s">
        <v>7</v>
      </c>
      <c r="D118" s="1" t="s">
        <v>2578</v>
      </c>
      <c r="E118" s="9">
        <v>24943</v>
      </c>
      <c r="F118" s="1" t="str">
        <f>VLOOKUP(D118,Table12[[Name]:[Native]],3,FALSE)</f>
        <v>盐湖区</v>
      </c>
      <c r="G118" s="12" t="str">
        <f ca="1">VLOOKUP(F118,Table12[[Native]:[Population4]],5,FALSE)</f>
        <v>运城市</v>
      </c>
    </row>
    <row r="119" spans="1:7" ht="15.75" thickBot="1" x14ac:dyDescent="0.3">
      <c r="A119" t="s">
        <v>2798</v>
      </c>
      <c r="B119" s="1" t="s">
        <v>2799</v>
      </c>
      <c r="C119" s="1" t="s">
        <v>7</v>
      </c>
      <c r="D119" s="1" t="s">
        <v>2636</v>
      </c>
      <c r="E119" s="9">
        <v>118513</v>
      </c>
      <c r="F119" s="1" t="str">
        <f>VLOOKUP(D119,Table12[[Name]:[Native]],3,FALSE)</f>
        <v>闻喜县</v>
      </c>
      <c r="G119" s="12" t="str">
        <f ca="1">VLOOKUP(F119,Table12[[Native]:[Population4]],5,FALSE)</f>
        <v>运城市</v>
      </c>
    </row>
    <row r="120" spans="1:7" ht="15.75" thickBot="1" x14ac:dyDescent="0.3">
      <c r="A120" t="s">
        <v>2800</v>
      </c>
      <c r="B120" s="1" t="s">
        <v>2801</v>
      </c>
      <c r="C120" s="1" t="s">
        <v>7</v>
      </c>
      <c r="D120" s="1" t="s">
        <v>2647</v>
      </c>
      <c r="E120" s="9">
        <v>29718</v>
      </c>
      <c r="F120" s="1" t="str">
        <f>VLOOKUP(D120,Table12[[Name]:[Native]],3,FALSE)</f>
        <v>万荣县</v>
      </c>
      <c r="G120" s="12" t="str">
        <f ca="1">VLOOKUP(F120,Table12[[Native]:[Population4]],5,FALSE)</f>
        <v>运城市</v>
      </c>
    </row>
    <row r="121" spans="1:7" ht="15.75" thickBot="1" x14ac:dyDescent="0.3">
      <c r="A121" t="s">
        <v>2802</v>
      </c>
      <c r="B121" s="1" t="s">
        <v>2803</v>
      </c>
      <c r="C121" s="1" t="s">
        <v>7</v>
      </c>
      <c r="D121" s="1" t="s">
        <v>2636</v>
      </c>
      <c r="E121" s="9">
        <v>28357</v>
      </c>
      <c r="F121" s="1" t="str">
        <f>VLOOKUP(D121,Table12[[Name]:[Native]],3,FALSE)</f>
        <v>闻喜县</v>
      </c>
      <c r="G121" s="12" t="str">
        <f ca="1">VLOOKUP(F121,Table12[[Native]:[Population4]],5,FALSE)</f>
        <v>运城市</v>
      </c>
    </row>
    <row r="122" spans="1:7" ht="15.75" thickBot="1" x14ac:dyDescent="0.3">
      <c r="A122" t="s">
        <v>1319</v>
      </c>
      <c r="B122" s="1" t="s">
        <v>1320</v>
      </c>
      <c r="C122" s="1" t="s">
        <v>7</v>
      </c>
      <c r="D122" s="1" t="s">
        <v>2591</v>
      </c>
      <c r="E122" s="9">
        <v>18575</v>
      </c>
      <c r="F122" s="1" t="str">
        <f>VLOOKUP(D122,Table12[[Name]:[Native]],3,FALSE)</f>
        <v>新绛县</v>
      </c>
      <c r="G122" s="12" t="str">
        <f ca="1">VLOOKUP(F122,Table12[[Native]:[Population4]],5,FALSE)</f>
        <v>运城市</v>
      </c>
    </row>
    <row r="123" spans="1:7" ht="15.75" thickBot="1" x14ac:dyDescent="0.3">
      <c r="A123" t="s">
        <v>2804</v>
      </c>
      <c r="B123" s="1" t="s">
        <v>2805</v>
      </c>
      <c r="C123" s="1" t="s">
        <v>17</v>
      </c>
      <c r="D123" s="1" t="s">
        <v>2578</v>
      </c>
      <c r="E123" s="9">
        <v>16758</v>
      </c>
      <c r="F123" s="1" t="str">
        <f>VLOOKUP(D123,Table12[[Name]:[Native]],3,FALSE)</f>
        <v>盐湖区</v>
      </c>
      <c r="G123" s="12" t="str">
        <f ca="1">VLOOKUP(F123,Table12[[Native]:[Population4]],5,FALSE)</f>
        <v>运城市</v>
      </c>
    </row>
    <row r="124" spans="1:7" ht="15.75" thickBot="1" x14ac:dyDescent="0.3">
      <c r="A124" t="s">
        <v>2806</v>
      </c>
      <c r="B124" s="1" t="s">
        <v>2807</v>
      </c>
      <c r="C124" s="1" t="s">
        <v>7</v>
      </c>
      <c r="D124" s="1" t="s">
        <v>2607</v>
      </c>
      <c r="E124" s="9">
        <v>10516</v>
      </c>
      <c r="F124" s="1" t="str">
        <f>VLOOKUP(D124,Table12[[Name]:[Native]],3,FALSE)</f>
        <v>垣曲县</v>
      </c>
      <c r="G124" s="12" t="str">
        <f ca="1">VLOOKUP(F124,Table12[[Native]:[Population4]],5,FALSE)</f>
        <v>运城市</v>
      </c>
    </row>
    <row r="125" spans="1:7" ht="15.75" thickBot="1" x14ac:dyDescent="0.3">
      <c r="A125" t="s">
        <v>2808</v>
      </c>
      <c r="B125" s="1" t="s">
        <v>2809</v>
      </c>
      <c r="C125" s="1" t="s">
        <v>17</v>
      </c>
      <c r="D125" s="1" t="s">
        <v>2647</v>
      </c>
      <c r="E125" s="9">
        <v>28862</v>
      </c>
      <c r="F125" s="1" t="str">
        <f>VLOOKUP(D125,Table12[[Name]:[Native]],3,FALSE)</f>
        <v>万荣县</v>
      </c>
      <c r="G125" s="12" t="str">
        <f ca="1">VLOOKUP(F125,Table12[[Native]:[Population4]],5,FALSE)</f>
        <v>运城市</v>
      </c>
    </row>
    <row r="126" spans="1:7" ht="15.75" thickBot="1" x14ac:dyDescent="0.3">
      <c r="A126" t="s">
        <v>2810</v>
      </c>
      <c r="B126" s="1" t="s">
        <v>2811</v>
      </c>
      <c r="C126" s="1" t="s">
        <v>17</v>
      </c>
      <c r="D126" s="1" t="s">
        <v>2647</v>
      </c>
      <c r="E126" s="9">
        <v>14752</v>
      </c>
      <c r="F126" s="1" t="str">
        <f>VLOOKUP(D126,Table12[[Name]:[Native]],3,FALSE)</f>
        <v>万荣县</v>
      </c>
      <c r="G126" s="12" t="str">
        <f ca="1">VLOOKUP(F126,Table12[[Native]:[Population4]],5,FALSE)</f>
        <v>运城市</v>
      </c>
    </row>
    <row r="127" spans="1:7" ht="15.75" thickBot="1" x14ac:dyDescent="0.3">
      <c r="A127" t="s">
        <v>2812</v>
      </c>
      <c r="B127" s="1" t="s">
        <v>2813</v>
      </c>
      <c r="C127" s="1" t="s">
        <v>17</v>
      </c>
      <c r="D127" s="1" t="s">
        <v>2684</v>
      </c>
      <c r="E127" s="9">
        <v>25920</v>
      </c>
      <c r="F127" s="1" t="str">
        <f>VLOOKUP(D127,Table12[[Name]:[Native]],3,FALSE)</f>
        <v>夏县</v>
      </c>
      <c r="G127" s="12" t="str">
        <f ca="1">VLOOKUP(F127,Table12[[Native]:[Population4]],5,FALSE)</f>
        <v>运城市</v>
      </c>
    </row>
    <row r="128" spans="1:7" ht="15.75" thickBot="1" x14ac:dyDescent="0.3">
      <c r="A128" t="s">
        <v>2814</v>
      </c>
      <c r="B128" s="1" t="s">
        <v>2815</v>
      </c>
      <c r="C128" s="1" t="s">
        <v>7</v>
      </c>
      <c r="D128" s="1" t="s">
        <v>2581</v>
      </c>
      <c r="E128" s="9">
        <v>13659</v>
      </c>
      <c r="F128" s="1" t="str">
        <f>VLOOKUP(D128,Table12[[Name]:[Native]],3,FALSE)</f>
        <v>绛县</v>
      </c>
      <c r="G128" s="12" t="str">
        <f ca="1">VLOOKUP(F128,Table12[[Native]:[Population4]],5,FALSE)</f>
        <v>运城市</v>
      </c>
    </row>
    <row r="129" spans="1:7" ht="15.75" thickBot="1" x14ac:dyDescent="0.3">
      <c r="A129" t="s">
        <v>2816</v>
      </c>
      <c r="B129" s="1" t="s">
        <v>2817</v>
      </c>
      <c r="C129" s="1" t="s">
        <v>35</v>
      </c>
      <c r="D129" s="1" t="s">
        <v>2610</v>
      </c>
      <c r="E129" s="9">
        <v>828</v>
      </c>
      <c r="F129" s="1" t="str">
        <f>VLOOKUP(D129,Table12[[Name]:[Native]],3,FALSE)</f>
        <v>永济市</v>
      </c>
      <c r="G129" s="12" t="str">
        <f ca="1">VLOOKUP(F129,Table12[[Native]:[Population4]],5,FALSE)</f>
        <v>运城市</v>
      </c>
    </row>
    <row r="130" spans="1:7" ht="15.75" thickBot="1" x14ac:dyDescent="0.3">
      <c r="A130" t="s">
        <v>2818</v>
      </c>
      <c r="B130" s="1" t="s">
        <v>2819</v>
      </c>
      <c r="C130" s="1" t="s">
        <v>17</v>
      </c>
      <c r="D130" s="1" t="s">
        <v>2602</v>
      </c>
      <c r="E130" s="9">
        <v>15020</v>
      </c>
      <c r="F130" s="1" t="str">
        <f>VLOOKUP(D130,Table12[[Name]:[Native]],3,FALSE)</f>
        <v>河津市</v>
      </c>
      <c r="G130" s="12" t="str">
        <f ca="1">VLOOKUP(F130,Table12[[Native]:[Population4]],5,FALSE)</f>
        <v>运城市</v>
      </c>
    </row>
    <row r="131" spans="1:7" ht="15.75" thickBot="1" x14ac:dyDescent="0.3">
      <c r="A131" t="s">
        <v>2820</v>
      </c>
      <c r="B131" s="1" t="s">
        <v>2821</v>
      </c>
      <c r="C131" s="1" t="s">
        <v>17</v>
      </c>
      <c r="D131" s="1" t="s">
        <v>2602</v>
      </c>
      <c r="E131" s="9">
        <v>29448</v>
      </c>
      <c r="F131" s="1" t="str">
        <f>VLOOKUP(D131,Table12[[Name]:[Native]],3,FALSE)</f>
        <v>河津市</v>
      </c>
      <c r="G131" s="12" t="str">
        <f ca="1">VLOOKUP(F131,Table12[[Native]:[Population4]],5,FALSE)</f>
        <v>运城市</v>
      </c>
    </row>
    <row r="132" spans="1:7" ht="15.75" thickBot="1" x14ac:dyDescent="0.3">
      <c r="A132" t="s">
        <v>2822</v>
      </c>
      <c r="B132" s="1" t="s">
        <v>2823</v>
      </c>
      <c r="C132" s="1" t="s">
        <v>31</v>
      </c>
      <c r="D132" s="1" t="s">
        <v>2578</v>
      </c>
      <c r="E132" s="9">
        <v>30141</v>
      </c>
      <c r="F132" s="1" t="str">
        <f>VLOOKUP(D132,Table12[[Name]:[Native]],3,FALSE)</f>
        <v>盐湖区</v>
      </c>
      <c r="G132" s="12" t="str">
        <f ca="1">VLOOKUP(F132,Table12[[Native]:[Population4]],5,FALSE)</f>
        <v>运城市</v>
      </c>
    </row>
    <row r="133" spans="1:7" ht="15.75" thickBot="1" x14ac:dyDescent="0.3">
      <c r="A133" t="s">
        <v>539</v>
      </c>
      <c r="B133" s="1" t="s">
        <v>540</v>
      </c>
      <c r="C133" s="1" t="s">
        <v>17</v>
      </c>
      <c r="D133" s="1" t="s">
        <v>2647</v>
      </c>
      <c r="E133" s="9">
        <v>18941</v>
      </c>
      <c r="F133" s="1" t="str">
        <f>VLOOKUP(D133,Table12[[Name]:[Native]],3,FALSE)</f>
        <v>万荣县</v>
      </c>
      <c r="G133" s="12" t="str">
        <f ca="1">VLOOKUP(F133,Table12[[Native]:[Population4]],5,FALSE)</f>
        <v>运城市</v>
      </c>
    </row>
    <row r="134" spans="1:7" ht="15.75" thickBot="1" x14ac:dyDescent="0.3">
      <c r="A134" t="s">
        <v>2824</v>
      </c>
      <c r="B134" s="1" t="s">
        <v>2825</v>
      </c>
      <c r="C134" s="1" t="s">
        <v>7</v>
      </c>
      <c r="D134" s="1" t="s">
        <v>2625</v>
      </c>
      <c r="E134" s="9">
        <v>21656</v>
      </c>
      <c r="F134" s="1" t="str">
        <f>VLOOKUP(D134,Table12[[Name]:[Native]],3,FALSE)</f>
        <v>芮城县</v>
      </c>
      <c r="G134" s="12" t="str">
        <f ca="1">VLOOKUP(F134,Table12[[Native]:[Population4]],5,FALSE)</f>
        <v>运城市</v>
      </c>
    </row>
    <row r="135" spans="1:7" ht="15.75" thickBot="1" x14ac:dyDescent="0.3">
      <c r="A135" t="s">
        <v>1345</v>
      </c>
      <c r="B135" s="1" t="s">
        <v>1346</v>
      </c>
      <c r="C135" s="1" t="s">
        <v>7</v>
      </c>
      <c r="D135" s="1" t="s">
        <v>2607</v>
      </c>
      <c r="E135" s="9">
        <v>76386</v>
      </c>
      <c r="F135" s="1" t="str">
        <f>VLOOKUP(D135,Table12[[Name]:[Native]],3,FALSE)</f>
        <v>垣曲县</v>
      </c>
      <c r="G135" s="12" t="str">
        <f ca="1">VLOOKUP(F135,Table12[[Native]:[Population4]],5,FALSE)</f>
        <v>运城市</v>
      </c>
    </row>
    <row r="136" spans="1:7" ht="15.75" thickBot="1" x14ac:dyDescent="0.3">
      <c r="A136" t="s">
        <v>2826</v>
      </c>
      <c r="B136" s="1" t="s">
        <v>2827</v>
      </c>
      <c r="C136" s="1" t="s">
        <v>35</v>
      </c>
      <c r="D136" s="1" t="s">
        <v>2591</v>
      </c>
      <c r="E136" s="9">
        <v>937</v>
      </c>
      <c r="F136" s="1" t="str">
        <f>VLOOKUP(D136,Table12[[Name]:[Native]],3,FALSE)</f>
        <v>新绛县</v>
      </c>
      <c r="G136" s="12" t="str">
        <f ca="1">VLOOKUP(F136,Table12[[Native]:[Population4]],5,FALSE)</f>
        <v>运城市</v>
      </c>
    </row>
    <row r="137" spans="1:7" ht="15.75" thickBot="1" x14ac:dyDescent="0.3">
      <c r="A137" t="s">
        <v>1690</v>
      </c>
      <c r="B137" s="1" t="s">
        <v>1691</v>
      </c>
      <c r="C137" s="1" t="s">
        <v>7</v>
      </c>
      <c r="D137" s="1" t="s">
        <v>2597</v>
      </c>
      <c r="E137" s="9">
        <v>28334</v>
      </c>
      <c r="F137" s="1" t="str">
        <f>VLOOKUP(D137,Table12[[Name]:[Native]],3,FALSE)</f>
        <v>稷山县</v>
      </c>
      <c r="G137" s="12" t="str">
        <f ca="1">VLOOKUP(F137,Table12[[Native]:[Population4]],5,FALSE)</f>
        <v>运城市</v>
      </c>
    </row>
    <row r="138" spans="1:7" ht="15.75" thickBot="1" x14ac:dyDescent="0.3">
      <c r="A138" t="s">
        <v>2828</v>
      </c>
      <c r="B138" s="1" t="s">
        <v>2829</v>
      </c>
      <c r="C138" s="1" t="s">
        <v>17</v>
      </c>
      <c r="D138" s="1" t="s">
        <v>2578</v>
      </c>
      <c r="E138" s="9">
        <v>13553</v>
      </c>
      <c r="F138" s="1" t="str">
        <f>VLOOKUP(D138,Table12[[Name]:[Native]],3,FALSE)</f>
        <v>盐湖区</v>
      </c>
      <c r="G138" s="12" t="str">
        <f ca="1">VLOOKUP(F138,Table12[[Native]:[Population4]],5,FALSE)</f>
        <v>运城市</v>
      </c>
    </row>
    <row r="139" spans="1:7" ht="15.75" thickBot="1" x14ac:dyDescent="0.3">
      <c r="A139" t="s">
        <v>2830</v>
      </c>
      <c r="B139" s="1" t="s">
        <v>2831</v>
      </c>
      <c r="C139" s="1" t="s">
        <v>7</v>
      </c>
      <c r="D139" s="1" t="s">
        <v>2636</v>
      </c>
      <c r="E139" s="9">
        <v>13612</v>
      </c>
      <c r="F139" s="1" t="str">
        <f>VLOOKUP(D139,Table12[[Name]:[Native]],3,FALSE)</f>
        <v>闻喜县</v>
      </c>
      <c r="G139" s="12" t="str">
        <f ca="1">VLOOKUP(F139,Table12[[Native]:[Population4]],5,FALSE)</f>
        <v>运城市</v>
      </c>
    </row>
    <row r="140" spans="1:7" ht="15.75" thickBot="1" x14ac:dyDescent="0.3">
      <c r="A140" t="s">
        <v>2832</v>
      </c>
      <c r="B140" s="1" t="s">
        <v>2833</v>
      </c>
      <c r="C140" s="1" t="s">
        <v>17</v>
      </c>
      <c r="D140" s="1" t="s">
        <v>2625</v>
      </c>
      <c r="E140" s="9">
        <v>23798</v>
      </c>
      <c r="F140" s="1" t="str">
        <f>VLOOKUP(D140,Table12[[Name]:[Native]],3,FALSE)</f>
        <v>芮城县</v>
      </c>
      <c r="G140" s="12" t="str">
        <f ca="1">VLOOKUP(F140,Table12[[Native]:[Population4]],5,FALSE)</f>
        <v>运城市</v>
      </c>
    </row>
    <row r="141" spans="1:7" ht="15.75" thickBot="1" x14ac:dyDescent="0.3">
      <c r="A141" t="s">
        <v>2834</v>
      </c>
      <c r="B141" s="1" t="s">
        <v>2835</v>
      </c>
      <c r="C141" s="1" t="s">
        <v>7</v>
      </c>
      <c r="D141" s="1" t="s">
        <v>2625</v>
      </c>
      <c r="E141" s="9">
        <v>36554</v>
      </c>
      <c r="F141" s="1" t="str">
        <f>VLOOKUP(D141,Table12[[Name]:[Native]],3,FALSE)</f>
        <v>芮城县</v>
      </c>
      <c r="G141" s="12" t="str">
        <f ca="1">VLOOKUP(F141,Table12[[Native]:[Population4]],5,FALSE)</f>
        <v>运城市</v>
      </c>
    </row>
    <row r="142" spans="1:7" ht="15.75" thickBot="1" x14ac:dyDescent="0.3">
      <c r="A142" t="s">
        <v>2836</v>
      </c>
      <c r="B142" s="1" t="s">
        <v>2837</v>
      </c>
      <c r="C142" s="1" t="s">
        <v>17</v>
      </c>
      <c r="D142" s="1" t="s">
        <v>2602</v>
      </c>
      <c r="E142" s="9">
        <v>21689</v>
      </c>
      <c r="F142" s="1" t="str">
        <f>VLOOKUP(D142,Table12[[Name]:[Native]],3,FALSE)</f>
        <v>河津市</v>
      </c>
      <c r="G142" s="12" t="str">
        <f ca="1">VLOOKUP(F142,Table12[[Native]:[Population4]],5,FALSE)</f>
        <v>运城市</v>
      </c>
    </row>
    <row r="143" spans="1:7" ht="15.75" thickBot="1" x14ac:dyDescent="0.3">
      <c r="A143" t="s">
        <v>2838</v>
      </c>
      <c r="B143" s="1" t="s">
        <v>2839</v>
      </c>
      <c r="C143" s="1" t="s">
        <v>7</v>
      </c>
      <c r="D143" s="1" t="s">
        <v>2591</v>
      </c>
      <c r="E143" s="9">
        <v>21766</v>
      </c>
      <c r="F143" s="1" t="str">
        <f>VLOOKUP(D143,Table12[[Name]:[Native]],3,FALSE)</f>
        <v>新绛县</v>
      </c>
      <c r="G143" s="12" t="str">
        <f ca="1">VLOOKUP(F143,Table12[[Native]:[Population4]],5,FALSE)</f>
        <v>运城市</v>
      </c>
    </row>
    <row r="144" spans="1:7" ht="15.75" thickBot="1" x14ac:dyDescent="0.3">
      <c r="A144" t="s">
        <v>2840</v>
      </c>
      <c r="B144" s="1" t="s">
        <v>2841</v>
      </c>
      <c r="C144" s="1" t="s">
        <v>17</v>
      </c>
      <c r="D144" s="1" t="s">
        <v>2636</v>
      </c>
      <c r="E144" s="9">
        <v>14422</v>
      </c>
      <c r="F144" s="1" t="str">
        <f>VLOOKUP(D144,Table12[[Name]:[Native]],3,FALSE)</f>
        <v>闻喜县</v>
      </c>
      <c r="G144" s="12" t="str">
        <f ca="1">VLOOKUP(F144,Table12[[Native]:[Population4]],5,FALSE)</f>
        <v>运城市</v>
      </c>
    </row>
    <row r="145" spans="1:7" ht="15.75" thickBot="1" x14ac:dyDescent="0.3">
      <c r="A145" t="s">
        <v>2842</v>
      </c>
      <c r="B145" s="1" t="s">
        <v>2843</v>
      </c>
      <c r="C145" s="1" t="s">
        <v>35</v>
      </c>
      <c r="D145" s="1" t="s">
        <v>2584</v>
      </c>
      <c r="E145" s="9">
        <v>24506</v>
      </c>
      <c r="F145" s="1" t="str">
        <f>VLOOKUP(D145,Table12[[Name]:[Native]],3,FALSE)</f>
        <v>临猗县</v>
      </c>
      <c r="G145" s="12" t="str">
        <f ca="1">VLOOKUP(F145,Table12[[Native]:[Population4]],5,FALSE)</f>
        <v>运城市</v>
      </c>
    </row>
    <row r="146" spans="1:7" ht="15.75" thickBot="1" x14ac:dyDescent="0.3">
      <c r="A146" t="s">
        <v>2844</v>
      </c>
      <c r="B146" s="1" t="s">
        <v>2845</v>
      </c>
      <c r="C146" s="1" t="s">
        <v>7</v>
      </c>
      <c r="D146" s="1" t="s">
        <v>2684</v>
      </c>
      <c r="E146" s="9">
        <v>86435</v>
      </c>
      <c r="F146" s="1" t="str">
        <f>VLOOKUP(D146,Table12[[Name]:[Native]],3,FALSE)</f>
        <v>夏县</v>
      </c>
      <c r="G146" s="12" t="str">
        <f ca="1">VLOOKUP(F146,Table12[[Native]:[Population4]],5,FALSE)</f>
        <v>运城市</v>
      </c>
    </row>
    <row r="147" spans="1:7" ht="15.75" thickBot="1" x14ac:dyDescent="0.3">
      <c r="A147" t="s">
        <v>2846</v>
      </c>
      <c r="B147" s="1" t="s">
        <v>2847</v>
      </c>
      <c r="C147" s="1" t="s">
        <v>31</v>
      </c>
      <c r="D147" s="1" t="s">
        <v>2578</v>
      </c>
      <c r="E147" s="9">
        <v>16868</v>
      </c>
      <c r="F147" s="1" t="str">
        <f>VLOOKUP(D147,Table12[[Name]:[Native]],3,FALSE)</f>
        <v>盐湖区</v>
      </c>
      <c r="G147" s="12" t="str">
        <f ca="1">VLOOKUP(F147,Table12[[Native]:[Population4]],5,FALSE)</f>
        <v>运城市</v>
      </c>
    </row>
    <row r="148" spans="1:7" ht="15.75" thickBot="1" x14ac:dyDescent="0.3">
      <c r="A148" t="s">
        <v>2848</v>
      </c>
      <c r="B148" s="1" t="s">
        <v>2849</v>
      </c>
      <c r="C148" s="1" t="s">
        <v>7</v>
      </c>
      <c r="D148" s="1" t="s">
        <v>2607</v>
      </c>
      <c r="E148" s="9">
        <v>17664</v>
      </c>
      <c r="F148" s="1" t="str">
        <f>VLOOKUP(D148,Table12[[Name]:[Native]],3,FALSE)</f>
        <v>垣曲县</v>
      </c>
      <c r="G148" s="12" t="str">
        <f ca="1">VLOOKUP(F148,Table12[[Native]:[Population4]],5,FALSE)</f>
        <v>运城市</v>
      </c>
    </row>
    <row r="149" spans="1:7" ht="15.75" thickBot="1" x14ac:dyDescent="0.3">
      <c r="A149" t="s">
        <v>2850</v>
      </c>
      <c r="B149" s="1" t="s">
        <v>2851</v>
      </c>
      <c r="C149" s="1" t="s">
        <v>7</v>
      </c>
      <c r="D149" s="1" t="s">
        <v>2584</v>
      </c>
      <c r="E149" s="9">
        <v>102090</v>
      </c>
      <c r="F149" s="1" t="str">
        <f>VLOOKUP(D149,Table12[[Name]:[Native]],3,FALSE)</f>
        <v>临猗县</v>
      </c>
      <c r="G149" s="12" t="str">
        <f ca="1">VLOOKUP(F149,Table12[[Native]:[Population4]],5,FALSE)</f>
        <v>运城市</v>
      </c>
    </row>
    <row r="150" spans="1:7" ht="15.75" thickBot="1" x14ac:dyDescent="0.3">
      <c r="A150" t="s">
        <v>2852</v>
      </c>
      <c r="B150" s="1" t="s">
        <v>2853</v>
      </c>
      <c r="C150" s="1" t="s">
        <v>7</v>
      </c>
      <c r="D150" s="1" t="s">
        <v>2625</v>
      </c>
      <c r="E150" s="9">
        <v>22205</v>
      </c>
      <c r="F150" s="1" t="str">
        <f>VLOOKUP(D150,Table12[[Name]:[Native]],3,FALSE)</f>
        <v>芮城县</v>
      </c>
      <c r="G150" s="12" t="str">
        <f ca="1">VLOOKUP(F150,Table12[[Native]:[Population4]],5,FALSE)</f>
        <v>运城市</v>
      </c>
    </row>
    <row r="151" spans="1:7" ht="15.75" thickBot="1" x14ac:dyDescent="0.3">
      <c r="A151" t="s">
        <v>2854</v>
      </c>
      <c r="B151" s="1" t="s">
        <v>2855</v>
      </c>
      <c r="C151" s="1" t="s">
        <v>35</v>
      </c>
      <c r="D151" s="1" t="s">
        <v>2578</v>
      </c>
      <c r="E151" s="9">
        <v>11297</v>
      </c>
      <c r="F151" s="1" t="str">
        <f>VLOOKUP(D151,Table12[[Name]:[Native]],3,FALSE)</f>
        <v>盐湖区</v>
      </c>
      <c r="G151" s="12" t="str">
        <f ca="1">VLOOKUP(F151,Table12[[Native]:[Population4]],5,FALSE)</f>
        <v>运城市</v>
      </c>
    </row>
    <row r="152" spans="1:7" ht="15.75" thickBot="1" x14ac:dyDescent="0.3">
      <c r="A152" t="s">
        <v>2856</v>
      </c>
      <c r="B152" s="1" t="s">
        <v>2857</v>
      </c>
      <c r="C152" s="1" t="s">
        <v>35</v>
      </c>
      <c r="D152" s="1" t="s">
        <v>2578</v>
      </c>
      <c r="E152" s="9">
        <v>17309</v>
      </c>
      <c r="F152" s="1" t="str">
        <f>VLOOKUP(D152,Table12[[Name]:[Native]],3,FALSE)</f>
        <v>盐湖区</v>
      </c>
      <c r="G152" s="12" t="str">
        <f ca="1">VLOOKUP(F152,Table12[[Native]:[Population4]],5,FALSE)</f>
        <v>运城市</v>
      </c>
    </row>
    <row r="153" spans="1:7" ht="15.75" thickBot="1" x14ac:dyDescent="0.3">
      <c r="A153" t="s">
        <v>2858</v>
      </c>
      <c r="B153" s="1" t="s">
        <v>2859</v>
      </c>
      <c r="C153" s="1" t="s">
        <v>17</v>
      </c>
      <c r="D153" s="1" t="s">
        <v>2684</v>
      </c>
      <c r="E153" s="9">
        <v>30612</v>
      </c>
      <c r="F153" s="1" t="str">
        <f>VLOOKUP(D153,Table12[[Name]:[Native]],3,FALSE)</f>
        <v>夏县</v>
      </c>
      <c r="G153" s="12" t="str">
        <f ca="1">VLOOKUP(F153,Table12[[Native]:[Population4]],5,FALSE)</f>
        <v>运城市</v>
      </c>
    </row>
    <row r="154" spans="1:7" ht="15.75" thickBot="1" x14ac:dyDescent="0.3">
      <c r="A154" t="s">
        <v>2860</v>
      </c>
      <c r="B154" s="1" t="s">
        <v>2861</v>
      </c>
      <c r="C154" s="1" t="s">
        <v>35</v>
      </c>
      <c r="D154" s="1" t="s">
        <v>2610</v>
      </c>
      <c r="E154" s="9">
        <v>941</v>
      </c>
      <c r="F154" s="1" t="str">
        <f>VLOOKUP(D154,Table12[[Name]:[Native]],3,FALSE)</f>
        <v>永济市</v>
      </c>
      <c r="G154" s="12" t="str">
        <f ca="1">VLOOKUP(F154,Table12[[Native]:[Population4]],5,FALSE)</f>
        <v>运城市</v>
      </c>
    </row>
    <row r="155" spans="1:7" ht="15.75" thickBot="1" x14ac:dyDescent="0.3">
      <c r="A155" t="s">
        <v>2862</v>
      </c>
      <c r="B155" s="1" t="s">
        <v>2863</v>
      </c>
      <c r="C155" s="1" t="s">
        <v>7</v>
      </c>
      <c r="D155" s="1" t="s">
        <v>2610</v>
      </c>
      <c r="E155" s="9">
        <v>43186</v>
      </c>
      <c r="F155" s="1" t="str">
        <f>VLOOKUP(D155,Table12[[Name]:[Native]],3,FALSE)</f>
        <v>永济市</v>
      </c>
      <c r="G155" s="12" t="str">
        <f ca="1">VLOOKUP(F155,Table12[[Native]:[Population4]],5,FALSE)</f>
        <v>运城市</v>
      </c>
    </row>
    <row r="156" spans="1:7" ht="15.75" thickBot="1" x14ac:dyDescent="0.3">
      <c r="A156" t="s">
        <v>2864</v>
      </c>
      <c r="B156" s="1" t="s">
        <v>2865</v>
      </c>
      <c r="C156" s="1" t="s">
        <v>7</v>
      </c>
      <c r="D156" s="1" t="s">
        <v>2591</v>
      </c>
      <c r="E156" s="9">
        <v>27773</v>
      </c>
      <c r="F156" s="1" t="str">
        <f>VLOOKUP(D156,Table12[[Name]:[Native]],3,FALSE)</f>
        <v>新绛县</v>
      </c>
      <c r="G156" s="12" t="str">
        <f ca="1">VLOOKUP(F156,Table12[[Native]:[Population4]],5,FALSE)</f>
        <v>运城市</v>
      </c>
    </row>
    <row r="157" spans="1:7" ht="15.75" thickBot="1" x14ac:dyDescent="0.3">
      <c r="A157" t="s">
        <v>309</v>
      </c>
      <c r="B157" s="1" t="s">
        <v>310</v>
      </c>
      <c r="C157" s="1" t="s">
        <v>7</v>
      </c>
      <c r="D157" s="1" t="s">
        <v>2597</v>
      </c>
      <c r="E157" s="9">
        <v>37439</v>
      </c>
      <c r="F157" s="1" t="str">
        <f>VLOOKUP(D157,Table12[[Name]:[Native]],3,FALSE)</f>
        <v>稷山县</v>
      </c>
      <c r="G157" s="12" t="str">
        <f ca="1">VLOOKUP(F157,Table12[[Native]:[Population4]],5,FALSE)</f>
        <v>运城市</v>
      </c>
    </row>
    <row r="158" spans="1:7" ht="15.75" thickBot="1" x14ac:dyDescent="0.3">
      <c r="A158" t="s">
        <v>2866</v>
      </c>
      <c r="B158" s="1" t="s">
        <v>2867</v>
      </c>
      <c r="C158" s="1" t="s">
        <v>7</v>
      </c>
      <c r="D158" s="1" t="s">
        <v>2594</v>
      </c>
      <c r="E158" s="9">
        <v>26063</v>
      </c>
      <c r="F158" s="1" t="str">
        <f>VLOOKUP(D158,Table12[[Name]:[Native]],3,FALSE)</f>
        <v>平陆县</v>
      </c>
      <c r="G158" s="12" t="str">
        <f ca="1">VLOOKUP(F158,Table12[[Native]:[Population4]],5,FALSE)</f>
        <v>运城市</v>
      </c>
    </row>
    <row r="159" spans="1:7" ht="15.75" thickBot="1" x14ac:dyDescent="0.3">
      <c r="A159" t="s">
        <v>311</v>
      </c>
      <c r="B159" s="1" t="s">
        <v>312</v>
      </c>
      <c r="C159" s="1" t="s">
        <v>7</v>
      </c>
      <c r="D159" s="1" t="s">
        <v>2594</v>
      </c>
      <c r="E159" s="9">
        <v>18339</v>
      </c>
      <c r="F159" s="1" t="str">
        <f>VLOOKUP(D159,Table12[[Name]:[Native]],3,FALSE)</f>
        <v>平陆县</v>
      </c>
      <c r="G159" s="12" t="str">
        <f ca="1">VLOOKUP(F159,Table12[[Native]:[Population4]],5,FALSE)</f>
        <v>运城市</v>
      </c>
    </row>
    <row r="160" spans="1:7" ht="15.75" thickBot="1" x14ac:dyDescent="0.3">
      <c r="A160" t="s">
        <v>2868</v>
      </c>
      <c r="B160" s="1" t="s">
        <v>2869</v>
      </c>
      <c r="C160" s="1" t="s">
        <v>7</v>
      </c>
      <c r="D160" s="1" t="s">
        <v>2610</v>
      </c>
      <c r="E160" s="9">
        <v>30721</v>
      </c>
      <c r="F160" s="1" t="str">
        <f>VLOOKUP(D160,Table12[[Name]:[Native]],3,FALSE)</f>
        <v>永济市</v>
      </c>
      <c r="G160" s="12" t="str">
        <f ca="1">VLOOKUP(F160,Table12[[Native]:[Population4]],5,FALSE)</f>
        <v>运城市</v>
      </c>
    </row>
    <row r="161" spans="1:7" ht="15.75" thickBot="1" x14ac:dyDescent="0.3">
      <c r="A161" t="s">
        <v>2870</v>
      </c>
      <c r="B161" s="1" t="s">
        <v>2871</v>
      </c>
      <c r="C161" s="1" t="s">
        <v>17</v>
      </c>
      <c r="D161" s="1" t="s">
        <v>2602</v>
      </c>
      <c r="E161" s="9">
        <v>31775</v>
      </c>
      <c r="F161" s="1" t="str">
        <f>VLOOKUP(D161,Table12[[Name]:[Native]],3,FALSE)</f>
        <v>河津市</v>
      </c>
      <c r="G161" s="12" t="str">
        <f ca="1">VLOOKUP(F161,Table12[[Native]:[Population4]],5,FALSE)</f>
        <v>运城市</v>
      </c>
    </row>
    <row r="162" spans="1:7" ht="15.75" thickBot="1" x14ac:dyDescent="0.3">
      <c r="A162" t="s">
        <v>2872</v>
      </c>
      <c r="B162" s="1" t="s">
        <v>2873</v>
      </c>
      <c r="C162" s="1" t="s">
        <v>31</v>
      </c>
      <c r="D162" s="1" t="s">
        <v>2578</v>
      </c>
      <c r="E162" s="9">
        <v>20976</v>
      </c>
      <c r="F162" s="1" t="str">
        <f>VLOOKUP(D162,Table12[[Name]:[Native]],3,FALSE)</f>
        <v>盐湖区</v>
      </c>
      <c r="G162" s="12" t="str">
        <f ca="1">VLOOKUP(F162,Table12[[Native]:[Population4]],5,FALSE)</f>
        <v>运城市</v>
      </c>
    </row>
    <row r="163" spans="1:7" ht="15.75" thickBot="1" x14ac:dyDescent="0.3">
      <c r="A163" t="s">
        <v>2874</v>
      </c>
      <c r="B163" s="1" t="s">
        <v>2875</v>
      </c>
      <c r="C163" s="1" t="s">
        <v>35</v>
      </c>
      <c r="D163" s="1" t="s">
        <v>2584</v>
      </c>
      <c r="E163" s="9">
        <v>14454</v>
      </c>
      <c r="F163" s="8" t="str">
        <f>VLOOKUP(D163,Table12[[Name]:[Native]],3,FALSE)</f>
        <v>临猗县</v>
      </c>
      <c r="G163" s="12" t="str">
        <f ca="1">VLOOKUP(F163,Table12[[Native]:[Population4]],5,FALSE)</f>
        <v>运城市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18ABA-5C6F-4F61-A372-CCAF66E37C65}">
  <dimension ref="A1:P1448"/>
  <sheetViews>
    <sheetView tabSelected="1" workbookViewId="0">
      <selection activeCell="P2" sqref="P2:P1448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3022</v>
      </c>
      <c r="B1" t="s">
        <v>3032</v>
      </c>
      <c r="C1" t="s">
        <v>3582</v>
      </c>
      <c r="D1" t="s">
        <v>3024</v>
      </c>
      <c r="E1" t="s">
        <v>3025</v>
      </c>
      <c r="F1" t="s">
        <v>3026</v>
      </c>
      <c r="G1" t="s">
        <v>3027</v>
      </c>
      <c r="H1" t="s">
        <v>3028</v>
      </c>
      <c r="I1" t="s">
        <v>3029</v>
      </c>
      <c r="J1" t="s">
        <v>3030</v>
      </c>
      <c r="K1" t="s">
        <v>3031</v>
      </c>
      <c r="L1" t="s">
        <v>3583</v>
      </c>
      <c r="M1" t="s">
        <v>3584</v>
      </c>
      <c r="N1" t="s">
        <v>3585</v>
      </c>
      <c r="O1" t="s">
        <v>5020</v>
      </c>
      <c r="P1" t="s">
        <v>5021</v>
      </c>
    </row>
    <row r="2" spans="1:16" hidden="1" x14ac:dyDescent="0.25">
      <c r="A2" t="s">
        <v>1409</v>
      </c>
      <c r="B2" t="str">
        <f>IF(COUNTIF(A:A,A2)&gt;1,_xlfn.CONCAT(A2," (",N2,")"),A2)</f>
        <v>Ānjiāzhuāng Xiāng</v>
      </c>
      <c r="C2" t="str">
        <f>IF(COUNTIF(B:B,B2)&gt;1,_xlfn.CONCAT(A2," (",M2,")"),B2)</f>
        <v>Ānjiāzhuāng Xiāng</v>
      </c>
      <c r="D2" t="s">
        <v>1410</v>
      </c>
      <c r="E2" t="s">
        <v>17</v>
      </c>
      <c r="F2" t="str">
        <f>_xlfn.CONCAT(D2,", ",H2,", ",I2,", ","山西省")</f>
        <v>安家庄乡, 临县, 吕梁市, 山西省</v>
      </c>
      <c r="G2">
        <v>18067</v>
      </c>
      <c r="H2" t="s">
        <v>2952</v>
      </c>
      <c r="I2" t="s">
        <v>2946</v>
      </c>
      <c r="J2" t="e">
        <f>VLOOKUP(F2,[1]!china_towns_second__2[[Column1]:[Y]],3,FALSE)</f>
        <v>#N/A</v>
      </c>
      <c r="K2" t="e">
        <f>VLOOKUP(F2,[1]!china_towns_second__2[[Column1]:[Y]],2,FALSE)</f>
        <v>#N/A</v>
      </c>
      <c r="L2" t="s">
        <v>3586</v>
      </c>
      <c r="M2" t="str">
        <f>VLOOKUP(H2,CHOOSE({1,2},Table12[Native],Table12[Name]),2,0)</f>
        <v>Lín Xiàn</v>
      </c>
      <c r="N2" s="13" t="str">
        <f>VLOOKUP(I2,CHOOSE({1,2},Table12[Native],Table12[Name]),2,0)</f>
        <v>Lǚliáng Shì</v>
      </c>
      <c r="O2" s="13" t="str">
        <f t="shared" ref="O2:O65" si="0">_xlfn.CONCAT(L2," (",N2,")")</f>
        <v>Anjiazhuang Xiang (Lǚliáng Shì)</v>
      </c>
      <c r="P2" s="13" t="str">
        <f t="shared" ref="P2:P65" si="1">IF(COUNTIF(O:O,O2)&gt;1,_xlfn.CONCAT(L2," (",M2,")"),O2)</f>
        <v>Anjiazhuang Xiang (Lǚliáng Shì)</v>
      </c>
    </row>
    <row r="3" spans="1:16" hidden="1" x14ac:dyDescent="0.25">
      <c r="A3" t="s">
        <v>783</v>
      </c>
      <c r="B3" t="str">
        <f>IF(COUNTIF(A:A,A3)&gt;1,_xlfn.CONCAT(A3," (",N3,")"),A3)</f>
        <v>Ānníng Jiēdào</v>
      </c>
      <c r="C3" t="str">
        <f>IF(COUNTIF(B:B,B3)&gt;1,_xlfn.CONCAT(A3," (",M3,")"),B3)</f>
        <v>Ānníng Jiēdào</v>
      </c>
      <c r="D3" t="s">
        <v>784</v>
      </c>
      <c r="E3" t="s">
        <v>31</v>
      </c>
      <c r="F3" t="str">
        <f>_xlfn.CONCAT(D3,", ",H3,", ",I3,", ","山西省")</f>
        <v>安宁街道, 榆次区, 晋中市, 山西省</v>
      </c>
      <c r="G3">
        <v>68045</v>
      </c>
      <c r="H3" t="s">
        <v>2923</v>
      </c>
      <c r="I3" t="s">
        <v>2914</v>
      </c>
      <c r="J3">
        <f>VLOOKUP(F3,[1]!china_towns_second__2[[Column1]:[Y]],3,FALSE)</f>
        <v>37.711477398386997</v>
      </c>
      <c r="K3">
        <f>VLOOKUP(F3,[1]!china_towns_second__2[[Column1]:[Y]],2,FALSE)</f>
        <v>112.7244214</v>
      </c>
      <c r="L3" t="s">
        <v>3587</v>
      </c>
      <c r="M3" t="str">
        <f>VLOOKUP(H3,CHOOSE({1,2},Table12[Native],Table12[Name]),2,0)</f>
        <v>Yúcì Qū</v>
      </c>
      <c r="N3" s="13" t="str">
        <f>VLOOKUP(I3,CHOOSE({1,2},Table12[Native],Table12[Name]),2,0)</f>
        <v>Jìnzhōng Shì</v>
      </c>
      <c r="O3" s="13" t="str">
        <f t="shared" si="0"/>
        <v>Anning Jiedao (Jìnzhōng Shì)</v>
      </c>
      <c r="P3" s="13" t="str">
        <f t="shared" si="1"/>
        <v>Anning Jiedao (Jìnzhōng Shì)</v>
      </c>
    </row>
    <row r="4" spans="1:16" hidden="1" x14ac:dyDescent="0.25">
      <c r="A4" t="s">
        <v>1734</v>
      </c>
      <c r="B4" t="str">
        <f>IF(COUNTIF(A:A,A4)&gt;1,_xlfn.CONCAT(A4," (",N4,")"),A4)</f>
        <v>Ānróng Xiāng</v>
      </c>
      <c r="C4" t="str">
        <f>IF(COUNTIF(B:B,B4)&gt;1,_xlfn.CONCAT(A4," (",M4,")"),B4)</f>
        <v>Ānróng Xiāng</v>
      </c>
      <c r="D4" t="s">
        <v>1735</v>
      </c>
      <c r="E4" t="s">
        <v>17</v>
      </c>
      <c r="F4" t="str">
        <f>_xlfn.CONCAT(D4,", ",H4,", ",I4,", ","山西省")</f>
        <v>安荣乡, 山阴县, 朔州市, 山西省</v>
      </c>
      <c r="G4">
        <v>11023</v>
      </c>
      <c r="H4" t="s">
        <v>2964</v>
      </c>
      <c r="I4" t="s">
        <v>2961</v>
      </c>
      <c r="J4" t="e">
        <f>VLOOKUP(F4,[1]!china_towns_second__2[[Column1]:[Y]],3,FALSE)</f>
        <v>#N/A</v>
      </c>
      <c r="K4" t="e">
        <f>VLOOKUP(F4,[1]!china_towns_second__2[[Column1]:[Y]],2,FALSE)</f>
        <v>#N/A</v>
      </c>
      <c r="L4" t="s">
        <v>3588</v>
      </c>
      <c r="M4" t="str">
        <f>VLOOKUP(H4,CHOOSE({1,2},Table12[Native],Table12[Name]),2,0)</f>
        <v>Shānyīn Xiàn</v>
      </c>
      <c r="N4" s="13" t="str">
        <f>VLOOKUP(I4,CHOOSE({1,2},Table12[Native],Table12[Name]),2,0)</f>
        <v>Shuòzhōu Shì</v>
      </c>
      <c r="O4" s="13" t="str">
        <f t="shared" si="0"/>
        <v>Anrong Xiang (Shuòzhōu Shì)</v>
      </c>
      <c r="P4" s="13" t="str">
        <f t="shared" si="1"/>
        <v>Anrong Xiang (Shuòzhōu Shì)</v>
      </c>
    </row>
    <row r="5" spans="1:16" hidden="1" x14ac:dyDescent="0.25">
      <c r="A5" t="s">
        <v>1412</v>
      </c>
      <c r="B5" t="str">
        <f>IF(COUNTIF(A:A,A5)&gt;1,_xlfn.CONCAT(A5," (",N5,")"),A5)</f>
        <v>Ānyè Xiāng</v>
      </c>
      <c r="C5" t="str">
        <f>IF(COUNTIF(B:B,B5)&gt;1,_xlfn.CONCAT(A5," (",M5,")"),B5)</f>
        <v>Ānyè Xiāng</v>
      </c>
      <c r="D5" t="s">
        <v>1413</v>
      </c>
      <c r="E5" t="s">
        <v>17</v>
      </c>
      <c r="F5" t="str">
        <f>_xlfn.CONCAT(D5,", ",H5,", ",I5,", ","山西省")</f>
        <v>安业乡, 临县, 吕梁市, 山西省</v>
      </c>
      <c r="G5">
        <v>21476</v>
      </c>
      <c r="H5" t="s">
        <v>2952</v>
      </c>
      <c r="I5" t="s">
        <v>2946</v>
      </c>
      <c r="J5" t="e">
        <f>VLOOKUP(F5,[1]!china_towns_second__2[[Column1]:[Y]],3,FALSE)</f>
        <v>#N/A</v>
      </c>
      <c r="K5" t="e">
        <f>VLOOKUP(F5,[1]!china_towns_second__2[[Column1]:[Y]],2,FALSE)</f>
        <v>#N/A</v>
      </c>
      <c r="L5" t="s">
        <v>3589</v>
      </c>
      <c r="M5" t="str">
        <f>VLOOKUP(H5,CHOOSE({1,2},Table12[Native],Table12[Name]),2,0)</f>
        <v>Lín Xiàn</v>
      </c>
      <c r="N5" s="13" t="str">
        <f>VLOOKUP(I5,CHOOSE({1,2},Table12[Native],Table12[Name]),2,0)</f>
        <v>Lǚliáng Shì</v>
      </c>
      <c r="O5" s="13" t="str">
        <f t="shared" si="0"/>
        <v>Anye Xiang (Lǚliáng Shì)</v>
      </c>
      <c r="P5" s="13" t="str">
        <f t="shared" si="1"/>
        <v>Anye Xiang (Lǚliáng Shì)</v>
      </c>
    </row>
    <row r="6" spans="1:16" hidden="1" x14ac:dyDescent="0.25">
      <c r="A6" t="s">
        <v>2576</v>
      </c>
      <c r="B6" t="str">
        <f>IF(COUNTIF(A:A,A6)&gt;1,_xlfn.CONCAT(A6," (",N6,")"),A6)</f>
        <v>Ānyì Jiēdào</v>
      </c>
      <c r="C6" t="str">
        <f>IF(COUNTIF(B:B,B6)&gt;1,_xlfn.CONCAT(A6," (",M6,")"),B6)</f>
        <v>Ānyì Jiēdào</v>
      </c>
      <c r="D6" t="s">
        <v>2577</v>
      </c>
      <c r="E6" t="s">
        <v>31</v>
      </c>
      <c r="F6" t="str">
        <f>_xlfn.CONCAT(D6,", ",H6,", ",I6,", ","山西省")</f>
        <v>安邑街道, 盐湖区, 运城市, 山西省</v>
      </c>
      <c r="G6">
        <v>51731</v>
      </c>
      <c r="H6" t="s">
        <v>3014</v>
      </c>
      <c r="I6" t="s">
        <v>3003</v>
      </c>
      <c r="J6">
        <f>VLOOKUP(F6,[1]!china_towns_second__2[[Column1]:[Y]],3,FALSE)</f>
        <v>35.062846068859599</v>
      </c>
      <c r="K6">
        <f>VLOOKUP(F6,[1]!china_towns_second__2[[Column1]:[Y]],2,FALSE)</f>
        <v>111.0685443</v>
      </c>
      <c r="L6" t="s">
        <v>3590</v>
      </c>
      <c r="M6" t="str">
        <f>VLOOKUP(H6,CHOOSE({1,2},Table12[Native],Table12[Name]),2,0)</f>
        <v>Yánhú Qū</v>
      </c>
      <c r="N6" s="13" t="str">
        <f>VLOOKUP(I6,CHOOSE({1,2},Table12[Native],Table12[Name]),2,0)</f>
        <v>Yùnchéng Shì</v>
      </c>
      <c r="O6" s="13" t="str">
        <f t="shared" si="0"/>
        <v>Anyi Jiedao (Yùnchéng Shì)</v>
      </c>
      <c r="P6" s="13" t="str">
        <f t="shared" si="1"/>
        <v>Anyi Jiedao (Yùnchéng Shì)</v>
      </c>
    </row>
    <row r="7" spans="1:16" hidden="1" x14ac:dyDescent="0.25">
      <c r="A7" t="s">
        <v>2579</v>
      </c>
      <c r="B7" t="str">
        <f>IF(COUNTIF(A:A,A7)&gt;1,_xlfn.CONCAT(A7," (",N7,")"),A7)</f>
        <v>Ānyù Zhèn</v>
      </c>
      <c r="C7" t="str">
        <f>IF(COUNTIF(B:B,B7)&gt;1,_xlfn.CONCAT(A7," (",M7,")"),B7)</f>
        <v>Ānyù Zhèn</v>
      </c>
      <c r="D7" t="s">
        <v>2580</v>
      </c>
      <c r="E7" t="s">
        <v>7</v>
      </c>
      <c r="F7" t="str">
        <f>_xlfn.CONCAT(D7,", ",H7,", ",I7,", ","山西省")</f>
        <v>安峪镇, 绛县, 运城市, 山西省</v>
      </c>
      <c r="G7">
        <v>29561</v>
      </c>
      <c r="H7" t="s">
        <v>3005</v>
      </c>
      <c r="I7" t="s">
        <v>3003</v>
      </c>
      <c r="J7">
        <f>VLOOKUP(F7,[1]!china_towns_second__2[[Column1]:[Y]],3,FALSE)</f>
        <v>35.577072645939801</v>
      </c>
      <c r="K7">
        <f>VLOOKUP(F7,[1]!china_towns_second__2[[Column1]:[Y]],2,FALSE)</f>
        <v>111.6890334</v>
      </c>
      <c r="L7" t="s">
        <v>3591</v>
      </c>
      <c r="M7" t="str">
        <f>VLOOKUP(H7,CHOOSE({1,2},Table12[Native],Table12[Name]),2,0)</f>
        <v>Jiàng Xiàn</v>
      </c>
      <c r="N7" s="13" t="str">
        <f>VLOOKUP(I7,CHOOSE({1,2},Table12[Native],Table12[Name]),2,0)</f>
        <v>Yùnchéng Shì</v>
      </c>
      <c r="O7" s="13" t="str">
        <f t="shared" si="0"/>
        <v>Anyu Zhen (Yùnchéng Shì)</v>
      </c>
      <c r="P7" s="13" t="str">
        <f t="shared" si="1"/>
        <v>Anyu Zhen (Yùnchéng Shì)</v>
      </c>
    </row>
    <row r="8" spans="1:16" hidden="1" x14ac:dyDescent="0.25">
      <c r="A8" t="s">
        <v>1414</v>
      </c>
      <c r="B8" t="str">
        <f>IF(COUNTIF(A:A,A8)&gt;1,_xlfn.CONCAT(A8," (",N8,")"),A8)</f>
        <v>Àojiāwān Xiāng</v>
      </c>
      <c r="C8" t="str">
        <f>IF(COUNTIF(B:B,B8)&gt;1,_xlfn.CONCAT(A8," (",M8,")"),B8)</f>
        <v>Àojiāwān Xiāng</v>
      </c>
      <c r="D8" t="s">
        <v>1415</v>
      </c>
      <c r="E8" t="s">
        <v>17</v>
      </c>
      <c r="F8" t="str">
        <f>_xlfn.CONCAT(D8,", ",H8,", ",I8,", ","山西省")</f>
        <v>奥家湾乡, 兴县, 吕梁市, 山西省</v>
      </c>
      <c r="G8">
        <v>15617</v>
      </c>
      <c r="H8" t="s">
        <v>2958</v>
      </c>
      <c r="I8" t="s">
        <v>2946</v>
      </c>
      <c r="J8" t="e">
        <f>VLOOKUP(F8,[1]!china_towns_second__2[[Column1]:[Y]],3,FALSE)</f>
        <v>#N/A</v>
      </c>
      <c r="K8" t="e">
        <f>VLOOKUP(F8,[1]!china_towns_second__2[[Column1]:[Y]],2,FALSE)</f>
        <v>#N/A</v>
      </c>
      <c r="L8" t="s">
        <v>3592</v>
      </c>
      <c r="M8" t="str">
        <f>VLOOKUP(H8,CHOOSE({1,2},Table12[Native],Table12[Name]),2,0)</f>
        <v>Xīng Xiàn</v>
      </c>
      <c r="N8" s="13" t="str">
        <f>VLOOKUP(I8,CHOOSE({1,2},Table12[Native],Table12[Name]),2,0)</f>
        <v>Lǚliáng Shì</v>
      </c>
      <c r="O8" s="13" t="str">
        <f t="shared" si="0"/>
        <v>Aojiawan Xiang (Lǚliáng Shì)</v>
      </c>
      <c r="P8" s="13" t="str">
        <f t="shared" si="1"/>
        <v>Aojiawan Xiang (Lǚliáng Shì)</v>
      </c>
    </row>
    <row r="9" spans="1:16" hidden="1" x14ac:dyDescent="0.25">
      <c r="A9" t="s">
        <v>323</v>
      </c>
      <c r="B9" t="str">
        <f>IF(COUNTIF(A:A,A9)&gt;1,_xlfn.CONCAT(A9," (",N9,")"),A9)</f>
        <v>Áoshí Xiāng</v>
      </c>
      <c r="C9" t="str">
        <f>IF(COUNTIF(B:B,B9)&gt;1,_xlfn.CONCAT(A9," (",M9,")"),B9)</f>
        <v>Áoshí Xiāng</v>
      </c>
      <c r="D9" t="s">
        <v>324</v>
      </c>
      <c r="E9" t="s">
        <v>17</v>
      </c>
      <c r="F9" t="str">
        <f>_xlfn.CONCAT(D9,", ",H9,", ",I9,", ","山西省")</f>
        <v>鳌石乡, 阳高县, 大同市, 山西省</v>
      </c>
      <c r="G9">
        <v>10100</v>
      </c>
      <c r="H9" t="s">
        <v>2901</v>
      </c>
      <c r="I9" t="s">
        <v>2894</v>
      </c>
      <c r="J9" t="e">
        <f>VLOOKUP(F9,[1]!china_towns_second__2[[Column1]:[Y]],3,FALSE)</f>
        <v>#N/A</v>
      </c>
      <c r="K9" t="e">
        <f>VLOOKUP(F9,[1]!china_towns_second__2[[Column1]:[Y]],2,FALSE)</f>
        <v>#N/A</v>
      </c>
      <c r="L9" t="s">
        <v>3593</v>
      </c>
      <c r="M9" t="str">
        <f>VLOOKUP(H9,CHOOSE({1,2},Table12[Native],Table12[Name]),2,0)</f>
        <v>Yánggāo Xiàn</v>
      </c>
      <c r="N9" s="13" t="str">
        <f>VLOOKUP(I9,CHOOSE({1,2},Table12[Native],Table12[Name]),2,0)</f>
        <v>Dàtóng Shì</v>
      </c>
      <c r="O9" s="13" t="str">
        <f t="shared" si="0"/>
        <v>Aoshi Xiang (Dàtóng Shì)</v>
      </c>
      <c r="P9" s="13" t="str">
        <f t="shared" si="1"/>
        <v>Aoshi Xiang (Dàtóng Shì)</v>
      </c>
    </row>
    <row r="10" spans="1:16" hidden="1" x14ac:dyDescent="0.25">
      <c r="A10" t="s">
        <v>1417</v>
      </c>
      <c r="B10" t="str">
        <f>IF(COUNTIF(A:A,A10)&gt;1,_xlfn.CONCAT(A10," (",N10,")"),A10)</f>
        <v>Bābăo Xiāng [Dìbābăo Xiāng]</v>
      </c>
      <c r="C10" t="str">
        <f>IF(COUNTIF(B:B,B10)&gt;1,_xlfn.CONCAT(A10," (",M10,")"),B10)</f>
        <v>Bābăo Xiāng [Dìbābăo Xiāng]</v>
      </c>
      <c r="D10" t="s">
        <v>1418</v>
      </c>
      <c r="E10" t="s">
        <v>17</v>
      </c>
      <c r="F10" t="str">
        <f>_xlfn.CONCAT(D10,", ",H10,", ",I10,", ","山西省")</f>
        <v>八堡乡, 临县, 吕梁市, 山西省</v>
      </c>
      <c r="G10">
        <v>12161</v>
      </c>
      <c r="H10" t="s">
        <v>2952</v>
      </c>
      <c r="I10" t="s">
        <v>2946</v>
      </c>
      <c r="J10" t="e">
        <f>VLOOKUP(F10,[1]!china_towns_second__2[[Column1]:[Y]],3,FALSE)</f>
        <v>#N/A</v>
      </c>
      <c r="K10" t="e">
        <f>VLOOKUP(F10,[1]!china_towns_second__2[[Column1]:[Y]],2,FALSE)</f>
        <v>#N/A</v>
      </c>
      <c r="L10" t="s">
        <v>3594</v>
      </c>
      <c r="M10" t="str">
        <f>VLOOKUP(H10,CHOOSE({1,2},Table12[Native],Table12[Name]),2,0)</f>
        <v>Lín Xiàn</v>
      </c>
      <c r="N10" s="13" t="str">
        <f>VLOOKUP(I10,CHOOSE({1,2},Table12[Native],Table12[Name]),2,0)</f>
        <v>Lǚliáng Shì</v>
      </c>
      <c r="O10" s="13" t="str">
        <f t="shared" si="0"/>
        <v>Babao Xiang [Dibabao Xiang] (Lǚliáng Shì)</v>
      </c>
      <c r="P10" s="13" t="str">
        <f t="shared" si="1"/>
        <v>Babao Xiang [Dibabao Xiang] (Lǚliáng Shì)</v>
      </c>
    </row>
    <row r="11" spans="1:16" hidden="1" x14ac:dyDescent="0.25">
      <c r="A11" t="s">
        <v>615</v>
      </c>
      <c r="B11" t="str">
        <f>IF(COUNTIF(A:A,A11)&gt;1,_xlfn.CONCAT(A11," (",N11,")"),A11)</f>
        <v>Bāgōng Zhèn</v>
      </c>
      <c r="C11" t="str">
        <f>IF(COUNTIF(B:B,B11)&gt;1,_xlfn.CONCAT(A11," (",M11,")"),B11)</f>
        <v>Bāgōng Zhèn</v>
      </c>
      <c r="D11" t="s">
        <v>616</v>
      </c>
      <c r="E11" t="s">
        <v>7</v>
      </c>
      <c r="F11" t="str">
        <f>_xlfn.CONCAT(D11,", ",H11,", ",I11,", ","山西省")</f>
        <v>巴公镇, 泽州县, 晋城市, 山西省</v>
      </c>
      <c r="G11">
        <v>62157</v>
      </c>
      <c r="H11" t="s">
        <v>2912</v>
      </c>
      <c r="I11" t="s">
        <v>2906</v>
      </c>
      <c r="J11">
        <f>VLOOKUP(F11,[1]!china_towns_second__2[[Column1]:[Y]],3,FALSE)</f>
        <v>35.625391663286102</v>
      </c>
      <c r="K11">
        <f>VLOOKUP(F11,[1]!china_towns_second__2[[Column1]:[Y]],2,FALSE)</f>
        <v>112.8603438</v>
      </c>
      <c r="L11" t="s">
        <v>3595</v>
      </c>
      <c r="M11" t="str">
        <f>VLOOKUP(H11,CHOOSE({1,2},Table12[Native],Table12[Name]),2,0)</f>
        <v>Zézhōu Xiàn</v>
      </c>
      <c r="N11" s="13" t="str">
        <f>VLOOKUP(I11,CHOOSE({1,2},Table12[Native],Table12[Name]),2,0)</f>
        <v>Jìnchéng Shì</v>
      </c>
      <c r="O11" s="13" t="str">
        <f t="shared" si="0"/>
        <v>Bagong Zhen (Jìnchéng Shì)</v>
      </c>
      <c r="P11" s="13" t="str">
        <f t="shared" si="1"/>
        <v>Bagong Zhen (Jìnchéng Shì)</v>
      </c>
    </row>
    <row r="12" spans="1:16" hidden="1" x14ac:dyDescent="0.25">
      <c r="A12" t="s">
        <v>1882</v>
      </c>
      <c r="B12" t="str">
        <f>IF(COUNTIF(A:A,A12)&gt;1,_xlfn.CONCAT(A12," (",N12,")"),A12)</f>
        <v>Bǎibăn Xiāng</v>
      </c>
      <c r="C12" t="str">
        <f>IF(COUNTIF(B:B,B12)&gt;1,_xlfn.CONCAT(A12," (",M12,")"),B12)</f>
        <v>Bǎibăn Xiāng</v>
      </c>
      <c r="D12" t="s">
        <v>1883</v>
      </c>
      <c r="E12" t="s">
        <v>17</v>
      </c>
      <c r="F12" t="str">
        <f>_xlfn.CONCAT(D12,", ",H12,", ",I12,", ","山西省")</f>
        <v>柏板乡, 尖草坪区, 太原市, 山西省</v>
      </c>
      <c r="G12">
        <v>11105</v>
      </c>
      <c r="H12" t="s">
        <v>2971</v>
      </c>
      <c r="I12" t="s">
        <v>2969</v>
      </c>
      <c r="J12" t="e">
        <f>VLOOKUP(F12,[1]!china_towns_second__2[[Column1]:[Y]],3,FALSE)</f>
        <v>#N/A</v>
      </c>
      <c r="K12" t="e">
        <f>VLOOKUP(F12,[1]!china_towns_second__2[[Column1]:[Y]],2,FALSE)</f>
        <v>#N/A</v>
      </c>
      <c r="L12" t="s">
        <v>3596</v>
      </c>
      <c r="M12" t="str">
        <f>VLOOKUP(H12,CHOOSE({1,2},Table12[Native],Table12[Name]),2,0)</f>
        <v>Jiāncăopíng Qū</v>
      </c>
      <c r="N12" s="13" t="str">
        <f>VLOOKUP(I12,CHOOSE({1,2},Table12[Native],Table12[Name]),2,0)</f>
        <v>Tàiyuán Shì</v>
      </c>
      <c r="O12" s="13" t="str">
        <f t="shared" si="0"/>
        <v>Baiban Xiang (Tàiyuán Shì)</v>
      </c>
      <c r="P12" s="13" t="str">
        <f t="shared" si="1"/>
        <v>Baiban Xiang (Tàiyuán Shì)</v>
      </c>
    </row>
    <row r="13" spans="1:16" hidden="1" x14ac:dyDescent="0.25">
      <c r="A13" t="s">
        <v>5</v>
      </c>
      <c r="B13" t="str">
        <f>IF(COUNTIF(A:A,A13)&gt;1,_xlfn.CONCAT(A13," (",N13,")"),A13)</f>
        <v>Băichĭ Zhèn</v>
      </c>
      <c r="C13" t="str">
        <f>IF(COUNTIF(B:B,B13)&gt;1,_xlfn.CONCAT(A13," (",M13,")"),B13)</f>
        <v>Băichĭ Zhèn</v>
      </c>
      <c r="D13" t="s">
        <v>6</v>
      </c>
      <c r="E13" t="s">
        <v>7</v>
      </c>
      <c r="F13" t="str">
        <f>_xlfn.CONCAT(D13,", ",H13,", ",I13,", ","山西省")</f>
        <v>百尺镇, 壶关县, 长治市, 山西省</v>
      </c>
      <c r="G13">
        <v>32499</v>
      </c>
      <c r="H13" t="s">
        <v>2881</v>
      </c>
      <c r="I13" t="s">
        <v>2878</v>
      </c>
      <c r="J13">
        <f>VLOOKUP(F13,[1]!china_towns_second__2[[Column1]:[Y]],3,FALSE)</f>
        <v>35.937841949012501</v>
      </c>
      <c r="K13">
        <f>VLOOKUP(F13,[1]!china_towns_second__2[[Column1]:[Y]],2,FALSE)</f>
        <v>113.2281018</v>
      </c>
      <c r="L13" t="s">
        <v>3597</v>
      </c>
      <c r="M13" t="str">
        <f>VLOOKUP(H13,CHOOSE({1,2},Table12[Native],Table12[Name]),2,0)</f>
        <v>Húguān Xiàn</v>
      </c>
      <c r="N13" s="13" t="str">
        <f>VLOOKUP(I13,CHOOSE({1,2},Table12[Native],Table12[Name]),2,0)</f>
        <v>Chángzhì Shì</v>
      </c>
      <c r="O13" s="13" t="str">
        <f t="shared" si="0"/>
        <v>Baichi Zhen (Chángzhì Shì)</v>
      </c>
      <c r="P13" s="13" t="str">
        <f t="shared" si="1"/>
        <v>Baichi Zhen (Chángzhì Shì)</v>
      </c>
    </row>
    <row r="14" spans="1:16" hidden="1" x14ac:dyDescent="0.25">
      <c r="A14" t="s">
        <v>326</v>
      </c>
      <c r="B14" t="str">
        <f>IF(COUNTIF(A:A,A14)&gt;1,_xlfn.CONCAT(A14," (",N14,")"),A14)</f>
        <v>Báidòng Jiēdào</v>
      </c>
      <c r="C14" t="str">
        <f>IF(COUNTIF(B:B,B14)&gt;1,_xlfn.CONCAT(A14," (",M14,")"),B14)</f>
        <v>Báidòng Jiēdào</v>
      </c>
      <c r="D14" t="s">
        <v>327</v>
      </c>
      <c r="E14" t="s">
        <v>31</v>
      </c>
      <c r="F14" t="str">
        <f>_xlfn.CONCAT(D14,", ",H14,", ",I14,", ","山西省")</f>
        <v>白洞街道, 云冈区, 大同市, 山西省</v>
      </c>
      <c r="G14">
        <v>1225</v>
      </c>
      <c r="H14" t="s">
        <v>2902</v>
      </c>
      <c r="I14" t="s">
        <v>2894</v>
      </c>
      <c r="J14" t="e">
        <f>VLOOKUP(F14,[1]!china_towns_second__2[[Column1]:[Y]],3,FALSE)</f>
        <v>#N/A</v>
      </c>
      <c r="K14" t="e">
        <f>VLOOKUP(F14,[1]!china_towns_second__2[[Column1]:[Y]],2,FALSE)</f>
        <v>#N/A</v>
      </c>
      <c r="L14" t="s">
        <v>3598</v>
      </c>
      <c r="M14" t="str">
        <f>VLOOKUP(H14,CHOOSE({1,2},Table12[Native],Table12[Name]),2,0)</f>
        <v>Yúngāng Qū</v>
      </c>
      <c r="N14" s="13" t="str">
        <f>VLOOKUP(I14,CHOOSE({1,2},Table12[Native],Table12[Name]),2,0)</f>
        <v>Dàtóng Shì</v>
      </c>
      <c r="O14" s="13" t="str">
        <f t="shared" si="0"/>
        <v>Baidong Jiedao (Dàtóng Shì)</v>
      </c>
      <c r="P14" s="13" t="str">
        <f t="shared" si="1"/>
        <v>Baidong Jiedao (Dàtóng Shì)</v>
      </c>
    </row>
    <row r="15" spans="1:16" hidden="1" x14ac:dyDescent="0.25">
      <c r="A15" t="s">
        <v>1885</v>
      </c>
      <c r="B15" t="str">
        <f>IF(COUNTIF(A:A,A15)&gt;1,_xlfn.CONCAT(A15," (",N15,")"),A15)</f>
        <v>Báijiāzhuāng Jiēdào</v>
      </c>
      <c r="C15" t="str">
        <f>IF(COUNTIF(B:B,B15)&gt;1,_xlfn.CONCAT(A15," (",M15,")"),B15)</f>
        <v>Báijiāzhuāng Jiēdào</v>
      </c>
      <c r="D15" t="s">
        <v>1886</v>
      </c>
      <c r="E15" t="s">
        <v>31</v>
      </c>
      <c r="F15" t="str">
        <f>_xlfn.CONCAT(D15,", ",H15,", ",I15,", ","山西省")</f>
        <v>白家庄街道, 万柏林区, 太原市, 山西省</v>
      </c>
      <c r="G15">
        <v>30685</v>
      </c>
      <c r="H15" t="s">
        <v>2975</v>
      </c>
      <c r="I15" t="s">
        <v>2969</v>
      </c>
      <c r="J15">
        <f>VLOOKUP(F15,[1]!china_towns_second__2[[Column1]:[Y]],3,FALSE)</f>
        <v>37.817773376228601</v>
      </c>
      <c r="K15">
        <f>VLOOKUP(F15,[1]!china_towns_second__2[[Column1]:[Y]],2,FALSE)</f>
        <v>112.4076761</v>
      </c>
      <c r="L15" t="s">
        <v>3599</v>
      </c>
      <c r="M15" t="str">
        <f>VLOOKUP(H15,CHOOSE({1,2},Table12[Native],Table12[Name]),2,0)</f>
        <v>Wànbǎilín Qū</v>
      </c>
      <c r="N15" s="13" t="str">
        <f>VLOOKUP(I15,CHOOSE({1,2},Table12[Native],Table12[Name]),2,0)</f>
        <v>Tàiyuán Shì</v>
      </c>
      <c r="O15" s="13" t="str">
        <f t="shared" si="0"/>
        <v>Baijiazhuang Jiedao (Tàiyuán Shì)</v>
      </c>
      <c r="P15" s="13" t="str">
        <f t="shared" si="1"/>
        <v>Baijiazhuang Jiedao (Tàiyuán Shì)</v>
      </c>
    </row>
    <row r="16" spans="1:16" hidden="1" x14ac:dyDescent="0.25">
      <c r="A16" t="s">
        <v>2104</v>
      </c>
      <c r="B16" t="str">
        <f>IF(COUNTIF(A:A,A16)&gt;1,_xlfn.CONCAT(A16," (",N16,")"),A16)</f>
        <v>Bǎijiāzhuāng Xiāng</v>
      </c>
      <c r="C16" t="str">
        <f>IF(COUNTIF(B:B,B16)&gt;1,_xlfn.CONCAT(A16," (",M16,")"),B16)</f>
        <v>Bǎijiāzhuāng Xiāng</v>
      </c>
      <c r="D16" t="s">
        <v>2105</v>
      </c>
      <c r="E16" t="s">
        <v>17</v>
      </c>
      <c r="F16" t="str">
        <f>_xlfn.CONCAT(D16,", ",H16,", ",I16,", ","山西省")</f>
        <v>柏家庄乡, 繁峙县, 忻州市, 山西省</v>
      </c>
      <c r="G16">
        <v>8188</v>
      </c>
      <c r="H16" t="s">
        <v>2985</v>
      </c>
      <c r="I16" t="s">
        <v>2981</v>
      </c>
      <c r="J16" t="e">
        <f>VLOOKUP(F16,[1]!china_towns_second__2[[Column1]:[Y]],3,FALSE)</f>
        <v>#N/A</v>
      </c>
      <c r="K16" t="e">
        <f>VLOOKUP(F16,[1]!china_towns_second__2[[Column1]:[Y]],2,FALSE)</f>
        <v>#N/A</v>
      </c>
      <c r="L16" t="s">
        <v>3600</v>
      </c>
      <c r="M16" t="str">
        <f>VLOOKUP(H16,CHOOSE({1,2},Table12[Native],Table12[Name]),2,0)</f>
        <v>Fánshì Xiàn</v>
      </c>
      <c r="N16" s="13" t="str">
        <f>VLOOKUP(I16,CHOOSE({1,2},Table12[Native],Table12[Name]),2,0)</f>
        <v>Xīnzhōu Shì</v>
      </c>
      <c r="O16" s="13" t="str">
        <f t="shared" si="0"/>
        <v>Baijiazhuang Xiang (Xīnzhōu Shì)</v>
      </c>
      <c r="P16" s="13" t="str">
        <f t="shared" si="1"/>
        <v>Baijiazhuang Xiang (Xīnzhōu Shì)</v>
      </c>
    </row>
    <row r="17" spans="1:16" hidden="1" x14ac:dyDescent="0.25">
      <c r="A17" t="s">
        <v>2107</v>
      </c>
      <c r="B17" t="str">
        <f>IF(COUNTIF(A:A,A17)&gt;1,_xlfn.CONCAT(A17," (",N17,")"),A17)</f>
        <v>Báijiāzhuāng Zhèn</v>
      </c>
      <c r="C17" t="str">
        <f>IF(COUNTIF(B:B,B17)&gt;1,_xlfn.CONCAT(A17," (",M17,")"),B17)</f>
        <v>Báijiāzhuāng Zhèn</v>
      </c>
      <c r="D17" t="s">
        <v>2108</v>
      </c>
      <c r="E17" t="s">
        <v>7</v>
      </c>
      <c r="F17" t="str">
        <f>_xlfn.CONCAT(D17,", ",H17,", ",I17,", ","山西省")</f>
        <v>白家庄镇, 五台县, 忻州市, 山西省</v>
      </c>
      <c r="G17">
        <v>11668</v>
      </c>
      <c r="H17" t="s">
        <v>2992</v>
      </c>
      <c r="I17" t="s">
        <v>2981</v>
      </c>
      <c r="J17">
        <f>VLOOKUP(F17,[1]!china_towns_second__2[[Column1]:[Y]],3,FALSE)</f>
        <v>38.586367537966098</v>
      </c>
      <c r="K17">
        <f>VLOOKUP(F17,[1]!china_towns_second__2[[Column1]:[Y]],2,FALSE)</f>
        <v>113.3051316</v>
      </c>
      <c r="L17" t="s">
        <v>3601</v>
      </c>
      <c r="M17" t="str">
        <f>VLOOKUP(H17,CHOOSE({1,2},Table12[Native],Table12[Name]),2,0)</f>
        <v>Wŭtái Xiàn</v>
      </c>
      <c r="N17" s="13" t="str">
        <f>VLOOKUP(I17,CHOOSE({1,2},Table12[Native],Table12[Name]),2,0)</f>
        <v>Xīnzhōu Shì</v>
      </c>
      <c r="O17" s="13" t="str">
        <f t="shared" si="0"/>
        <v>Baijiazhuang Zhen (Xīnzhōu Shì)</v>
      </c>
      <c r="P17" s="13" t="str">
        <f t="shared" si="1"/>
        <v>Baijiazhuang Zhen (Xīnzhōu Shì)</v>
      </c>
    </row>
    <row r="18" spans="1:16" hidden="1" x14ac:dyDescent="0.25">
      <c r="A18" t="s">
        <v>2490</v>
      </c>
      <c r="B18" t="str">
        <f>IF(COUNTIF(A:A,A18)&gt;1,_xlfn.CONCAT(A18," (",N18,")"),A18)</f>
        <v>Bǎijĭng Zhèn</v>
      </c>
      <c r="C18" t="str">
        <f>IF(COUNTIF(B:B,B18)&gt;1,_xlfn.CONCAT(A18," (",M18,")"),B18)</f>
        <v>Bǎijĭng Zhèn</v>
      </c>
      <c r="D18" t="s">
        <v>2491</v>
      </c>
      <c r="E18" t="s">
        <v>7</v>
      </c>
      <c r="F18" t="str">
        <f>_xlfn.CONCAT(D18,", ",H18,", ",I18,", ","山西省")</f>
        <v>柏井镇, 平定县, 阳泉市, 山西省</v>
      </c>
      <c r="G18">
        <v>19275</v>
      </c>
      <c r="H18" t="s">
        <v>3000</v>
      </c>
      <c r="I18" t="s">
        <v>2997</v>
      </c>
      <c r="J18">
        <f>VLOOKUP(F18,[1]!china_towns_second__2[[Column1]:[Y]],3,FALSE)</f>
        <v>37.853526382743297</v>
      </c>
      <c r="K18">
        <f>VLOOKUP(F18,[1]!china_towns_second__2[[Column1]:[Y]],2,FALSE)</f>
        <v>113.87869809999999</v>
      </c>
      <c r="L18" t="s">
        <v>3602</v>
      </c>
      <c r="M18" t="str">
        <f>VLOOKUP(H18,CHOOSE({1,2},Table12[Native],Table12[Name]),2,0)</f>
        <v>Píngdìng Xiàn</v>
      </c>
      <c r="N18" s="13" t="str">
        <f>VLOOKUP(I18,CHOOSE({1,2},Table12[Native],Table12[Name]),2,0)</f>
        <v>Yángquán Shì</v>
      </c>
      <c r="O18" s="13" t="str">
        <f t="shared" si="0"/>
        <v>Baijing Zhen (Yángquán Shì)</v>
      </c>
      <c r="P18" s="13" t="str">
        <f t="shared" si="1"/>
        <v>Baijing Zhen (Yángquán Shì)</v>
      </c>
    </row>
    <row r="19" spans="1:16" hidden="1" x14ac:dyDescent="0.25">
      <c r="A19" t="s">
        <v>1066</v>
      </c>
      <c r="B19" t="str">
        <f>IF(COUNTIF(A:A,A19)&gt;1,_xlfn.CONCAT(A19," (",N19,")"),A19)</f>
        <v>Báilóng Zhèn</v>
      </c>
      <c r="C19" t="str">
        <f>IF(COUNTIF(B:B,B19)&gt;1,_xlfn.CONCAT(A19," (",M19,")"),B19)</f>
        <v>Báilóng Zhèn</v>
      </c>
      <c r="D19" t="s">
        <v>1067</v>
      </c>
      <c r="E19" t="s">
        <v>7</v>
      </c>
      <c r="F19" t="str">
        <f>_xlfn.CONCAT(D19,", ",H19,", ",I19,", ","山西省")</f>
        <v>白龙镇, 霍州市, 临汾市, 山西省</v>
      </c>
      <c r="G19">
        <v>32725</v>
      </c>
      <c r="H19" t="s">
        <v>2935</v>
      </c>
      <c r="I19" t="s">
        <v>2927</v>
      </c>
      <c r="J19">
        <f>VLOOKUP(F19,[1]!china_towns_second__2[[Column1]:[Y]],3,FALSE)</f>
        <v>36.562640457880399</v>
      </c>
      <c r="K19">
        <f>VLOOKUP(F19,[1]!china_towns_second__2[[Column1]:[Y]],2,FALSE)</f>
        <v>111.6682735</v>
      </c>
      <c r="L19" t="s">
        <v>3603</v>
      </c>
      <c r="M19" t="str">
        <f>VLOOKUP(H19,CHOOSE({1,2},Table12[Native],Table12[Name]),2,0)</f>
        <v>Huòzhōu Shì</v>
      </c>
      <c r="N19" s="13" t="str">
        <f>VLOOKUP(I19,CHOOSE({1,2},Table12[Native],Table12[Name]),2,0)</f>
        <v>Línfén Shì</v>
      </c>
      <c r="O19" s="13" t="str">
        <f t="shared" si="0"/>
        <v>Bailong Zhen (Línfén Shì)</v>
      </c>
      <c r="P19" s="13" t="str">
        <f t="shared" si="1"/>
        <v>Bailong Zhen (Línfén Shì)</v>
      </c>
    </row>
    <row r="20" spans="1:16" hidden="1" x14ac:dyDescent="0.25">
      <c r="A20" t="s">
        <v>1737</v>
      </c>
      <c r="B20" t="str">
        <f>IF(COUNTIF(A:A,A20)&gt;1,_xlfn.CONCAT(A20," (",N20,")"),A20)</f>
        <v>Báimăshí Xiāng</v>
      </c>
      <c r="C20" t="str">
        <f>IF(COUNTIF(B:B,B20)&gt;1,_xlfn.CONCAT(A20," (",M20,")"),B20)</f>
        <v>Báimăshí Xiāng</v>
      </c>
      <c r="D20" t="s">
        <v>1738</v>
      </c>
      <c r="E20" t="s">
        <v>17</v>
      </c>
      <c r="F20" t="str">
        <f>_xlfn.CONCAT(D20,", ",H20,", ",I20,", ","山西省")</f>
        <v>白马石乡, 应县, 朔州市, 山西省</v>
      </c>
      <c r="G20">
        <v>11731</v>
      </c>
      <c r="H20" t="s">
        <v>2966</v>
      </c>
      <c r="I20" t="s">
        <v>2961</v>
      </c>
      <c r="J20" t="e">
        <f>VLOOKUP(F20,[1]!china_towns_second__2[[Column1]:[Y]],3,FALSE)</f>
        <v>#N/A</v>
      </c>
      <c r="K20" t="e">
        <f>VLOOKUP(F20,[1]!china_towns_second__2[[Column1]:[Y]],2,FALSE)</f>
        <v>#N/A</v>
      </c>
      <c r="L20" t="s">
        <v>3604</v>
      </c>
      <c r="M20" t="str">
        <f>VLOOKUP(H20,CHOOSE({1,2},Table12[Native],Table12[Name]),2,0)</f>
        <v>Yīng Xiàn</v>
      </c>
      <c r="N20" s="13" t="str">
        <f>VLOOKUP(I20,CHOOSE({1,2},Table12[Native],Table12[Name]),2,0)</f>
        <v>Shuòzhōu Shì</v>
      </c>
      <c r="O20" s="13" t="str">
        <f t="shared" si="0"/>
        <v>Baimashi Xiang (Shuòzhōu Shì)</v>
      </c>
      <c r="P20" s="13" t="str">
        <f t="shared" si="1"/>
        <v>Baimashi Xiang (Shuòzhōu Shì)</v>
      </c>
    </row>
    <row r="21" spans="1:16" hidden="1" x14ac:dyDescent="0.25">
      <c r="A21" t="s">
        <v>618</v>
      </c>
      <c r="B21" t="str">
        <f>IF(COUNTIF(A:A,A21)&gt;1,_xlfn.CONCAT(A21," (",N21,")"),A21)</f>
        <v>Báisāng Xiāng</v>
      </c>
      <c r="C21" t="str">
        <f>IF(COUNTIF(B:B,B21)&gt;1,_xlfn.CONCAT(A21," (",M21,")"),B21)</f>
        <v>Báisāng Xiāng</v>
      </c>
      <c r="D21" t="s">
        <v>619</v>
      </c>
      <c r="E21" t="s">
        <v>17</v>
      </c>
      <c r="F21" t="str">
        <f>_xlfn.CONCAT(D21,", ",H21,", ",I21,", ","山西省")</f>
        <v>白桑乡, 阳城县, 晋城市, 山西省</v>
      </c>
      <c r="G21">
        <v>13732</v>
      </c>
      <c r="H21" t="s">
        <v>2911</v>
      </c>
      <c r="I21" t="s">
        <v>2906</v>
      </c>
      <c r="J21" t="e">
        <f>VLOOKUP(F21,[1]!china_towns_second__2[[Column1]:[Y]],3,FALSE)</f>
        <v>#N/A</v>
      </c>
      <c r="K21" t="e">
        <f>VLOOKUP(F21,[1]!china_towns_second__2[[Column1]:[Y]],2,FALSE)</f>
        <v>#N/A</v>
      </c>
      <c r="L21" t="s">
        <v>3605</v>
      </c>
      <c r="M21" t="str">
        <f>VLOOKUP(H21,CHOOSE({1,2},Table12[Native],Table12[Name]),2,0)</f>
        <v>Yángchéng Xiàn</v>
      </c>
      <c r="N21" s="13" t="str">
        <f>VLOOKUP(I21,CHOOSE({1,2},Table12[Native],Table12[Name]),2,0)</f>
        <v>Jìnchéng Shì</v>
      </c>
      <c r="O21" s="13" t="str">
        <f t="shared" si="0"/>
        <v>Baisang Xiang (Jìnchéng Shì)</v>
      </c>
      <c r="P21" s="13" t="str">
        <f t="shared" si="1"/>
        <v>Baisang Xiang (Jìnchéng Shì)</v>
      </c>
    </row>
    <row r="22" spans="1:16" hidden="1" x14ac:dyDescent="0.25">
      <c r="A22" t="s">
        <v>1069</v>
      </c>
      <c r="B22" t="str">
        <f>IF(COUNTIF(A:A,A22)&gt;1,_xlfn.CONCAT(A22," (",N22,")"),A22)</f>
        <v>Bǎishānsì Xiāng</v>
      </c>
      <c r="C22" t="str">
        <f>IF(COUNTIF(B:B,B22)&gt;1,_xlfn.CONCAT(A22," (",M22,")"),B22)</f>
        <v>Bǎishānsì Xiāng</v>
      </c>
      <c r="D22" t="s">
        <v>1070</v>
      </c>
      <c r="E22" t="s">
        <v>17</v>
      </c>
      <c r="F22" t="str">
        <f>_xlfn.CONCAT(D22,", ",H22,", ",I22,", ","山西省")</f>
        <v>柏山寺乡, 吉县, 临汾市, 山西省</v>
      </c>
      <c r="G22">
        <v>11497</v>
      </c>
      <c r="H22" t="s">
        <v>2936</v>
      </c>
      <c r="I22" t="s">
        <v>2927</v>
      </c>
      <c r="J22" t="e">
        <f>VLOOKUP(F22,[1]!china_towns_second__2[[Column1]:[Y]],3,FALSE)</f>
        <v>#N/A</v>
      </c>
      <c r="K22" t="e">
        <f>VLOOKUP(F22,[1]!china_towns_second__2[[Column1]:[Y]],2,FALSE)</f>
        <v>#N/A</v>
      </c>
      <c r="L22" t="s">
        <v>3606</v>
      </c>
      <c r="M22" t="str">
        <f>VLOOKUP(H22,CHOOSE({1,2},Table12[Native],Table12[Name]),2,0)</f>
        <v>Jí Xiàn</v>
      </c>
      <c r="N22" s="13" t="str">
        <f>VLOOKUP(I22,CHOOSE({1,2},Table12[Native],Table12[Name]),2,0)</f>
        <v>Línfén Shì</v>
      </c>
      <c r="O22" s="13" t="str">
        <f t="shared" si="0"/>
        <v>Baishansi Xiang (Línfén Shì)</v>
      </c>
      <c r="P22" s="13" t="str">
        <f t="shared" si="1"/>
        <v>Baishansi Xiang (Línfén Shì)</v>
      </c>
    </row>
    <row r="23" spans="1:16" hidden="1" x14ac:dyDescent="0.25">
      <c r="A23" t="s">
        <v>1740</v>
      </c>
      <c r="B23" t="str">
        <f>IF(COUNTIF(A:A,A23)&gt;1,_xlfn.CONCAT(A23," (",N23,")"),A23)</f>
        <v>Báitáng Xiāng</v>
      </c>
      <c r="C23" t="str">
        <f>IF(COUNTIF(B:B,B23)&gt;1,_xlfn.CONCAT(A23," (",M23,")"),B23)</f>
        <v>Báitáng Xiāng</v>
      </c>
      <c r="D23" t="s">
        <v>1741</v>
      </c>
      <c r="E23" t="s">
        <v>17</v>
      </c>
      <c r="F23" t="str">
        <f>_xlfn.CONCAT(D23,", ",H23,", ",I23,", ","山西省")</f>
        <v>白堂乡, 平鲁区, 朔州市, 山西省</v>
      </c>
      <c r="G23">
        <v>15531</v>
      </c>
      <c r="H23" t="s">
        <v>2963</v>
      </c>
      <c r="I23" t="s">
        <v>2961</v>
      </c>
      <c r="J23" t="e">
        <f>VLOOKUP(F23,[1]!china_towns_second__2[[Column1]:[Y]],3,FALSE)</f>
        <v>#N/A</v>
      </c>
      <c r="K23" t="e">
        <f>VLOOKUP(F23,[1]!china_towns_second__2[[Column1]:[Y]],2,FALSE)</f>
        <v>#N/A</v>
      </c>
      <c r="L23" t="s">
        <v>3607</v>
      </c>
      <c r="M23" t="str">
        <f>VLOOKUP(H23,CHOOSE({1,2},Table12[Native],Table12[Name]),2,0)</f>
        <v>Pínglŭ Qū</v>
      </c>
      <c r="N23" s="13" t="str">
        <f>VLOOKUP(I23,CHOOSE({1,2},Table12[Native],Table12[Name]),2,0)</f>
        <v>Shuòzhōu Shì</v>
      </c>
      <c r="O23" s="13" t="str">
        <f t="shared" si="0"/>
        <v>Baitang Xiang (Shuòzhōu Shì)</v>
      </c>
      <c r="P23" s="13" t="str">
        <f t="shared" si="1"/>
        <v>Baitang Xiang (Shuòzhōu Shì)</v>
      </c>
    </row>
    <row r="24" spans="1:16" hidden="1" x14ac:dyDescent="0.25">
      <c r="A24" t="s">
        <v>1743</v>
      </c>
      <c r="B24" t="str">
        <f>IF(COUNTIF(A:A,A24)&gt;1,_xlfn.CONCAT(A24," (",N24,")"),A24)</f>
        <v>Báitóulĭ Xiāng</v>
      </c>
      <c r="C24" t="str">
        <f>IF(COUNTIF(B:B,B24)&gt;1,_xlfn.CONCAT(A24," (",M24,")"),B24)</f>
        <v>Báitóulĭ Xiāng</v>
      </c>
      <c r="D24" t="s">
        <v>1744</v>
      </c>
      <c r="E24" t="s">
        <v>17</v>
      </c>
      <c r="F24" t="str">
        <f>_xlfn.CONCAT(D24,", ",H24,", ",I24,", ","山西省")</f>
        <v>白头里乡, 右玉县, 朔州市, 山西省</v>
      </c>
      <c r="G24">
        <v>5687</v>
      </c>
      <c r="H24" t="s">
        <v>2967</v>
      </c>
      <c r="I24" t="s">
        <v>2961</v>
      </c>
      <c r="J24" t="e">
        <f>VLOOKUP(F24,[1]!china_towns_second__2[[Column1]:[Y]],3,FALSE)</f>
        <v>#N/A</v>
      </c>
      <c r="K24" t="e">
        <f>VLOOKUP(F24,[1]!china_towns_second__2[[Column1]:[Y]],2,FALSE)</f>
        <v>#N/A</v>
      </c>
      <c r="L24" t="s">
        <v>3608</v>
      </c>
      <c r="M24" t="str">
        <f>VLOOKUP(H24,CHOOSE({1,2},Table12[Native],Table12[Name]),2,0)</f>
        <v>Yòuyù Xiàn</v>
      </c>
      <c r="N24" s="13" t="str">
        <f>VLOOKUP(I24,CHOOSE({1,2},Table12[Native],Table12[Name]),2,0)</f>
        <v>Shuòzhōu Shì</v>
      </c>
      <c r="O24" s="13" t="str">
        <f t="shared" si="0"/>
        <v>Baitouli Xiang (Shuòzhōu Shì)</v>
      </c>
      <c r="P24" s="13" t="str">
        <f t="shared" si="1"/>
        <v>Baitouli Xiang (Shuòzhōu Shì)</v>
      </c>
    </row>
    <row r="25" spans="1:16" hidden="1" x14ac:dyDescent="0.25">
      <c r="A25" t="s">
        <v>1419</v>
      </c>
      <c r="B25" t="str">
        <f>IF(COUNTIF(A:A,A25)&gt;1,_xlfn.CONCAT(A25," (",N25,")"),A25)</f>
        <v>Báiwén Zhèn</v>
      </c>
      <c r="C25" t="str">
        <f>IF(COUNTIF(B:B,B25)&gt;1,_xlfn.CONCAT(A25," (",M25,")"),B25)</f>
        <v>Báiwén Zhèn</v>
      </c>
      <c r="D25" t="s">
        <v>1420</v>
      </c>
      <c r="E25" t="s">
        <v>7</v>
      </c>
      <c r="F25" t="str">
        <f>_xlfn.CONCAT(D25,", ",H25,", ",I25,", ","山西省")</f>
        <v>白文镇, 临县, 吕梁市, 山西省</v>
      </c>
      <c r="G25">
        <v>32251</v>
      </c>
      <c r="H25" t="s">
        <v>2952</v>
      </c>
      <c r="I25" t="s">
        <v>2946</v>
      </c>
      <c r="J25">
        <f>VLOOKUP(F25,[1]!china_towns_second__2[[Column1]:[Y]],3,FALSE)</f>
        <v>38.1476044458609</v>
      </c>
      <c r="K25">
        <f>VLOOKUP(F25,[1]!china_towns_second__2[[Column1]:[Y]],2,FALSE)</f>
        <v>111.0796039</v>
      </c>
      <c r="L25" t="s">
        <v>3609</v>
      </c>
      <c r="M25" t="str">
        <f>VLOOKUP(H25,CHOOSE({1,2},Table12[Native],Table12[Name]),2,0)</f>
        <v>Lín Xiàn</v>
      </c>
      <c r="N25" s="13" t="str">
        <f>VLOOKUP(I25,CHOOSE({1,2},Table12[Native],Table12[Name]),2,0)</f>
        <v>Lǚliáng Shì</v>
      </c>
      <c r="O25" s="13" t="str">
        <f t="shared" si="0"/>
        <v>Baiwen Zhen (Lǚliáng Shì)</v>
      </c>
      <c r="P25" s="13" t="str">
        <f t="shared" si="1"/>
        <v>Baiwen Zhen (Lǚliáng Shì)</v>
      </c>
    </row>
    <row r="26" spans="1:16" hidden="1" x14ac:dyDescent="0.25">
      <c r="A26" t="s">
        <v>329</v>
      </c>
      <c r="B26" t="str">
        <f>IF(COUNTIF(A:A,A26)&gt;1,_xlfn.CONCAT(A26," (",N26,")"),A26)</f>
        <v>Báiyátái Xiāng</v>
      </c>
      <c r="C26" t="str">
        <f>IF(COUNTIF(B:B,B26)&gt;1,_xlfn.CONCAT(A26," (",M26,")"),B26)</f>
        <v>Báiyátái Xiāng</v>
      </c>
      <c r="D26" t="s">
        <v>330</v>
      </c>
      <c r="E26" t="s">
        <v>17</v>
      </c>
      <c r="F26" t="str">
        <f>_xlfn.CONCAT(D26,", ",H26,", ",I26,", ","山西省")</f>
        <v>白崖台乡, 灵丘县, 大同市, 山西省</v>
      </c>
      <c r="G26">
        <v>4023</v>
      </c>
      <c r="H26" t="s">
        <v>2897</v>
      </c>
      <c r="I26" t="s">
        <v>2894</v>
      </c>
      <c r="J26" t="e">
        <f>VLOOKUP(F26,[1]!china_towns_second__2[[Column1]:[Y]],3,FALSE)</f>
        <v>#N/A</v>
      </c>
      <c r="K26" t="e">
        <f>VLOOKUP(F26,[1]!china_towns_second__2[[Column1]:[Y]],2,FALSE)</f>
        <v>#N/A</v>
      </c>
      <c r="L26" t="s">
        <v>3610</v>
      </c>
      <c r="M26" t="str">
        <f>VLOOKUP(H26,CHOOSE({1,2},Table12[Native],Table12[Name]),2,0)</f>
        <v>Língqiū Xiàn</v>
      </c>
      <c r="N26" s="13" t="str">
        <f>VLOOKUP(I26,CHOOSE({1,2},Table12[Native],Table12[Name]),2,0)</f>
        <v>Dàtóng Shì</v>
      </c>
      <c r="O26" s="13" t="str">
        <f t="shared" si="0"/>
        <v>Baiyatai Xiang (Dàtóng Shì)</v>
      </c>
      <c r="P26" s="13" t="str">
        <f t="shared" si="1"/>
        <v>Baiyatai Xiang (Dàtóng Shì)</v>
      </c>
    </row>
    <row r="27" spans="1:16" hidden="1" x14ac:dyDescent="0.25">
      <c r="A27" t="s">
        <v>2110</v>
      </c>
      <c r="B27" t="str">
        <f>IF(COUNTIF(A:A,A27)&gt;1,_xlfn.CONCAT(A27," (",N27,")"),A27)</f>
        <v>Bājiăo Zhèn</v>
      </c>
      <c r="C27" t="str">
        <f>IF(COUNTIF(B:B,B27)&gt;1,_xlfn.CONCAT(A27," (",M27,")"),B27)</f>
        <v>Bājiăo Zhèn</v>
      </c>
      <c r="D27" t="s">
        <v>2111</v>
      </c>
      <c r="E27" t="s">
        <v>7</v>
      </c>
      <c r="F27" t="str">
        <f>_xlfn.CONCAT(D27,", ",H27,", ",I27,", ","山西省")</f>
        <v>八角镇, 神池县, 忻州市, 山西省</v>
      </c>
      <c r="G27">
        <v>8776</v>
      </c>
      <c r="H27" t="s">
        <v>2991</v>
      </c>
      <c r="I27" t="s">
        <v>2981</v>
      </c>
      <c r="J27">
        <f>VLOOKUP(F27,[1]!china_towns_second__2[[Column1]:[Y]],3,FALSE)</f>
        <v>39.1923854988407</v>
      </c>
      <c r="K27">
        <f>VLOOKUP(F27,[1]!china_towns_second__2[[Column1]:[Y]],2,FALSE)</f>
        <v>111.9187888</v>
      </c>
      <c r="L27" t="s">
        <v>3611</v>
      </c>
      <c r="M27" t="str">
        <f>VLOOKUP(H27,CHOOSE({1,2},Table12[Native],Table12[Name]),2,0)</f>
        <v>Shénchí Xiàn</v>
      </c>
      <c r="N27" s="13" t="str">
        <f>VLOOKUP(I27,CHOOSE({1,2},Table12[Native],Table12[Name]),2,0)</f>
        <v>Xīnzhōu Shì</v>
      </c>
      <c r="O27" s="13" t="str">
        <f t="shared" si="0"/>
        <v>Bajiao Zhen (Xīnzhōu Shì)</v>
      </c>
      <c r="P27" s="13" t="str">
        <f t="shared" si="1"/>
        <v>Bajiao Zhen (Xīnzhōu Shì)</v>
      </c>
    </row>
    <row r="28" spans="1:16" hidden="1" x14ac:dyDescent="0.25">
      <c r="A28" t="s">
        <v>1888</v>
      </c>
      <c r="B28" t="str">
        <f>IF(COUNTIF(A:A,A28)&gt;1,_xlfn.CONCAT(A28," (",N28,")"),A28)</f>
        <v>Bàlíngqiáo Jiēdào</v>
      </c>
      <c r="C28" t="str">
        <f>IF(COUNTIF(B:B,B28)&gt;1,_xlfn.CONCAT(A28," (",M28,")"),B28)</f>
        <v>Bàlíngqiáo Jiēdào</v>
      </c>
      <c r="D28" t="s">
        <v>1889</v>
      </c>
      <c r="E28" t="s">
        <v>31</v>
      </c>
      <c r="F28" t="str">
        <f>_xlfn.CONCAT(D28,", ",H28,", ",I28,", ","山西省")</f>
        <v>坝陵桥街道, 杏花岭区, 太原市, 山西省</v>
      </c>
      <c r="G28">
        <v>44988</v>
      </c>
      <c r="H28" t="s">
        <v>2977</v>
      </c>
      <c r="I28" t="s">
        <v>2969</v>
      </c>
      <c r="J28">
        <f>VLOOKUP(F28,[1]!china_towns_second__2[[Column1]:[Y]],3,FALSE)</f>
        <v>37.882859101658298</v>
      </c>
      <c r="K28">
        <f>VLOOKUP(F28,[1]!china_towns_second__2[[Column1]:[Y]],2,FALSE)</f>
        <v>112.56962780000001</v>
      </c>
      <c r="L28" t="s">
        <v>3612</v>
      </c>
      <c r="M28" t="str">
        <f>VLOOKUP(H28,CHOOSE({1,2},Table12[Native],Table12[Name]),2,0)</f>
        <v>Xìnghuālĭng Qū</v>
      </c>
      <c r="N28" s="13" t="str">
        <f>VLOOKUP(I28,CHOOSE({1,2},Table12[Native],Table12[Name]),2,0)</f>
        <v>Tàiyuán Shì</v>
      </c>
      <c r="O28" s="13" t="str">
        <f t="shared" si="0"/>
        <v>Balingqiao Jiedao (Tàiyuán Shì)</v>
      </c>
      <c r="P28" s="13" t="str">
        <f t="shared" si="1"/>
        <v>Balingqiao Jiedao (Tàiyuán Shì)</v>
      </c>
    </row>
    <row r="29" spans="1:16" hidden="1" x14ac:dyDescent="0.25">
      <c r="A29" t="s">
        <v>9</v>
      </c>
      <c r="B29" t="str">
        <f>IF(COUNTIF(A:A,A29)&gt;1,_xlfn.CONCAT(A29," (",N29,")"),A29)</f>
        <v>Bàodiàn Zhèn</v>
      </c>
      <c r="C29" t="str">
        <f>IF(COUNTIF(B:B,B29)&gt;1,_xlfn.CONCAT(A29," (",M29,")"),B29)</f>
        <v>Bàodiàn Zhèn</v>
      </c>
      <c r="D29" t="s">
        <v>10</v>
      </c>
      <c r="E29" t="s">
        <v>7</v>
      </c>
      <c r="F29" t="str">
        <f>_xlfn.CONCAT(D29,", ",H29,", ",I29,", ","山西省")</f>
        <v>鲍店镇, 长子县, 长治市, 山西省</v>
      </c>
      <c r="G29">
        <v>22685</v>
      </c>
      <c r="H29" t="s">
        <v>2880</v>
      </c>
      <c r="I29" t="s">
        <v>2878</v>
      </c>
      <c r="J29">
        <f>VLOOKUP(F29,[1]!china_towns_second__2[[Column1]:[Y]],3,FALSE)</f>
        <v>36.226044945975502</v>
      </c>
      <c r="K29">
        <f>VLOOKUP(F29,[1]!china_towns_second__2[[Column1]:[Y]],2,FALSE)</f>
        <v>112.88618940000001</v>
      </c>
      <c r="L29" t="s">
        <v>3613</v>
      </c>
      <c r="M29" t="str">
        <f>VLOOKUP(H29,CHOOSE({1,2},Table12[Native],Table12[Name]),2,0)</f>
        <v>Chángzi Xiàn</v>
      </c>
      <c r="N29" s="13" t="str">
        <f>VLOOKUP(I29,CHOOSE({1,2},Table12[Native],Table12[Name]),2,0)</f>
        <v>Chángzhì Shì</v>
      </c>
      <c r="O29" s="13" t="str">
        <f t="shared" si="0"/>
        <v>Baodian Zhen (Chángzhì Shì)</v>
      </c>
      <c r="P29" s="13" t="str">
        <f t="shared" si="1"/>
        <v>Baodian Zhen (Chángzhì Shì)</v>
      </c>
    </row>
    <row r="30" spans="1:16" hidden="1" x14ac:dyDescent="0.25">
      <c r="A30" t="s">
        <v>332</v>
      </c>
      <c r="B30" t="str">
        <f>IF(COUNTIF(A:A,A30)&gt;1,_xlfn.CONCAT(A30," (",N30,")"),A30)</f>
        <v>Băoziwān Xiāng</v>
      </c>
      <c r="C30" t="str">
        <f>IF(COUNTIF(B:B,B30)&gt;1,_xlfn.CONCAT(A30," (",M30,")"),B30)</f>
        <v>Băoziwān Xiāng</v>
      </c>
      <c r="D30" t="s">
        <v>333</v>
      </c>
      <c r="E30" t="s">
        <v>17</v>
      </c>
      <c r="F30" t="str">
        <f>_xlfn.CONCAT(D30,", ",H30,", ",I30,", ","山西省")</f>
        <v>堡子湾乡, 新荣区, 大同市, 山西省</v>
      </c>
      <c r="G30">
        <v>14770</v>
      </c>
      <c r="H30" t="s">
        <v>2900</v>
      </c>
      <c r="I30" t="s">
        <v>2894</v>
      </c>
      <c r="J30" t="e">
        <f>VLOOKUP(F30,[1]!china_towns_second__2[[Column1]:[Y]],3,FALSE)</f>
        <v>#N/A</v>
      </c>
      <c r="K30" t="e">
        <f>VLOOKUP(F30,[1]!china_towns_second__2[[Column1]:[Y]],2,FALSE)</f>
        <v>#N/A</v>
      </c>
      <c r="L30" t="s">
        <v>3614</v>
      </c>
      <c r="M30" t="str">
        <f>VLOOKUP(H30,CHOOSE({1,2},Table12[Native],Table12[Name]),2,0)</f>
        <v>Xīnróng Qū</v>
      </c>
      <c r="N30" s="13" t="str">
        <f>VLOOKUP(I30,CHOOSE({1,2},Table12[Native],Table12[Name]),2,0)</f>
        <v>Dàtóng Shì</v>
      </c>
      <c r="O30" s="13" t="str">
        <f t="shared" si="0"/>
        <v>Baoziwan Xiang (Dàtóng Shì)</v>
      </c>
      <c r="P30" s="13" t="str">
        <f t="shared" si="1"/>
        <v>Baoziwan Xiang (Dàtóng Shì)</v>
      </c>
    </row>
    <row r="31" spans="1:16" hidden="1" x14ac:dyDescent="0.25">
      <c r="A31" t="s">
        <v>12</v>
      </c>
      <c r="B31" t="str">
        <f>IF(COUNTIF(A:A,A31)&gt;1,_xlfn.CONCAT(A31," (",N31,")"),A31)</f>
        <v>Bāyì Zhèn</v>
      </c>
      <c r="C31" t="str">
        <f>IF(COUNTIF(B:B,B31)&gt;1,_xlfn.CONCAT(A31," (",M31,")"),B31)</f>
        <v>Bāyì Zhèn</v>
      </c>
      <c r="D31" t="s">
        <v>13</v>
      </c>
      <c r="E31" t="s">
        <v>7</v>
      </c>
      <c r="F31" t="str">
        <f>_xlfn.CONCAT(D31,", ",H31,", ",I31,", ","山西省")</f>
        <v>八义镇, 上党区, 长治市, 山西省</v>
      </c>
      <c r="G31">
        <v>23327</v>
      </c>
      <c r="H31" t="s">
        <v>2889</v>
      </c>
      <c r="I31" t="s">
        <v>2878</v>
      </c>
      <c r="J31">
        <f>VLOOKUP(F31,[1]!china_towns_second__2[[Column1]:[Y]],3,FALSE)</f>
        <v>35.9664785159584</v>
      </c>
      <c r="K31">
        <f>VLOOKUP(F31,[1]!china_towns_second__2[[Column1]:[Y]],2,FALSE)</f>
        <v>113.0138323</v>
      </c>
      <c r="L31" t="s">
        <v>3615</v>
      </c>
      <c r="M31" t="str">
        <f>VLOOKUP(H31,CHOOSE({1,2},Table12[Native],Table12[Name]),2,0)</f>
        <v>Shàngdăng Qū</v>
      </c>
      <c r="N31" s="13" t="str">
        <f>VLOOKUP(I31,CHOOSE({1,2},Table12[Native],Table12[Name]),2,0)</f>
        <v>Chángzhì Shì</v>
      </c>
      <c r="O31" s="13" t="str">
        <f t="shared" si="0"/>
        <v>Bayi Zhen (Chángzhì Shì)</v>
      </c>
      <c r="P31" s="13" t="str">
        <f t="shared" si="1"/>
        <v>Bayi Zhen (Chángzhì Shì)</v>
      </c>
    </row>
    <row r="32" spans="1:16" hidden="1" x14ac:dyDescent="0.25">
      <c r="A32" t="s">
        <v>786</v>
      </c>
      <c r="B32" t="str">
        <f>IF(COUNTIF(A:A,A32)&gt;1,_xlfn.CONCAT(A32," (",N32,")"),A32)</f>
        <v>Bĕichéng Guănlĭ Wĕiyuánhuì</v>
      </c>
      <c r="C32" t="str">
        <f>IF(COUNTIF(B:B,B32)&gt;1,_xlfn.CONCAT(A32," (",M32,")"),B32)</f>
        <v>Bĕichéng Guănlĭ Wĕiyuánhuì</v>
      </c>
      <c r="D32" t="s">
        <v>787</v>
      </c>
      <c r="E32" t="s">
        <v>31</v>
      </c>
      <c r="F32" t="str">
        <f>_xlfn.CONCAT(D32,", ",H32,", ",I32,", ","山西省")</f>
        <v>北城管理委员会, 灵石县, 晋中市, 山西省</v>
      </c>
      <c r="G32">
        <v>14632</v>
      </c>
      <c r="H32" t="s">
        <v>2917</v>
      </c>
      <c r="I32" t="s">
        <v>2914</v>
      </c>
      <c r="J32">
        <f>VLOOKUP(F32,[1]!china_towns_second__2[[Column1]:[Y]],3,FALSE)</f>
        <v>36.8568652532446</v>
      </c>
      <c r="K32">
        <f>VLOOKUP(F32,[1]!china_towns_second__2[[Column1]:[Y]],2,FALSE)</f>
        <v>111.7696553</v>
      </c>
      <c r="L32" t="s">
        <v>3616</v>
      </c>
      <c r="M32" t="str">
        <f>VLOOKUP(H32,CHOOSE({1,2},Table12[Native],Table12[Name]),2,0)</f>
        <v>Língshí Xiàn</v>
      </c>
      <c r="N32" s="13" t="str">
        <f>VLOOKUP(I32,CHOOSE({1,2},Table12[Native],Table12[Name]),2,0)</f>
        <v>Jìnzhōng Shì</v>
      </c>
      <c r="O32" s="13" t="str">
        <f t="shared" si="0"/>
        <v>Beicheng Guanli Weiyuanhui (Jìnzhōng Shì)</v>
      </c>
      <c r="P32" s="13" t="str">
        <f t="shared" si="1"/>
        <v>Beicheng Guanli Weiyuanhui (Jìnzhōng Shì)</v>
      </c>
    </row>
    <row r="33" spans="1:16" hidden="1" x14ac:dyDescent="0.25">
      <c r="A33" t="s">
        <v>621</v>
      </c>
      <c r="B33" t="str">
        <f>IF(COUNTIF(A:A,A33)&gt;1,_xlfn.CONCAT(A33," (",N33,")"),A33)</f>
        <v>Bĕichéng Jiēdào (Jìnchéng Shì)</v>
      </c>
      <c r="C33" t="str">
        <f>IF(COUNTIF(B:B,B33)&gt;1,_xlfn.CONCAT(A33," (",M33,")"),B33)</f>
        <v>Bĕichéng Jiēdào (Jìnchéng Shì)</v>
      </c>
      <c r="D33" t="s">
        <v>622</v>
      </c>
      <c r="E33" t="s">
        <v>31</v>
      </c>
      <c r="F33" t="str">
        <f>_xlfn.CONCAT(D33,", ",H33,", ",I33,", ","山西省")</f>
        <v>北城街道, 高平市, 晋城市, 山西省</v>
      </c>
      <c r="G33">
        <v>43559</v>
      </c>
      <c r="H33" t="s">
        <v>2908</v>
      </c>
      <c r="I33" t="s">
        <v>2906</v>
      </c>
      <c r="J33">
        <f>VLOOKUP(F33,[1]!china_towns_second__2[[Column1]:[Y]],3,FALSE)</f>
        <v>35.819644650395297</v>
      </c>
      <c r="K33">
        <f>VLOOKUP(F33,[1]!china_towns_second__2[[Column1]:[Y]],2,FALSE)</f>
        <v>112.899007</v>
      </c>
      <c r="L33" t="s">
        <v>3617</v>
      </c>
      <c r="M33" t="str">
        <f>VLOOKUP(H33,CHOOSE({1,2},Table12[Native],Table12[Name]),2,0)</f>
        <v>Gāopíng Shì</v>
      </c>
      <c r="N33" s="13" t="str">
        <f>VLOOKUP(I33,CHOOSE({1,2},Table12[Native],Table12[Name]),2,0)</f>
        <v>Jìnchéng Shì</v>
      </c>
      <c r="O33" s="13" t="str">
        <f t="shared" si="0"/>
        <v>Beicheng Jiedao (Jincheng Shi) (Jìnchéng Shì)</v>
      </c>
      <c r="P33" s="13" t="str">
        <f t="shared" si="1"/>
        <v>Beicheng Jiedao (Jincheng Shi) (Jìnchéng Shì)</v>
      </c>
    </row>
    <row r="34" spans="1:16" hidden="1" x14ac:dyDescent="0.25">
      <c r="A34" t="s">
        <v>621</v>
      </c>
      <c r="B34" t="str">
        <f>IF(COUNTIF(A:A,A34)&gt;1,_xlfn.CONCAT(A34," (",N34,")"),A34)</f>
        <v>Bĕichéng Jiēdào (Shuòzhōu Shì)</v>
      </c>
      <c r="C34" t="str">
        <f>IF(COUNTIF(B:B,B34)&gt;1,_xlfn.CONCAT(A34," (",M34,")"),B34)</f>
        <v>Bĕichéng Jiēdào (Shuòzhōu Shì)</v>
      </c>
      <c r="D34" t="s">
        <v>622</v>
      </c>
      <c r="E34" t="s">
        <v>31</v>
      </c>
      <c r="F34" t="str">
        <f>_xlfn.CONCAT(D34,", ",H34,", ",I34,", ","山西省")</f>
        <v>北城街道, 朔城区, 朔州市, 山西省</v>
      </c>
      <c r="G34">
        <v>76132</v>
      </c>
      <c r="H34" t="s">
        <v>2965</v>
      </c>
      <c r="I34" t="s">
        <v>2961</v>
      </c>
      <c r="J34">
        <f>VLOOKUP(F34,[1]!china_towns_second__2[[Column1]:[Y]],3,FALSE)</f>
        <v>39.326931441287101</v>
      </c>
      <c r="K34">
        <f>VLOOKUP(F34,[1]!china_towns_second__2[[Column1]:[Y]],2,FALSE)</f>
        <v>112.4221168</v>
      </c>
      <c r="L34" t="s">
        <v>3618</v>
      </c>
      <c r="M34" t="str">
        <f>VLOOKUP(H34,CHOOSE({1,2},Table12[Native],Table12[Name]),2,0)</f>
        <v>Shuòchéng Qū</v>
      </c>
      <c r="N34" s="13" t="str">
        <f>VLOOKUP(I34,CHOOSE({1,2},Table12[Native],Table12[Name]),2,0)</f>
        <v>Shuòzhōu Shì</v>
      </c>
      <c r="O34" s="13" t="str">
        <f t="shared" si="0"/>
        <v>Beicheng Jiedao (Shuozhou Shi) (Shuòzhōu Shì)</v>
      </c>
      <c r="P34" s="13" t="str">
        <f t="shared" si="1"/>
        <v>Beicheng Jiedao (Shuozhou Shi) (Shuòzhōu Shì)</v>
      </c>
    </row>
    <row r="35" spans="1:16" hidden="1" x14ac:dyDescent="0.25">
      <c r="A35" t="s">
        <v>621</v>
      </c>
      <c r="B35" t="str">
        <f>IF(COUNTIF(A:A,A35)&gt;1,_xlfn.CONCAT(A35," (",N35,")"),A35)</f>
        <v>Bĕichéng Jiēdào (Xīnzhōu Shì)</v>
      </c>
      <c r="C35" t="str">
        <f>IF(COUNTIF(B:B,B35)&gt;1,_xlfn.CONCAT(A35," (",M35,")"),B35)</f>
        <v>Bĕichéng Jiēdào (Xīnzhōu Shì)</v>
      </c>
      <c r="D35" t="s">
        <v>622</v>
      </c>
      <c r="E35" t="s">
        <v>31</v>
      </c>
      <c r="F35" t="str">
        <f>_xlfn.CONCAT(D35,", ",H35,", ",I35,", ","山西省")</f>
        <v>北城街道, 原平市, 忻州市, 山西省</v>
      </c>
      <c r="G35">
        <v>41967</v>
      </c>
      <c r="H35" t="s">
        <v>2995</v>
      </c>
      <c r="I35" t="s">
        <v>2981</v>
      </c>
      <c r="J35">
        <f>VLOOKUP(F35,[1]!china_towns_second__2[[Column1]:[Y]],3,FALSE)</f>
        <v>38.738288286709498</v>
      </c>
      <c r="K35">
        <f>VLOOKUP(F35,[1]!china_towns_second__2[[Column1]:[Y]],2,FALSE)</f>
        <v>112.707168</v>
      </c>
      <c r="L35" t="s">
        <v>3619</v>
      </c>
      <c r="M35" t="str">
        <f>VLOOKUP(H35,CHOOSE({1,2},Table12[Native],Table12[Name]),2,0)</f>
        <v>Yuánpíng Shì</v>
      </c>
      <c r="N35" s="13" t="str">
        <f>VLOOKUP(I35,CHOOSE({1,2},Table12[Native],Table12[Name]),2,0)</f>
        <v>Xīnzhōu Shì</v>
      </c>
      <c r="O35" s="13" t="str">
        <f t="shared" si="0"/>
        <v>Beicheng Jiedao (Xinzhou Shi) (Xīnzhōu Shì)</v>
      </c>
      <c r="P35" s="13" t="str">
        <f t="shared" si="1"/>
        <v>Beicheng Jiedao (Xinzhou Shi) (Xīnzhōu Shì)</v>
      </c>
    </row>
    <row r="36" spans="1:16" hidden="1" x14ac:dyDescent="0.25">
      <c r="A36" t="s">
        <v>621</v>
      </c>
      <c r="B36" t="str">
        <f>IF(COUNTIF(A:A,A36)&gt;1,_xlfn.CONCAT(A36," (",N36,")"),A36)</f>
        <v>Bĕichéng Jiēdào (Yùnchéng Shì)</v>
      </c>
      <c r="C36" t="str">
        <f>IF(COUNTIF(B:B,B36)&gt;1,_xlfn.CONCAT(A36," (",M36,")"),B36)</f>
        <v>Bĕichéng Jiēdào (Yùnchéng Shì)</v>
      </c>
      <c r="D36" t="s">
        <v>622</v>
      </c>
      <c r="E36" t="s">
        <v>31</v>
      </c>
      <c r="F36" t="str">
        <f>_xlfn.CONCAT(D36,", ",H36,", ",I36,", ","山西省")</f>
        <v>北城街道, 盐湖区, 运城市, 山西省</v>
      </c>
      <c r="G36">
        <v>82732</v>
      </c>
      <c r="H36" t="s">
        <v>3014</v>
      </c>
      <c r="I36" t="s">
        <v>3003</v>
      </c>
      <c r="J36">
        <f>VLOOKUP(F36,[1]!china_towns_second__2[[Column1]:[Y]],3,FALSE)</f>
        <v>35.0424857302324</v>
      </c>
      <c r="K36">
        <f>VLOOKUP(F36,[1]!china_towns_second__2[[Column1]:[Y]],2,FALSE)</f>
        <v>110.9756594</v>
      </c>
      <c r="L36" t="s">
        <v>3620</v>
      </c>
      <c r="M36" t="str">
        <f>VLOOKUP(H36,CHOOSE({1,2},Table12[Native],Table12[Name]),2,0)</f>
        <v>Yánhú Qū</v>
      </c>
      <c r="N36" s="13" t="str">
        <f>VLOOKUP(I36,CHOOSE({1,2},Table12[Native],Table12[Name]),2,0)</f>
        <v>Yùnchéng Shì</v>
      </c>
      <c r="O36" s="13" t="str">
        <f t="shared" si="0"/>
        <v>Beicheng Jiedao (Yuncheng Shi) (Yùnchéng Shì)</v>
      </c>
      <c r="P36" s="13" t="str">
        <f t="shared" si="1"/>
        <v>Beicheng Jiedao (Yuncheng Shi) (Yùnchéng Shì)</v>
      </c>
    </row>
    <row r="37" spans="1:16" hidden="1" x14ac:dyDescent="0.25">
      <c r="A37" t="s">
        <v>15</v>
      </c>
      <c r="B37" t="str">
        <f>IF(COUNTIF(A:A,A37)&gt;1,_xlfn.CONCAT(A37," (",N37,")"),A37)</f>
        <v>Bĕichéng Xiāng</v>
      </c>
      <c r="C37" t="str">
        <f>IF(COUNTIF(B:B,B37)&gt;1,_xlfn.CONCAT(A37," (",M37,")"),B37)</f>
        <v>Bĕichéng Xiāng</v>
      </c>
      <c r="D37" t="s">
        <v>16</v>
      </c>
      <c r="E37" t="s">
        <v>17</v>
      </c>
      <c r="F37" t="str">
        <f>_xlfn.CONCAT(D37,", ",H37,", ",I37,", ","山西省")</f>
        <v>北呈乡, 上党区, 长治市, 山西省</v>
      </c>
      <c r="G37">
        <v>21601</v>
      </c>
      <c r="H37" t="s">
        <v>2889</v>
      </c>
      <c r="I37" t="s">
        <v>2878</v>
      </c>
      <c r="J37" t="e">
        <f>VLOOKUP(F37,[1]!china_towns_second__2[[Column1]:[Y]],3,FALSE)</f>
        <v>#N/A</v>
      </c>
      <c r="K37" t="e">
        <f>VLOOKUP(F37,[1]!china_towns_second__2[[Column1]:[Y]],2,FALSE)</f>
        <v>#N/A</v>
      </c>
      <c r="L37" t="s">
        <v>3621</v>
      </c>
      <c r="M37" t="str">
        <f>VLOOKUP(H37,CHOOSE({1,2},Table12[Native],Table12[Name]),2,0)</f>
        <v>Shàngdăng Qū</v>
      </c>
      <c r="N37" s="13" t="str">
        <f>VLOOKUP(I37,CHOOSE({1,2},Table12[Native],Table12[Name]),2,0)</f>
        <v>Chángzhì Shì</v>
      </c>
      <c r="O37" s="13" t="str">
        <f t="shared" si="0"/>
        <v>Beicheng Xiang (Chángzhì Shì)</v>
      </c>
      <c r="P37" s="13" t="str">
        <f t="shared" si="1"/>
        <v>Beicheng Xiang (Chángzhì Shì)</v>
      </c>
    </row>
    <row r="38" spans="1:16" hidden="1" x14ac:dyDescent="0.25">
      <c r="A38" t="s">
        <v>2493</v>
      </c>
      <c r="B38" t="str">
        <f>IF(COUNTIF(A:A,A38)&gt;1,_xlfn.CONCAT(A38," (",N38,")"),A38)</f>
        <v>Bĕidàjiē Jiēdào</v>
      </c>
      <c r="C38" t="str">
        <f>IF(COUNTIF(B:B,B38)&gt;1,_xlfn.CONCAT(A38," (",M38,")"),B38)</f>
        <v>Bĕidàjiē Jiēdào</v>
      </c>
      <c r="D38" t="s">
        <v>2494</v>
      </c>
      <c r="E38" t="s">
        <v>31</v>
      </c>
      <c r="F38" t="str">
        <f>_xlfn.CONCAT(D38,", ",H38,", ",I38,", ","山西省")</f>
        <v>北大街街道, 城区, 晋城市, 山西省</v>
      </c>
      <c r="G38">
        <v>34374</v>
      </c>
      <c r="H38" t="s">
        <v>814</v>
      </c>
      <c r="I38" t="s">
        <v>2906</v>
      </c>
      <c r="J38" t="e">
        <f>VLOOKUP(F38,[1]!china_towns_second__2[[Column1]:[Y]],3,FALSE)</f>
        <v>#N/A</v>
      </c>
      <c r="K38" t="e">
        <f>VLOOKUP(F38,[1]!china_towns_second__2[[Column1]:[Y]],2,FALSE)</f>
        <v>#N/A</v>
      </c>
      <c r="L38" t="s">
        <v>3622</v>
      </c>
      <c r="M38" t="str">
        <f>VLOOKUP(H38,CHOOSE({1,2},Table12[Native],Table12[Name]),2,0)</f>
        <v>Chéng Qū</v>
      </c>
      <c r="N38" s="13" t="str">
        <f>VLOOKUP(I38,CHOOSE({1,2},Table12[Native],Table12[Name]),2,0)</f>
        <v>Jìnchéng Shì</v>
      </c>
      <c r="O38" s="13" t="str">
        <f t="shared" si="0"/>
        <v>Beidajie Jiedao (Jìnchéng Shì)</v>
      </c>
      <c r="P38" s="13" t="str">
        <f t="shared" si="1"/>
        <v>Beidajie Jiedao (Jìnchéng Shì)</v>
      </c>
    </row>
    <row r="39" spans="1:16" hidden="1" x14ac:dyDescent="0.25">
      <c r="A39" t="s">
        <v>18</v>
      </c>
      <c r="B39" t="str">
        <f>IF(COUNTIF(A:A,A39)&gt;1,_xlfn.CONCAT(A39," (",N39,")"),A39)</f>
        <v>Bĕidānchē Xiāng</v>
      </c>
      <c r="C39" t="str">
        <f>IF(COUNTIF(B:B,B39)&gt;1,_xlfn.CONCAT(A39," (",M39,")"),B39)</f>
        <v>Bĕidānchē Xiāng</v>
      </c>
      <c r="D39" t="s">
        <v>19</v>
      </c>
      <c r="E39" t="s">
        <v>17</v>
      </c>
      <c r="F39" t="str">
        <f>_xlfn.CONCAT(D39,", ",H39,", ",I39,", ","山西省")</f>
        <v>北耽车乡, 平顺县, 长治市, 山西省</v>
      </c>
      <c r="G39">
        <v>9576</v>
      </c>
      <c r="H39" t="s">
        <v>2886</v>
      </c>
      <c r="I39" t="s">
        <v>2878</v>
      </c>
      <c r="J39" t="e">
        <f>VLOOKUP(F39,[1]!china_towns_second__2[[Column1]:[Y]],3,FALSE)</f>
        <v>#N/A</v>
      </c>
      <c r="K39" t="e">
        <f>VLOOKUP(F39,[1]!china_towns_second__2[[Column1]:[Y]],2,FALSE)</f>
        <v>#N/A</v>
      </c>
      <c r="L39" t="s">
        <v>3623</v>
      </c>
      <c r="M39" t="str">
        <f>VLOOKUP(H39,CHOOSE({1,2},Table12[Native],Table12[Name]),2,0)</f>
        <v>Píngshùn Xiàn</v>
      </c>
      <c r="N39" s="13" t="str">
        <f>VLOOKUP(I39,CHOOSE({1,2},Table12[Native],Table12[Name]),2,0)</f>
        <v>Chángzhì Shì</v>
      </c>
      <c r="O39" s="13" t="str">
        <f t="shared" si="0"/>
        <v>Beidanche Xiang (Chángzhì Shì)</v>
      </c>
      <c r="P39" s="13" t="str">
        <f t="shared" si="1"/>
        <v>Beidanche Xiang (Chángzhì Shì)</v>
      </c>
    </row>
    <row r="40" spans="1:16" hidden="1" x14ac:dyDescent="0.25">
      <c r="A40" t="s">
        <v>21</v>
      </c>
      <c r="B40" t="str">
        <f>IF(COUNTIF(A:A,A40)&gt;1,_xlfn.CONCAT(A40," (",N40,")"),A40)</f>
        <v>Bĕidĭ Xiāng</v>
      </c>
      <c r="C40" t="str">
        <f>IF(COUNTIF(B:B,B40)&gt;1,_xlfn.CONCAT(A40," (",M40,")"),B40)</f>
        <v>Bĕidĭ Xiāng</v>
      </c>
      <c r="D40" t="s">
        <v>22</v>
      </c>
      <c r="E40" t="s">
        <v>17</v>
      </c>
      <c r="F40" t="str">
        <f>_xlfn.CONCAT(D40,", ",H40,", ",I40,", ","山西省")</f>
        <v>北底乡, 襄垣县, 长治市, 山西省</v>
      </c>
      <c r="G40">
        <v>8527</v>
      </c>
      <c r="H40" t="s">
        <v>2892</v>
      </c>
      <c r="I40" t="s">
        <v>2878</v>
      </c>
      <c r="J40" t="e">
        <f>VLOOKUP(F40,[1]!china_towns_second__2[[Column1]:[Y]],3,FALSE)</f>
        <v>#N/A</v>
      </c>
      <c r="K40" t="e">
        <f>VLOOKUP(F40,[1]!china_towns_second__2[[Column1]:[Y]],2,FALSE)</f>
        <v>#N/A</v>
      </c>
      <c r="L40" t="s">
        <v>3624</v>
      </c>
      <c r="M40" t="str">
        <f>VLOOKUP(H40,CHOOSE({1,2},Table12[Native],Table12[Name]),2,0)</f>
        <v>Xiāngyuán Xiàn</v>
      </c>
      <c r="N40" s="13" t="str">
        <f>VLOOKUP(I40,CHOOSE({1,2},Table12[Native],Table12[Name]),2,0)</f>
        <v>Chángzhì Shì</v>
      </c>
      <c r="O40" s="13" t="str">
        <f t="shared" si="0"/>
        <v>Beidi Xiang (Chángzhì Shì)</v>
      </c>
      <c r="P40" s="13" t="str">
        <f t="shared" si="1"/>
        <v>Beidi Xiang (Chángzhì Shì)</v>
      </c>
    </row>
    <row r="41" spans="1:16" hidden="1" x14ac:dyDescent="0.25">
      <c r="A41" t="s">
        <v>1072</v>
      </c>
      <c r="B41" t="str">
        <f>IF(COUNTIF(A:A,A41)&gt;1,_xlfn.CONCAT(A41," (",N41,")"),A41)</f>
        <v>Bĕidŏng Xiāng</v>
      </c>
      <c r="C41" t="str">
        <f>IF(COUNTIF(B:B,B41)&gt;1,_xlfn.CONCAT(A41," (",M41,")"),B41)</f>
        <v>Bĕidŏng Xiāng</v>
      </c>
      <c r="D41" t="s">
        <v>1073</v>
      </c>
      <c r="E41" t="s">
        <v>17</v>
      </c>
      <c r="F41" t="str">
        <f>_xlfn.CONCAT(D41,", ",H41,", ",I41,", ","山西省")</f>
        <v>北董乡, 曲沃县, 临汾市, 山西省</v>
      </c>
      <c r="G41">
        <v>37234</v>
      </c>
      <c r="H41" t="s">
        <v>2938</v>
      </c>
      <c r="I41" t="s">
        <v>2927</v>
      </c>
      <c r="J41" t="e">
        <f>VLOOKUP(F41,[1]!china_towns_second__2[[Column1]:[Y]],3,FALSE)</f>
        <v>#N/A</v>
      </c>
      <c r="K41" t="e">
        <f>VLOOKUP(F41,[1]!china_towns_second__2[[Column1]:[Y]],2,FALSE)</f>
        <v>#N/A</v>
      </c>
      <c r="L41" t="s">
        <v>3625</v>
      </c>
      <c r="M41" t="str">
        <f>VLOOKUP(H41,CHOOSE({1,2},Table12[Native],Table12[Name]),2,0)</f>
        <v>Qŭwò Xiàn</v>
      </c>
      <c r="N41" s="13" t="str">
        <f>VLOOKUP(I41,CHOOSE({1,2},Table12[Native],Table12[Name]),2,0)</f>
        <v>Línfén Shì</v>
      </c>
      <c r="O41" s="13" t="str">
        <f t="shared" si="0"/>
        <v>Beidong Xiang (Línfén Shì)</v>
      </c>
      <c r="P41" s="13" t="str">
        <f t="shared" si="1"/>
        <v>Beidong Xiang (Línfén Shì)</v>
      </c>
    </row>
    <row r="42" spans="1:16" hidden="1" x14ac:dyDescent="0.25">
      <c r="A42" t="s">
        <v>1891</v>
      </c>
      <c r="B42" t="str">
        <f>IF(COUNTIF(A:A,A42)&gt;1,_xlfn.CONCAT(A42," (",N42,")"),A42)</f>
        <v>Bĕigé Zhèn</v>
      </c>
      <c r="C42" t="str">
        <f>IF(COUNTIF(B:B,B42)&gt;1,_xlfn.CONCAT(A42," (",M42,")"),B42)</f>
        <v>Bĕigé Zhèn</v>
      </c>
      <c r="D42" t="s">
        <v>1892</v>
      </c>
      <c r="E42" t="s">
        <v>7</v>
      </c>
      <c r="F42" t="str">
        <f>_xlfn.CONCAT(D42,", ",H42,", ",I42,", ","山西省")</f>
        <v>北格镇, 小店区, 太原市, 山西省</v>
      </c>
      <c r="G42">
        <v>36394</v>
      </c>
      <c r="H42" t="s">
        <v>2976</v>
      </c>
      <c r="I42" t="s">
        <v>2969</v>
      </c>
      <c r="J42">
        <f>VLOOKUP(F42,[1]!china_towns_second__2[[Column1]:[Y]],3,FALSE)</f>
        <v>37.6448630800529</v>
      </c>
      <c r="K42">
        <f>VLOOKUP(F42,[1]!china_towns_second__2[[Column1]:[Y]],2,FALSE)</f>
        <v>112.5438606</v>
      </c>
      <c r="L42" t="s">
        <v>3626</v>
      </c>
      <c r="M42" t="str">
        <f>VLOOKUP(H42,CHOOSE({1,2},Table12[Native],Table12[Name]),2,0)</f>
        <v>Xiăodiàn Qū</v>
      </c>
      <c r="N42" s="13" t="str">
        <f>VLOOKUP(I42,CHOOSE({1,2},Table12[Native],Table12[Name]),2,0)</f>
        <v>Tàiyuán Shì</v>
      </c>
      <c r="O42" s="13" t="str">
        <f t="shared" si="0"/>
        <v>Beige Zhen (Tàiyuán Shì)</v>
      </c>
      <c r="P42" s="13" t="str">
        <f t="shared" si="1"/>
        <v>Beige Zhen (Tàiyuán Shì)</v>
      </c>
    </row>
    <row r="43" spans="1:16" hidden="1" x14ac:dyDescent="0.25">
      <c r="A43" t="s">
        <v>335</v>
      </c>
      <c r="B43" t="str">
        <f>IF(COUNTIF(A:A,A43)&gt;1,_xlfn.CONCAT(A43," (",N43,")"),A43)</f>
        <v>Bĕiguān Jiēdào (Dàtóng Shì)</v>
      </c>
      <c r="C43" t="str">
        <f>IF(COUNTIF(B:B,B43)&gt;1,_xlfn.CONCAT(A43," (",M43,")"),B43)</f>
        <v>Bĕiguān Jiēdào (Dàtóng Shì)</v>
      </c>
      <c r="D43" t="s">
        <v>336</v>
      </c>
      <c r="E43" t="s">
        <v>31</v>
      </c>
      <c r="F43" t="str">
        <f>_xlfn.CONCAT(D43,", ",H43,", ",I43,", ","山西省")</f>
        <v>北关街道, 平城区, 大同市, 山西省</v>
      </c>
      <c r="G43">
        <v>110560</v>
      </c>
      <c r="H43" t="s">
        <v>2898</v>
      </c>
      <c r="I43" t="s">
        <v>2894</v>
      </c>
      <c r="J43" t="e">
        <f>VLOOKUP(F43,[1]!china_towns_second__2[[Column1]:[Y]],3,FALSE)</f>
        <v>#N/A</v>
      </c>
      <c r="K43" t="e">
        <f>VLOOKUP(F43,[1]!china_towns_second__2[[Column1]:[Y]],2,FALSE)</f>
        <v>#N/A</v>
      </c>
      <c r="L43" t="s">
        <v>3627</v>
      </c>
      <c r="M43" t="str">
        <f>VLOOKUP(H43,CHOOSE({1,2},Table12[Native],Table12[Name]),2,0)</f>
        <v>Píngchéng Qū</v>
      </c>
      <c r="N43" s="13" t="str">
        <f>VLOOKUP(I43,CHOOSE({1,2},Table12[Native],Table12[Name]),2,0)</f>
        <v>Dàtóng Shì</v>
      </c>
      <c r="O43" s="13" t="str">
        <f t="shared" si="0"/>
        <v>Beiguan Jiedao (Datong Shi) (Dàtóng Shì)</v>
      </c>
      <c r="P43" s="13" t="str">
        <f t="shared" si="1"/>
        <v>Beiguan Jiedao (Datong Shi) (Dàtóng Shì)</v>
      </c>
    </row>
    <row r="44" spans="1:16" hidden="1" x14ac:dyDescent="0.25">
      <c r="A44" t="s">
        <v>335</v>
      </c>
      <c r="B44" t="str">
        <f>IF(COUNTIF(A:A,A44)&gt;1,_xlfn.CONCAT(A44," (",N44,")"),A44)</f>
        <v>Bĕiguān Jiēdào (Jìnzhōng Shì)</v>
      </c>
      <c r="C44" t="str">
        <f>IF(COUNTIF(B:B,B44)&gt;1,_xlfn.CONCAT(A44," (",M44,")"),B44)</f>
        <v>Bĕiguān Jiēdào (Yúcì Qū)</v>
      </c>
      <c r="D44" t="s">
        <v>336</v>
      </c>
      <c r="E44" t="s">
        <v>31</v>
      </c>
      <c r="F44" t="str">
        <f>_xlfn.CONCAT(D44,", ",H44,", ",I44,", ","山西省")</f>
        <v>北关街道, 榆次区, 晋中市, 山西省</v>
      </c>
      <c r="G44">
        <v>24165</v>
      </c>
      <c r="H44" t="s">
        <v>2923</v>
      </c>
      <c r="I44" t="s">
        <v>2914</v>
      </c>
      <c r="J44">
        <f>VLOOKUP(F44,[1]!china_towns_second__2[[Column1]:[Y]],3,FALSE)</f>
        <v>37.691468719007098</v>
      </c>
      <c r="K44">
        <f>VLOOKUP(F44,[1]!china_towns_second__2[[Column1]:[Y]],2,FALSE)</f>
        <v>112.74678539999999</v>
      </c>
      <c r="L44" t="s">
        <v>3628</v>
      </c>
      <c r="M44" t="str">
        <f>VLOOKUP(H44,CHOOSE({1,2},Table12[Native],Table12[Name]),2,0)</f>
        <v>Yúcì Qū</v>
      </c>
      <c r="N44" s="13" t="str">
        <f>VLOOKUP(I44,CHOOSE({1,2},Table12[Native],Table12[Name]),2,0)</f>
        <v>Jìnzhōng Shì</v>
      </c>
      <c r="O44" s="13" t="str">
        <f t="shared" si="0"/>
        <v>Beiguan Jiedao (Yuci Qu) (Jìnzhōng Shì)</v>
      </c>
      <c r="P44" s="13" t="str">
        <f t="shared" si="1"/>
        <v>Beiguan Jiedao (Yuci Qu) (Jìnzhōng Shì)</v>
      </c>
    </row>
    <row r="45" spans="1:16" hidden="1" x14ac:dyDescent="0.25">
      <c r="A45" t="s">
        <v>335</v>
      </c>
      <c r="B45" t="str">
        <f>IF(COUNTIF(A:A,A45)&gt;1,_xlfn.CONCAT(A45," (",N45,")"),A45)</f>
        <v>Bĕiguān Jiēdào (Jìnzhōng Shì)</v>
      </c>
      <c r="C45" t="str">
        <f>IF(COUNTIF(B:B,B45)&gt;1,_xlfn.CONCAT(A45," (",M45,")"),B45)</f>
        <v>Bĕiguān Jiēdào (Jièxiū Shì)</v>
      </c>
      <c r="D45" t="s">
        <v>336</v>
      </c>
      <c r="E45" t="s">
        <v>31</v>
      </c>
      <c r="F45" t="str">
        <f>_xlfn.CONCAT(D45,", ",H45,", ",I45,", ","山西省")</f>
        <v>北关街道, 介休市, 晋中市, 山西省</v>
      </c>
      <c r="G45">
        <v>21048</v>
      </c>
      <c r="H45" t="s">
        <v>2916</v>
      </c>
      <c r="I45" t="s">
        <v>2914</v>
      </c>
      <c r="J45">
        <f>VLOOKUP(F45,[1]!china_towns_second__2[[Column1]:[Y]],3,FALSE)</f>
        <v>37.033342005093203</v>
      </c>
      <c r="K45">
        <f>VLOOKUP(F45,[1]!china_towns_second__2[[Column1]:[Y]],2,FALSE)</f>
        <v>111.9229309</v>
      </c>
      <c r="L45" t="s">
        <v>3629</v>
      </c>
      <c r="M45" t="str">
        <f>VLOOKUP(H45,CHOOSE({1,2},Table12[Native],Table12[Name]),2,0)</f>
        <v>Jièxiū Shì</v>
      </c>
      <c r="N45" s="13" t="str">
        <f>VLOOKUP(I45,CHOOSE({1,2},Table12[Native],Table12[Name]),2,0)</f>
        <v>Jìnzhōng Shì</v>
      </c>
      <c r="O45" s="13" t="str">
        <f t="shared" si="0"/>
        <v>Beiguan Jiedao (Jiexiu Shi) (Jìnzhōng Shì)</v>
      </c>
      <c r="P45" s="13" t="str">
        <f t="shared" si="1"/>
        <v>Beiguan Jiedao (Jiexiu Shi) (Jìnzhōng Shì)</v>
      </c>
    </row>
    <row r="46" spans="1:16" hidden="1" x14ac:dyDescent="0.25">
      <c r="A46" t="s">
        <v>1075</v>
      </c>
      <c r="B46" t="str">
        <f>IF(COUNTIF(A:A,A46)&gt;1,_xlfn.CONCAT(A46," (",N46,")"),A46)</f>
        <v>Bĕihán Xiāng</v>
      </c>
      <c r="C46" t="str">
        <f>IF(COUNTIF(B:B,B46)&gt;1,_xlfn.CONCAT(A46," (",M46,")"),B46)</f>
        <v>Bĕihán Xiāng</v>
      </c>
      <c r="D46" t="s">
        <v>1076</v>
      </c>
      <c r="E46" t="s">
        <v>17</v>
      </c>
      <c r="F46" t="str">
        <f>_xlfn.CONCAT(D46,", ",H46,", ",I46,", ","山西省")</f>
        <v>北韩乡, 浮山县, 临汾市, 山西省</v>
      </c>
      <c r="G46">
        <v>4894</v>
      </c>
      <c r="H46" t="s">
        <v>2931</v>
      </c>
      <c r="I46" t="s">
        <v>2927</v>
      </c>
      <c r="J46" t="e">
        <f>VLOOKUP(F46,[1]!china_towns_second__2[[Column1]:[Y]],3,FALSE)</f>
        <v>#N/A</v>
      </c>
      <c r="K46" t="e">
        <f>VLOOKUP(F46,[1]!china_towns_second__2[[Column1]:[Y]],2,FALSE)</f>
        <v>#N/A</v>
      </c>
      <c r="L46" t="s">
        <v>3630</v>
      </c>
      <c r="M46" t="str">
        <f>VLOOKUP(H46,CHOOSE({1,2},Table12[Native],Table12[Name]),2,0)</f>
        <v>Fúshān Xiàn</v>
      </c>
      <c r="N46" s="13" t="str">
        <f>VLOOKUP(I46,CHOOSE({1,2},Table12[Native],Table12[Name]),2,0)</f>
        <v>Línfén Shì</v>
      </c>
      <c r="O46" s="13" t="str">
        <f t="shared" si="0"/>
        <v>Beihan Xiang (Línfén Shì)</v>
      </c>
      <c r="P46" s="13" t="str">
        <f t="shared" si="1"/>
        <v>Beihan Xiang (Línfén Shì)</v>
      </c>
    </row>
    <row r="47" spans="1:16" hidden="1" x14ac:dyDescent="0.25">
      <c r="A47" t="s">
        <v>1078</v>
      </c>
      <c r="B47" t="str">
        <f>IF(COUNTIF(A:A,A47)&gt;1,_xlfn.CONCAT(A47," (",N47,")"),A47)</f>
        <v>Bĕihuánlù Jiēdào</v>
      </c>
      <c r="C47" t="str">
        <f>IF(COUNTIF(B:B,B47)&gt;1,_xlfn.CONCAT(A47," (",M47,")"),B47)</f>
        <v>Bĕihuánlù Jiēdào</v>
      </c>
      <c r="D47" t="s">
        <v>1079</v>
      </c>
      <c r="E47" t="s">
        <v>31</v>
      </c>
      <c r="F47" t="str">
        <f>_xlfn.CONCAT(D47,", ",H47,", ",I47,", ","山西省")</f>
        <v>北环路街道, 霍州市, 临汾市, 山西省</v>
      </c>
      <c r="G47">
        <v>22647</v>
      </c>
      <c r="H47" t="s">
        <v>2935</v>
      </c>
      <c r="I47" t="s">
        <v>2927</v>
      </c>
      <c r="J47">
        <f>VLOOKUP(F47,[1]!china_towns_second__2[[Column1]:[Y]],3,FALSE)</f>
        <v>36.585625893095802</v>
      </c>
      <c r="K47">
        <f>VLOOKUP(F47,[1]!china_towns_second__2[[Column1]:[Y]],2,FALSE)</f>
        <v>111.7289579</v>
      </c>
      <c r="L47" t="s">
        <v>3631</v>
      </c>
      <c r="M47" t="str">
        <f>VLOOKUP(H47,CHOOSE({1,2},Table12[Native],Table12[Name]),2,0)</f>
        <v>Huòzhōu Shì</v>
      </c>
      <c r="N47" s="13" t="str">
        <f>VLOOKUP(I47,CHOOSE({1,2},Table12[Native],Table12[Name]),2,0)</f>
        <v>Línfén Shì</v>
      </c>
      <c r="O47" s="13" t="str">
        <f t="shared" si="0"/>
        <v>Beihuanlu Jiedao (Línfén Shì)</v>
      </c>
      <c r="P47" s="13" t="str">
        <f t="shared" si="1"/>
        <v>Beihuanlu Jiedao (Línfén Shì)</v>
      </c>
    </row>
    <row r="48" spans="1:16" hidden="1" x14ac:dyDescent="0.25">
      <c r="A48" t="s">
        <v>338</v>
      </c>
      <c r="B48" t="str">
        <f>IF(COUNTIF(A:A,A48)&gt;1,_xlfn.CONCAT(A48," (",N48,")"),A48)</f>
        <v>Bèijiāzào Zhèn</v>
      </c>
      <c r="C48" t="str">
        <f>IF(COUNTIF(B:B,B48)&gt;1,_xlfn.CONCAT(A48," (",M48,")"),B48)</f>
        <v>Bèijiāzào Zhèn</v>
      </c>
      <c r="D48" t="s">
        <v>339</v>
      </c>
      <c r="E48" t="s">
        <v>7</v>
      </c>
      <c r="F48" t="str">
        <f>_xlfn.CONCAT(D48,", ",H48,", ",I48,", ","山西省")</f>
        <v>倍加造镇, 云州区, 大同市, 山西省</v>
      </c>
      <c r="G48">
        <v>18739</v>
      </c>
      <c r="H48" t="s">
        <v>2903</v>
      </c>
      <c r="I48" t="s">
        <v>2894</v>
      </c>
      <c r="J48">
        <f>VLOOKUP(F48,[1]!china_towns_second__2[[Column1]:[Y]],3,FALSE)</f>
        <v>40.058941160711299</v>
      </c>
      <c r="K48">
        <f>VLOOKUP(F48,[1]!china_towns_second__2[[Column1]:[Y]],2,FALSE)</f>
        <v>113.4568043</v>
      </c>
      <c r="L48" t="s">
        <v>3632</v>
      </c>
      <c r="M48" t="str">
        <f>VLOOKUP(H48,CHOOSE({1,2},Table12[Native],Table12[Name]),2,0)</f>
        <v>Yúnzhōu Qū</v>
      </c>
      <c r="N48" s="13" t="str">
        <f>VLOOKUP(I48,CHOOSE({1,2},Table12[Native],Table12[Name]),2,0)</f>
        <v>Dàtóng Shì</v>
      </c>
      <c r="O48" s="13" t="str">
        <f t="shared" si="0"/>
        <v>Beijiazao Zhen (Dàtóng Shì)</v>
      </c>
      <c r="P48" s="13" t="str">
        <f t="shared" si="1"/>
        <v>Beijiazao Zhen (Dàtóng Shì)</v>
      </c>
    </row>
    <row r="49" spans="1:16" hidden="1" x14ac:dyDescent="0.25">
      <c r="A49" t="s">
        <v>341</v>
      </c>
      <c r="B49" t="str">
        <f>IF(COUNTIF(A:A,A49)&gt;1,_xlfn.CONCAT(A49," (",N49,")"),A49)</f>
        <v>Bĕijiē Jiēdào (Dàtóng Shì)</v>
      </c>
      <c r="C49" t="str">
        <f>IF(COUNTIF(B:B,B49)&gt;1,_xlfn.CONCAT(A49," (",M49,")"),B49)</f>
        <v>Bĕijiē Jiēdào (Dàtóng Shì)</v>
      </c>
      <c r="D49" t="s">
        <v>342</v>
      </c>
      <c r="E49" t="s">
        <v>31</v>
      </c>
      <c r="F49" t="str">
        <f>_xlfn.CONCAT(D49,", ",H49,", ",I49,", ","山西省")</f>
        <v>北街街道, 平城区, 大同市, 山西省</v>
      </c>
      <c r="G49">
        <v>34510</v>
      </c>
      <c r="H49" t="s">
        <v>2898</v>
      </c>
      <c r="I49" t="s">
        <v>2894</v>
      </c>
      <c r="J49" t="e">
        <f>VLOOKUP(F49,[1]!china_towns_second__2[[Column1]:[Y]],3,FALSE)</f>
        <v>#N/A</v>
      </c>
      <c r="K49" t="e">
        <f>VLOOKUP(F49,[1]!china_towns_second__2[[Column1]:[Y]],2,FALSE)</f>
        <v>#N/A</v>
      </c>
      <c r="L49" t="s">
        <v>3633</v>
      </c>
      <c r="M49" t="str">
        <f>VLOOKUP(H49,CHOOSE({1,2},Table12[Native],Table12[Name]),2,0)</f>
        <v>Píngchéng Qū</v>
      </c>
      <c r="N49" s="13" t="str">
        <f>VLOOKUP(I49,CHOOSE({1,2},Table12[Native],Table12[Name]),2,0)</f>
        <v>Dàtóng Shì</v>
      </c>
      <c r="O49" s="13" t="str">
        <f t="shared" si="0"/>
        <v>Beijie Jiedao (Datong Shi) (Dàtóng Shì)</v>
      </c>
      <c r="P49" s="13" t="str">
        <f t="shared" si="1"/>
        <v>Beijie Jiedao (Datong Shi) (Dàtóng Shì)</v>
      </c>
    </row>
    <row r="50" spans="1:16" hidden="1" x14ac:dyDescent="0.25">
      <c r="A50" t="s">
        <v>341</v>
      </c>
      <c r="B50" t="str">
        <f>IF(COUNTIF(A:A,A50)&gt;1,_xlfn.CONCAT(A50," (",N50,")"),A50)</f>
        <v>Bĕijiē Jiēdào (Jìnchéng Shì)</v>
      </c>
      <c r="C50" t="str">
        <f>IF(COUNTIF(B:B,B50)&gt;1,_xlfn.CONCAT(A50," (",M50,")"),B50)</f>
        <v>Bĕijiē Jiēdào (Jìnchéng Shì)</v>
      </c>
      <c r="D50" t="s">
        <v>342</v>
      </c>
      <c r="E50" t="s">
        <v>31</v>
      </c>
      <c r="F50" t="str">
        <f>_xlfn.CONCAT(D50,", ",H50,", ",I50,", ","山西省")</f>
        <v>北街街道, 城区, 晋城市, 山西省</v>
      </c>
      <c r="G50">
        <v>41923</v>
      </c>
      <c r="H50" t="s">
        <v>814</v>
      </c>
      <c r="I50" t="s">
        <v>2906</v>
      </c>
      <c r="J50">
        <f>VLOOKUP(F50,[1]!china_towns_second__2[[Column1]:[Y]],3,FALSE)</f>
        <v>35.516510873126002</v>
      </c>
      <c r="K50">
        <f>VLOOKUP(F50,[1]!china_towns_second__2[[Column1]:[Y]],2,FALSE)</f>
        <v>112.8375094</v>
      </c>
      <c r="L50" t="s">
        <v>3634</v>
      </c>
      <c r="M50" t="str">
        <f>VLOOKUP(H50,CHOOSE({1,2},Table12[Native],Table12[Name]),2,0)</f>
        <v>Chéng Qū</v>
      </c>
      <c r="N50" s="13" t="str">
        <f>VLOOKUP(I50,CHOOSE({1,2},Table12[Native],Table12[Name]),2,0)</f>
        <v>Jìnchéng Shì</v>
      </c>
      <c r="O50" s="13" t="str">
        <f t="shared" si="0"/>
        <v>Beijie Jiedao (Jincheng Shi) (Jìnchéng Shì)</v>
      </c>
      <c r="P50" s="13" t="str">
        <f t="shared" si="1"/>
        <v>Beijie Jiedao (Jincheng Shi) (Jìnchéng Shì)</v>
      </c>
    </row>
    <row r="51" spans="1:16" hidden="1" x14ac:dyDescent="0.25">
      <c r="A51" t="s">
        <v>2582</v>
      </c>
      <c r="B51" t="str">
        <f>IF(COUNTIF(A:A,A51)&gt;1,_xlfn.CONCAT(A51," (",N51,")"),A51)</f>
        <v>Bĕijĭng Xiāng</v>
      </c>
      <c r="C51" t="str">
        <f>IF(COUNTIF(B:B,B51)&gt;1,_xlfn.CONCAT(A51," (",M51,")"),B51)</f>
        <v>Bĕijĭng Xiāng</v>
      </c>
      <c r="D51" t="s">
        <v>2583</v>
      </c>
      <c r="E51" t="s">
        <v>17</v>
      </c>
      <c r="F51" t="str">
        <f>_xlfn.CONCAT(D51,", ",H51,", ",I51,", ","山西省")</f>
        <v>北景乡, 临猗县, 运城市, 山西省</v>
      </c>
      <c r="G51">
        <v>41220</v>
      </c>
      <c r="H51" t="s">
        <v>3007</v>
      </c>
      <c r="I51" t="s">
        <v>3003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3635</v>
      </c>
      <c r="M51" t="str">
        <f>VLOOKUP(H51,CHOOSE({1,2},Table12[Native],Table12[Name]),2,0)</f>
        <v>Línyī Xiàn</v>
      </c>
      <c r="N51" s="13" t="str">
        <f>VLOOKUP(I51,CHOOSE({1,2},Table12[Native],Table12[Name]),2,0)</f>
        <v>Yùnchéng Shì</v>
      </c>
      <c r="O51" s="13" t="str">
        <f t="shared" si="0"/>
        <v>Beijing Xiang (Yùnchéng Shì)</v>
      </c>
      <c r="P51" s="13" t="str">
        <f t="shared" si="1"/>
        <v>Beijing Xiang (Yùnchéng Shì)</v>
      </c>
    </row>
    <row r="52" spans="1:16" hidden="1" x14ac:dyDescent="0.25">
      <c r="A52" t="s">
        <v>625</v>
      </c>
      <c r="B52" t="str">
        <f>IF(COUNTIF(A:A,A52)&gt;1,_xlfn.CONCAT(A52," (",N52,")"),A52)</f>
        <v>Bĕiliú Zhèn</v>
      </c>
      <c r="C52" t="str">
        <f>IF(COUNTIF(B:B,B52)&gt;1,_xlfn.CONCAT(A52," (",M52,")"),B52)</f>
        <v>Bĕiliú Zhèn</v>
      </c>
      <c r="D52" t="s">
        <v>626</v>
      </c>
      <c r="E52" t="s">
        <v>7</v>
      </c>
      <c r="F52" t="str">
        <f>_xlfn.CONCAT(D52,", ",H52,", ",I52,", ","山西省")</f>
        <v>北留镇, 阳城县, 晋城市, 山西省</v>
      </c>
      <c r="G52">
        <v>37801</v>
      </c>
      <c r="H52" t="s">
        <v>2911</v>
      </c>
      <c r="I52" t="s">
        <v>2906</v>
      </c>
      <c r="J52">
        <f>VLOOKUP(F52,[1]!china_towns_second__2[[Column1]:[Y]],3,FALSE)</f>
        <v>35.464132918147797</v>
      </c>
      <c r="K52">
        <f>VLOOKUP(F52,[1]!china_towns_second__2[[Column1]:[Y]],2,FALSE)</f>
        <v>112.57635550000001</v>
      </c>
      <c r="L52" t="s">
        <v>3636</v>
      </c>
      <c r="M52" t="str">
        <f>VLOOKUP(H52,CHOOSE({1,2},Table12[Native],Table12[Name]),2,0)</f>
        <v>Yángchéng Xiàn</v>
      </c>
      <c r="N52" s="13" t="str">
        <f>VLOOKUP(I52,CHOOSE({1,2},Table12[Native],Table12[Name]),2,0)</f>
        <v>Jìnchéng Shì</v>
      </c>
      <c r="O52" s="13" t="str">
        <f t="shared" si="0"/>
        <v>Beiliu Zhen (Jìnchéng Shì)</v>
      </c>
      <c r="P52" s="13" t="str">
        <f t="shared" si="1"/>
        <v>Beiliu Zhen (Jìnchéng Shì)</v>
      </c>
    </row>
    <row r="53" spans="1:16" hidden="1" x14ac:dyDescent="0.25">
      <c r="A53" t="s">
        <v>1080</v>
      </c>
      <c r="B53" t="str">
        <f>IF(COUNTIF(A:A,A53)&gt;1,_xlfn.CONCAT(A53," (",N53,")"),A53)</f>
        <v>Bĕipíng Zhèn</v>
      </c>
      <c r="C53" t="str">
        <f>IF(COUNTIF(B:B,B53)&gt;1,_xlfn.CONCAT(A53," (",M53,")"),B53)</f>
        <v>Bĕipíng Zhèn</v>
      </c>
      <c r="D53" t="s">
        <v>1081</v>
      </c>
      <c r="E53" t="s">
        <v>7</v>
      </c>
      <c r="F53" t="str">
        <f>_xlfn.CONCAT(D53,", ",H53,", ",I53,", ","山西省")</f>
        <v>北平镇, 古县, 临汾市, 山西省</v>
      </c>
      <c r="G53">
        <v>12394</v>
      </c>
      <c r="H53" t="s">
        <v>2932</v>
      </c>
      <c r="I53" t="s">
        <v>2927</v>
      </c>
      <c r="J53">
        <f>VLOOKUP(F53,[1]!china_towns_second__2[[Column1]:[Y]],3,FALSE)</f>
        <v>36.524799003367001</v>
      </c>
      <c r="K53">
        <f>VLOOKUP(F53,[1]!china_towns_second__2[[Column1]:[Y]],2,FALSE)</f>
        <v>112.0463774</v>
      </c>
      <c r="L53" t="s">
        <v>3637</v>
      </c>
      <c r="M53" t="str">
        <f>VLOOKUP(H53,CHOOSE({1,2},Table12[Native],Table12[Name]),2,0)</f>
        <v>Gŭ Xiàn</v>
      </c>
      <c r="N53" s="13" t="str">
        <f>VLOOKUP(I53,CHOOSE({1,2},Table12[Native],Table12[Name]),2,0)</f>
        <v>Línfén Shì</v>
      </c>
      <c r="O53" s="13" t="str">
        <f t="shared" si="0"/>
        <v>Beiping Zhen (Línfén Shì)</v>
      </c>
      <c r="P53" s="13" t="str">
        <f t="shared" si="1"/>
        <v>Beiping Zhen (Línfén Shì)</v>
      </c>
    </row>
    <row r="54" spans="1:16" hidden="1" x14ac:dyDescent="0.25">
      <c r="A54" t="s">
        <v>24</v>
      </c>
      <c r="B54" t="str">
        <f>IF(COUNTIF(A:A,A54)&gt;1,_xlfn.CONCAT(A54," (",N54,")"),A54)</f>
        <v>Bĕishè Xiāng</v>
      </c>
      <c r="C54" t="str">
        <f>IF(COUNTIF(B:B,B54)&gt;1,_xlfn.CONCAT(A54," (",M54,")"),B54)</f>
        <v>Bĕishè Xiāng</v>
      </c>
      <c r="D54" t="s">
        <v>25</v>
      </c>
      <c r="E54" t="s">
        <v>17</v>
      </c>
      <c r="F54" t="str">
        <f>_xlfn.CONCAT(D54,", ",H54,", ",I54,", ","山西省")</f>
        <v>北社乡, 平顺县, 长治市, 山西省</v>
      </c>
      <c r="G54">
        <v>16538</v>
      </c>
      <c r="H54" t="s">
        <v>2886</v>
      </c>
      <c r="I54" t="s">
        <v>2878</v>
      </c>
      <c r="J54" t="e">
        <f>VLOOKUP(F54,[1]!china_towns_second__2[[Column1]:[Y]],3,FALSE)</f>
        <v>#N/A</v>
      </c>
      <c r="K54" t="e">
        <f>VLOOKUP(F54,[1]!china_towns_second__2[[Column1]:[Y]],2,FALSE)</f>
        <v>#N/A</v>
      </c>
      <c r="L54" t="s">
        <v>3638</v>
      </c>
      <c r="M54" t="str">
        <f>VLOOKUP(H54,CHOOSE({1,2},Table12[Native],Table12[Name]),2,0)</f>
        <v>Píngshùn Xiàn</v>
      </c>
      <c r="N54" s="13" t="str">
        <f>VLOOKUP(I54,CHOOSE({1,2},Table12[Native],Table12[Name]),2,0)</f>
        <v>Chángzhì Shì</v>
      </c>
      <c r="O54" s="13" t="str">
        <f t="shared" si="0"/>
        <v>Beishe Xiang (Chángzhì Shì)</v>
      </c>
      <c r="P54" s="13" t="str">
        <f t="shared" si="1"/>
        <v>Beishe Xiang (Chángzhì Shì)</v>
      </c>
    </row>
    <row r="55" spans="1:16" hidden="1" x14ac:dyDescent="0.25">
      <c r="A55" t="s">
        <v>629</v>
      </c>
      <c r="B55" t="str">
        <f>IF(COUNTIF(A:A,A55)&gt;1,_xlfn.CONCAT(A55," (",N55,")"),A55)</f>
        <v>Bĕishī Zhèn</v>
      </c>
      <c r="C55" t="str">
        <f>IF(COUNTIF(B:B,B55)&gt;1,_xlfn.CONCAT(A55," (",M55,")"),B55)</f>
        <v>Bĕishī Zhèn</v>
      </c>
      <c r="D55" t="s">
        <v>630</v>
      </c>
      <c r="E55" t="s">
        <v>7</v>
      </c>
      <c r="F55" t="str">
        <f>_xlfn.CONCAT(D55,", ",H55,", ",I55,", ","山西省")</f>
        <v>北诗镇, 高平市, 晋城市, 山西省</v>
      </c>
      <c r="G55">
        <v>28324</v>
      </c>
      <c r="H55" t="s">
        <v>2908</v>
      </c>
      <c r="I55" t="s">
        <v>2906</v>
      </c>
      <c r="J55">
        <f>VLOOKUP(F55,[1]!china_towns_second__2[[Column1]:[Y]],3,FALSE)</f>
        <v>35.761669953375097</v>
      </c>
      <c r="K55">
        <f>VLOOKUP(F55,[1]!china_towns_second__2[[Column1]:[Y]],2,FALSE)</f>
        <v>113.08500979999999</v>
      </c>
      <c r="L55" t="s">
        <v>3639</v>
      </c>
      <c r="M55" t="str">
        <f>VLOOKUP(H55,CHOOSE({1,2},Table12[Native],Table12[Name]),2,0)</f>
        <v>Gāopíng Shì</v>
      </c>
      <c r="N55" s="13" t="str">
        <f>VLOOKUP(I55,CHOOSE({1,2},Table12[Native],Table12[Name]),2,0)</f>
        <v>Jìnchéng Shì</v>
      </c>
      <c r="O55" s="13" t="str">
        <f t="shared" si="0"/>
        <v>Beishi Zhen (Jìnchéng Shì)</v>
      </c>
      <c r="P55" s="13" t="str">
        <f t="shared" si="1"/>
        <v>Beishi Zhen (Jìnchéng Shì)</v>
      </c>
    </row>
    <row r="56" spans="1:16" hidden="1" x14ac:dyDescent="0.25">
      <c r="A56" t="s">
        <v>627</v>
      </c>
      <c r="B56" t="str">
        <f>IF(COUNTIF(A:A,A56)&gt;1,_xlfn.CONCAT(A56," (",N56,")"),A56)</f>
        <v>Bĕishídiàn Zhèn</v>
      </c>
      <c r="C56" t="str">
        <f>IF(COUNTIF(B:B,B56)&gt;1,_xlfn.CONCAT(A56," (",M56,")"),B56)</f>
        <v>Bĕishídiàn Zhèn</v>
      </c>
      <c r="D56" t="s">
        <v>628</v>
      </c>
      <c r="E56" t="s">
        <v>7</v>
      </c>
      <c r="F56" t="str">
        <f>_xlfn.CONCAT(D56,", ",H56,", ",I56,", ","山西省")</f>
        <v>北石店镇, 城区, 晋城市, 山西省</v>
      </c>
      <c r="G56">
        <v>33407</v>
      </c>
      <c r="H56" t="s">
        <v>814</v>
      </c>
      <c r="I56" t="s">
        <v>2906</v>
      </c>
      <c r="J56">
        <f>VLOOKUP(F56,[1]!china_towns_second__2[[Column1]:[Y]],3,FALSE)</f>
        <v>35.552997745858796</v>
      </c>
      <c r="K56">
        <f>VLOOKUP(F56,[1]!china_towns_second__2[[Column1]:[Y]],2,FALSE)</f>
        <v>112.87603319999999</v>
      </c>
      <c r="L56" t="s">
        <v>3640</v>
      </c>
      <c r="M56" t="str">
        <f>VLOOKUP(H56,CHOOSE({1,2},Table12[Native],Table12[Name]),2,0)</f>
        <v>Chéng Qū</v>
      </c>
      <c r="N56" s="13" t="str">
        <f>VLOOKUP(I56,CHOOSE({1,2},Table12[Native],Table12[Name]),2,0)</f>
        <v>Jìnchéng Shì</v>
      </c>
      <c r="O56" s="13" t="str">
        <f t="shared" si="0"/>
        <v>Beishidian Zhen (Jìnchéng Shì)</v>
      </c>
      <c r="P56" s="13" t="str">
        <f t="shared" si="1"/>
        <v>Beishidian Zhen (Jìnchéng Shì)</v>
      </c>
    </row>
    <row r="57" spans="1:16" hidden="1" x14ac:dyDescent="0.25">
      <c r="A57" t="s">
        <v>790</v>
      </c>
      <c r="B57" t="str">
        <f>IF(COUNTIF(A:A,A57)&gt;1,_xlfn.CONCAT(A57," (",N57,")"),A57)</f>
        <v>Bĕitán Jiēdào</v>
      </c>
      <c r="C57" t="str">
        <f>IF(COUNTIF(B:B,B57)&gt;1,_xlfn.CONCAT(A57," (",M57,")"),B57)</f>
        <v>Bĕitán Jiēdào</v>
      </c>
      <c r="D57" t="s">
        <v>791</v>
      </c>
      <c r="E57" t="s">
        <v>31</v>
      </c>
      <c r="F57" t="str">
        <f>_xlfn.CONCAT(D57,", ",H57,", ",I57,", ","山西省")</f>
        <v>北坛街道, 介休市, 晋中市, 山西省</v>
      </c>
      <c r="G57">
        <v>16635</v>
      </c>
      <c r="H57" t="s">
        <v>2916</v>
      </c>
      <c r="I57" t="s">
        <v>2914</v>
      </c>
      <c r="J57">
        <f>VLOOKUP(F57,[1]!china_towns_second__2[[Column1]:[Y]],3,FALSE)</f>
        <v>37.044334000821301</v>
      </c>
      <c r="K57">
        <f>VLOOKUP(F57,[1]!china_towns_second__2[[Column1]:[Y]],2,FALSE)</f>
        <v>111.9125849</v>
      </c>
      <c r="L57" t="s">
        <v>3641</v>
      </c>
      <c r="M57" t="str">
        <f>VLOOKUP(H57,CHOOSE({1,2},Table12[Native],Table12[Name]),2,0)</f>
        <v>Jièxiū Shì</v>
      </c>
      <c r="N57" s="13" t="str">
        <f>VLOOKUP(I57,CHOOSE({1,2},Table12[Native],Table12[Name]),2,0)</f>
        <v>Jìnzhōng Shì</v>
      </c>
      <c r="O57" s="13" t="str">
        <f t="shared" si="0"/>
        <v>Beitan Jiedao (Jìnzhōng Shì)</v>
      </c>
      <c r="P57" s="13" t="str">
        <f t="shared" si="1"/>
        <v>Beitan Jiedao (Jìnzhōng Shì)</v>
      </c>
    </row>
    <row r="58" spans="1:16" hidden="1" x14ac:dyDescent="0.25">
      <c r="A58" t="s">
        <v>792</v>
      </c>
      <c r="B58" t="str">
        <f>IF(COUNTIF(A:A,A58)&gt;1,_xlfn.CONCAT(A58," (",N58,")"),A58)</f>
        <v>Bĕitián Zhèn</v>
      </c>
      <c r="C58" t="str">
        <f>IF(COUNTIF(B:B,B58)&gt;1,_xlfn.CONCAT(A58," (",M58,")"),B58)</f>
        <v>Bĕitián Zhèn</v>
      </c>
      <c r="D58" t="s">
        <v>793</v>
      </c>
      <c r="E58" t="s">
        <v>7</v>
      </c>
      <c r="F58" t="str">
        <f>_xlfn.CONCAT(D58,", ",H58,", ",I58,", ","山西省")</f>
        <v>北田镇, 榆次区, 晋中市, 山西省</v>
      </c>
      <c r="G58">
        <v>20250</v>
      </c>
      <c r="H58" t="s">
        <v>2923</v>
      </c>
      <c r="I58" t="s">
        <v>2914</v>
      </c>
      <c r="J58">
        <f>VLOOKUP(F58,[1]!china_towns_second__2[[Column1]:[Y]],3,FALSE)</f>
        <v>37.560543213802397</v>
      </c>
      <c r="K58">
        <f>VLOOKUP(F58,[1]!china_towns_second__2[[Column1]:[Y]],2,FALSE)</f>
        <v>112.79969560000001</v>
      </c>
      <c r="L58" t="s">
        <v>3642</v>
      </c>
      <c r="M58" t="str">
        <f>VLOOKUP(H58,CHOOSE({1,2},Table12[Native],Table12[Name]),2,0)</f>
        <v>Yúcì Qū</v>
      </c>
      <c r="N58" s="13" t="str">
        <f>VLOOKUP(I58,CHOOSE({1,2},Table12[Native],Table12[Name]),2,0)</f>
        <v>Jìnzhōng Shì</v>
      </c>
      <c r="O58" s="13" t="str">
        <f t="shared" si="0"/>
        <v>Beitian Zhen (Jìnzhōng Shì)</v>
      </c>
      <c r="P58" s="13" t="str">
        <f t="shared" si="1"/>
        <v>Beitian Zhen (Jìnzhōng Shì)</v>
      </c>
    </row>
    <row r="59" spans="1:16" hidden="1" x14ac:dyDescent="0.25">
      <c r="A59" t="s">
        <v>1083</v>
      </c>
      <c r="B59" t="str">
        <f>IF(COUNTIF(A:A,A59)&gt;1,_xlfn.CONCAT(A59," (",N59,")"),A59)</f>
        <v>Bĕiwáng Xiāng</v>
      </c>
      <c r="C59" t="str">
        <f>IF(COUNTIF(B:B,B59)&gt;1,_xlfn.CONCAT(A59," (",M59,")"),B59)</f>
        <v>Bĕiwáng Xiāng</v>
      </c>
      <c r="D59" t="s">
        <v>1084</v>
      </c>
      <c r="E59" t="s">
        <v>17</v>
      </c>
      <c r="F59" t="str">
        <f>_xlfn.CONCAT(D59,", ",H59,", ",I59,", ","山西省")</f>
        <v>北王乡, 浮山县, 临汾市, 山西省</v>
      </c>
      <c r="G59">
        <v>11316</v>
      </c>
      <c r="H59" t="s">
        <v>2931</v>
      </c>
      <c r="I59" t="s">
        <v>2927</v>
      </c>
      <c r="J59" t="e">
        <f>VLOOKUP(F59,[1]!china_towns_second__2[[Column1]:[Y]],3,FALSE)</f>
        <v>#N/A</v>
      </c>
      <c r="K59" t="e">
        <f>VLOOKUP(F59,[1]!china_towns_second__2[[Column1]:[Y]],2,FALSE)</f>
        <v>#N/A</v>
      </c>
      <c r="L59" t="s">
        <v>3643</v>
      </c>
      <c r="M59" t="str">
        <f>VLOOKUP(H59,CHOOSE({1,2},Table12[Native],Table12[Name]),2,0)</f>
        <v>Fúshān Xiàn</v>
      </c>
      <c r="N59" s="13" t="str">
        <f>VLOOKUP(I59,CHOOSE({1,2},Table12[Native],Table12[Name]),2,0)</f>
        <v>Línfén Shì</v>
      </c>
      <c r="O59" s="13" t="str">
        <f t="shared" si="0"/>
        <v>Beiwang Xiang (Línfén Shì)</v>
      </c>
      <c r="P59" s="13" t="str">
        <f t="shared" si="1"/>
        <v>Beiwang Xiang (Línfén Shì)</v>
      </c>
    </row>
    <row r="60" spans="1:16" hidden="1" x14ac:dyDescent="0.25">
      <c r="A60" t="s">
        <v>794</v>
      </c>
      <c r="B60" t="str">
        <f>IF(COUNTIF(A:A,A60)&gt;1,_xlfn.CONCAT(A60," (",N60,")"),A60)</f>
        <v>Bĕiwāng Xiāng</v>
      </c>
      <c r="C60" t="str">
        <f>IF(COUNTIF(B:B,B60)&gt;1,_xlfn.CONCAT(A60," (",M60,")"),B60)</f>
        <v>Bĕiwāng Xiāng</v>
      </c>
      <c r="D60" t="s">
        <v>795</v>
      </c>
      <c r="E60" t="s">
        <v>17</v>
      </c>
      <c r="F60" t="str">
        <f>_xlfn.CONCAT(D60,", ",H60,", ",I60,", ","山西省")</f>
        <v>北汪乡, 太谷区, 晋中市, 山西省</v>
      </c>
      <c r="G60">
        <v>22690</v>
      </c>
      <c r="H60" t="s">
        <v>2921</v>
      </c>
      <c r="I60" t="s">
        <v>2914</v>
      </c>
      <c r="J60" t="e">
        <f>VLOOKUP(F60,[1]!china_towns_second__2[[Column1]:[Y]],3,FALSE)</f>
        <v>#N/A</v>
      </c>
      <c r="K60" t="e">
        <f>VLOOKUP(F60,[1]!china_towns_second__2[[Column1]:[Y]],2,FALSE)</f>
        <v>#N/A</v>
      </c>
      <c r="L60" t="s">
        <v>3643</v>
      </c>
      <c r="M60" t="str">
        <f>VLOOKUP(H60,CHOOSE({1,2},Table12[Native],Table12[Name]),2,0)</f>
        <v>Tàigŭ Qū</v>
      </c>
      <c r="N60" s="13" t="str">
        <f>VLOOKUP(I60,CHOOSE({1,2},Table12[Native],Table12[Name]),2,0)</f>
        <v>Jìnzhōng Shì</v>
      </c>
      <c r="O60" s="13" t="str">
        <f t="shared" si="0"/>
        <v>Beiwang Xiang (Jìnzhōng Shì)</v>
      </c>
      <c r="P60" s="13" t="str">
        <f t="shared" si="1"/>
        <v>Beiwang Xiang (Jìnzhōng Shì)</v>
      </c>
    </row>
    <row r="61" spans="1:16" hidden="1" x14ac:dyDescent="0.25">
      <c r="A61" t="s">
        <v>1747</v>
      </c>
      <c r="B61" t="str">
        <f>IF(COUNTIF(A:A,A61)&gt;1,_xlfn.CONCAT(A61," (",N61,")"),A61)</f>
        <v>Bĕiwàngzhuāng Jiēdào</v>
      </c>
      <c r="C61" t="str">
        <f>IF(COUNTIF(B:B,B61)&gt;1,_xlfn.CONCAT(A61," (",M61,")"),B61)</f>
        <v>Bĕiwàngzhuāng Jiēdào</v>
      </c>
      <c r="D61" t="s">
        <v>1748</v>
      </c>
      <c r="E61" t="s">
        <v>31</v>
      </c>
      <c r="F61" t="str">
        <f>_xlfn.CONCAT(D61,", ",H61,", ",I61,", ","山西省")</f>
        <v>北旺庄街道, 朔城区, 朔州市, 山西省</v>
      </c>
      <c r="G61">
        <v>100797</v>
      </c>
      <c r="H61" t="s">
        <v>2965</v>
      </c>
      <c r="I61" t="s">
        <v>2961</v>
      </c>
      <c r="J61">
        <f>VLOOKUP(F61,[1]!china_towns_second__2[[Column1]:[Y]],3,FALSE)</f>
        <v>39.309508985157997</v>
      </c>
      <c r="K61">
        <f>VLOOKUP(F61,[1]!china_towns_second__2[[Column1]:[Y]],2,FALSE)</f>
        <v>112.4375744</v>
      </c>
      <c r="L61" t="s">
        <v>3644</v>
      </c>
      <c r="M61" t="str">
        <f>VLOOKUP(H61,CHOOSE({1,2},Table12[Native],Table12[Name]),2,0)</f>
        <v>Shuòchéng Qū</v>
      </c>
      <c r="N61" s="13" t="str">
        <f>VLOOKUP(I61,CHOOSE({1,2},Table12[Native],Table12[Name]),2,0)</f>
        <v>Shuòzhōu Shì</v>
      </c>
      <c r="O61" s="13" t="str">
        <f t="shared" si="0"/>
        <v>Beiwangzhuang Jiedao (Shuòzhōu Shì)</v>
      </c>
      <c r="P61" s="13" t="str">
        <f t="shared" si="1"/>
        <v>Beiwangzhuang Jiedao (Shuòzhōu Shì)</v>
      </c>
    </row>
    <row r="62" spans="1:16" hidden="1" x14ac:dyDescent="0.25">
      <c r="A62" t="s">
        <v>1421</v>
      </c>
      <c r="B62" t="str">
        <f>IF(COUNTIF(A:A,A62)&gt;1,_xlfn.CONCAT(A62," (",N62,")"),A62)</f>
        <v>Bĕiwŭdāng Zhèn</v>
      </c>
      <c r="C62" t="str">
        <f>IF(COUNTIF(B:B,B62)&gt;1,_xlfn.CONCAT(A62," (",M62,")"),B62)</f>
        <v>Bĕiwŭdāng Zhèn</v>
      </c>
      <c r="D62" t="s">
        <v>1422</v>
      </c>
      <c r="E62" t="s">
        <v>7</v>
      </c>
      <c r="F62" t="str">
        <f>_xlfn.CONCAT(D62,", ",H62,", ",I62,", ","山西省")</f>
        <v>北武当镇, 方山县, 吕梁市, 山西省</v>
      </c>
      <c r="G62">
        <v>5846</v>
      </c>
      <c r="H62" t="s">
        <v>2947</v>
      </c>
      <c r="I62" t="s">
        <v>2946</v>
      </c>
      <c r="J62">
        <f>VLOOKUP(F62,[1]!china_towns_second__2[[Column1]:[Y]],3,FALSE)</f>
        <v>37.740607520217999</v>
      </c>
      <c r="K62">
        <f>VLOOKUP(F62,[1]!china_towns_second__2[[Column1]:[Y]],2,FALSE)</f>
        <v>111.35581089999999</v>
      </c>
      <c r="L62" t="s">
        <v>3645</v>
      </c>
      <c r="M62" t="str">
        <f>VLOOKUP(H62,CHOOSE({1,2},Table12[Native],Table12[Name]),2,0)</f>
        <v>Fāngshān Xiàn</v>
      </c>
      <c r="N62" s="13" t="str">
        <f>VLOOKUP(I62,CHOOSE({1,2},Table12[Native],Table12[Name]),2,0)</f>
        <v>Lǚliáng Shì</v>
      </c>
      <c r="O62" s="13" t="str">
        <f t="shared" si="0"/>
        <v>Beiwudang Zhen (Lǚliáng Shì)</v>
      </c>
      <c r="P62" s="13" t="str">
        <f t="shared" si="1"/>
        <v>Beiwudang Zhen (Lǚliáng Shì)</v>
      </c>
    </row>
    <row r="63" spans="1:16" hidden="1" x14ac:dyDescent="0.25">
      <c r="A63" t="s">
        <v>2585</v>
      </c>
      <c r="B63" t="str">
        <f>IF(COUNTIF(A:A,A63)&gt;1,_xlfn.CONCAT(A63," (",N63,")"),A63)</f>
        <v>Bĕixiāng Zhèn</v>
      </c>
      <c r="C63" t="str">
        <f>IF(COUNTIF(B:B,B63)&gt;1,_xlfn.CONCAT(A63," (",M63,")"),B63)</f>
        <v>Bĕixiāng Zhèn</v>
      </c>
      <c r="D63" t="s">
        <v>2586</v>
      </c>
      <c r="E63" t="s">
        <v>7</v>
      </c>
      <c r="F63" t="str">
        <f>_xlfn.CONCAT(D63,", ",H63,", ",I63,", ","山西省")</f>
        <v>北相镇, 盐湖区, 运城市, 山西省</v>
      </c>
      <c r="G63">
        <v>33489</v>
      </c>
      <c r="H63" t="s">
        <v>3014</v>
      </c>
      <c r="I63" t="s">
        <v>3003</v>
      </c>
      <c r="J63">
        <f>VLOOKUP(F63,[1]!china_towns_second__2[[Column1]:[Y]],3,FALSE)</f>
        <v>35.135962633620501</v>
      </c>
      <c r="K63">
        <f>VLOOKUP(F63,[1]!china_towns_second__2[[Column1]:[Y]],2,FALSE)</f>
        <v>110.93809659999999</v>
      </c>
      <c r="L63" t="s">
        <v>3646</v>
      </c>
      <c r="M63" t="str">
        <f>VLOOKUP(H63,CHOOSE({1,2},Table12[Native],Table12[Name]),2,0)</f>
        <v>Yánhú Qū</v>
      </c>
      <c r="N63" s="13" t="str">
        <f>VLOOKUP(I63,CHOOSE({1,2},Table12[Native],Table12[Name]),2,0)</f>
        <v>Yùnchéng Shì</v>
      </c>
      <c r="O63" s="13" t="str">
        <f t="shared" si="0"/>
        <v>Beixiang Zhen (Yùnchéng Shì)</v>
      </c>
      <c r="P63" s="13" t="str">
        <f t="shared" si="1"/>
        <v>Beixiang Zhen (Yùnchéng Shì)</v>
      </c>
    </row>
    <row r="64" spans="1:16" hidden="1" x14ac:dyDescent="0.25">
      <c r="A64" t="s">
        <v>1894</v>
      </c>
      <c r="B64" t="str">
        <f>IF(COUNTIF(A:A,A64)&gt;1,_xlfn.CONCAT(A64," (",N64,")"),A64)</f>
        <v>Bĕixiăodiàn Xiāng</v>
      </c>
      <c r="C64" t="str">
        <f>IF(COUNTIF(B:B,B64)&gt;1,_xlfn.CONCAT(A64," (",M64,")"),B64)</f>
        <v>Bĕixiăodiàn Xiāng</v>
      </c>
      <c r="D64" t="s">
        <v>1895</v>
      </c>
      <c r="E64" t="s">
        <v>17</v>
      </c>
      <c r="F64" t="str">
        <f>_xlfn.CONCAT(D64,", ",H64,", ",I64,", ","山西省")</f>
        <v>北小店乡, 阳曲县, 太原市, 山西省</v>
      </c>
      <c r="G64">
        <v>1638</v>
      </c>
      <c r="H64" t="s">
        <v>2978</v>
      </c>
      <c r="I64" t="s">
        <v>2969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3647</v>
      </c>
      <c r="M64" t="str">
        <f>VLOOKUP(H64,CHOOSE({1,2},Table12[Native],Table12[Name]),2,0)</f>
        <v>Yángqŭ Xiàn</v>
      </c>
      <c r="N64" s="13" t="str">
        <f>VLOOKUP(I64,CHOOSE({1,2},Table12[Native],Table12[Name]),2,0)</f>
        <v>Tàiyuán Shì</v>
      </c>
      <c r="O64" s="13" t="str">
        <f t="shared" si="0"/>
        <v>Beixiaodian Xiang (Tàiyuán Shì)</v>
      </c>
      <c r="P64" s="13" t="str">
        <f t="shared" si="1"/>
        <v>Beixiaodian Xiang (Tàiyuán Shì)</v>
      </c>
    </row>
    <row r="65" spans="1:16" hidden="1" x14ac:dyDescent="0.25">
      <c r="A65" t="s">
        <v>2495</v>
      </c>
      <c r="B65" t="str">
        <f>IF(COUNTIF(A:A,A65)&gt;1,_xlfn.CONCAT(A65," (",N65,")"),A65)</f>
        <v>Bĕixiàzhuāng Xiāng</v>
      </c>
      <c r="C65" t="str">
        <f>IF(COUNTIF(B:B,B65)&gt;1,_xlfn.CONCAT(A65," (",M65,")"),B65)</f>
        <v>Bĕixiàzhuāng Xiāng</v>
      </c>
      <c r="D65" t="s">
        <v>2496</v>
      </c>
      <c r="E65" t="s">
        <v>17</v>
      </c>
      <c r="F65" t="str">
        <f>_xlfn.CONCAT(D65,", ",H65,", ",I65,", ","山西省")</f>
        <v>北下庄乡, 盂县, 阳泉市, 山西省</v>
      </c>
      <c r="G65">
        <v>10985</v>
      </c>
      <c r="H65" t="s">
        <v>3001</v>
      </c>
      <c r="I65" t="s">
        <v>2997</v>
      </c>
      <c r="J65" t="e">
        <f>VLOOKUP(F65,[1]!china_towns_second__2[[Column1]:[Y]],3,FALSE)</f>
        <v>#N/A</v>
      </c>
      <c r="K65" t="e">
        <f>VLOOKUP(F65,[1]!china_towns_second__2[[Column1]:[Y]],2,FALSE)</f>
        <v>#N/A</v>
      </c>
      <c r="L65" t="s">
        <v>3648</v>
      </c>
      <c r="M65" t="str">
        <f>VLOOKUP(H65,CHOOSE({1,2},Table12[Native],Table12[Name]),2,0)</f>
        <v>Yú Xiàn</v>
      </c>
      <c r="N65" s="13" t="str">
        <f>VLOOKUP(I65,CHOOSE({1,2},Table12[Native],Table12[Name]),2,0)</f>
        <v>Yángquán Shì</v>
      </c>
      <c r="O65" s="13" t="str">
        <f t="shared" si="0"/>
        <v>Beixiazhuang Xiang (Yángquán Shì)</v>
      </c>
      <c r="P65" s="13" t="str">
        <f t="shared" si="1"/>
        <v>Beixiazhuang Xiang (Yángquán Shì)</v>
      </c>
    </row>
    <row r="66" spans="1:16" hidden="1" x14ac:dyDescent="0.25">
      <c r="A66" t="s">
        <v>2587</v>
      </c>
      <c r="B66" t="str">
        <f>IF(COUNTIF(A:A,A66)&gt;1,_xlfn.CONCAT(A66," (",N66,")"),A66)</f>
        <v>Bĕixīn Xiāng</v>
      </c>
      <c r="C66" t="str">
        <f>IF(COUNTIF(B:B,B66)&gt;1,_xlfn.CONCAT(A66," (",M66,")"),B66)</f>
        <v>Bĕixīn Xiāng</v>
      </c>
      <c r="D66" t="s">
        <v>2588</v>
      </c>
      <c r="E66" t="s">
        <v>17</v>
      </c>
      <c r="F66" t="str">
        <f>_xlfn.CONCAT(D66,", ",H66,", ",I66,", ","山西省")</f>
        <v>北辛乡, 临猗县, 运城市, 山西省</v>
      </c>
      <c r="G66">
        <v>30962</v>
      </c>
      <c r="H66" t="s">
        <v>3007</v>
      </c>
      <c r="I66" t="s">
        <v>3003</v>
      </c>
      <c r="J66" t="e">
        <f>VLOOKUP(F66,[1]!china_towns_second__2[[Column1]:[Y]],3,FALSE)</f>
        <v>#N/A</v>
      </c>
      <c r="K66" t="e">
        <f>VLOOKUP(F66,[1]!china_towns_second__2[[Column1]:[Y]],2,FALSE)</f>
        <v>#N/A</v>
      </c>
      <c r="L66" t="s">
        <v>3649</v>
      </c>
      <c r="M66" t="str">
        <f>VLOOKUP(H66,CHOOSE({1,2},Table12[Native],Table12[Name]),2,0)</f>
        <v>Línyī Xiàn</v>
      </c>
      <c r="N66" s="13" t="str">
        <f>VLOOKUP(I66,CHOOSE({1,2},Table12[Native],Table12[Name]),2,0)</f>
        <v>Yùnchéng Shì</v>
      </c>
      <c r="O66" s="13" t="str">
        <f t="shared" ref="O66:O129" si="2">_xlfn.CONCAT(L66," (",N66,")")</f>
        <v>Beixin Xiang (Yùnchéng Shì)</v>
      </c>
      <c r="P66" s="13" t="str">
        <f t="shared" ref="P66:P129" si="3">IF(COUNTIF(O:O,O66)&gt;1,_xlfn.CONCAT(L66," (",M66,")"),O66)</f>
        <v>Beixin Xiang (Yùnchéng Shì)</v>
      </c>
    </row>
    <row r="67" spans="1:16" hidden="1" x14ac:dyDescent="0.25">
      <c r="A67" t="s">
        <v>343</v>
      </c>
      <c r="B67" t="str">
        <f>IF(COUNTIF(A:A,A67)&gt;1,_xlfn.CONCAT(A67," (",N67,")"),A67)</f>
        <v>Bĕixútún Xiāng</v>
      </c>
      <c r="C67" t="str">
        <f>IF(COUNTIF(B:B,B67)&gt;1,_xlfn.CONCAT(A67," (",M67,")"),B67)</f>
        <v>Bĕixútún Xiāng</v>
      </c>
      <c r="D67" t="s">
        <v>344</v>
      </c>
      <c r="E67" t="s">
        <v>17</v>
      </c>
      <c r="F67" t="str">
        <f>_xlfn.CONCAT(D67,", ",H67,", ",I67,", ","山西省")</f>
        <v>北徐屯乡, 阳高县, 大同市, 山西省</v>
      </c>
      <c r="G67">
        <v>15809</v>
      </c>
      <c r="H67" t="s">
        <v>2901</v>
      </c>
      <c r="I67" t="s">
        <v>2894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3650</v>
      </c>
      <c r="M67" t="str">
        <f>VLOOKUP(H67,CHOOSE({1,2},Table12[Native],Table12[Name]),2,0)</f>
        <v>Yánggāo Xiàn</v>
      </c>
      <c r="N67" s="13" t="str">
        <f>VLOOKUP(I67,CHOOSE({1,2},Table12[Native],Table12[Name]),2,0)</f>
        <v>Dàtóng Shì</v>
      </c>
      <c r="O67" s="13" t="str">
        <f t="shared" si="2"/>
        <v>Beixutun Xiang (Dàtóng Shì)</v>
      </c>
      <c r="P67" s="13" t="str">
        <f t="shared" si="3"/>
        <v>Beixutun Xiang (Dàtóng Shì)</v>
      </c>
    </row>
    <row r="68" spans="1:16" hidden="1" x14ac:dyDescent="0.25">
      <c r="A68" t="s">
        <v>631</v>
      </c>
      <c r="B68" t="str">
        <f>IF(COUNTIF(A:A,A68)&gt;1,_xlfn.CONCAT(A68," (",N68,")"),A68)</f>
        <v>Bĕiyìchéng Zhèn</v>
      </c>
      <c r="C68" t="str">
        <f>IF(COUNTIF(B:B,B68)&gt;1,_xlfn.CONCAT(A68," (",M68,")"),B68)</f>
        <v>Bĕiyìchéng Zhèn</v>
      </c>
      <c r="D68" t="s">
        <v>632</v>
      </c>
      <c r="E68" t="s">
        <v>7</v>
      </c>
      <c r="F68" t="str">
        <f>_xlfn.CONCAT(D68,", ",H68,", ",I68,", ","山西省")</f>
        <v>北义城镇, 泽州县, 晋城市, 山西省</v>
      </c>
      <c r="G68">
        <v>27697</v>
      </c>
      <c r="H68" t="s">
        <v>2912</v>
      </c>
      <c r="I68" t="s">
        <v>2906</v>
      </c>
      <c r="J68">
        <f>VLOOKUP(F68,[1]!china_towns_second__2[[Column1]:[Y]],3,FALSE)</f>
        <v>35.6513682171909</v>
      </c>
      <c r="K68">
        <f>VLOOKUP(F68,[1]!china_towns_second__2[[Column1]:[Y]],2,FALSE)</f>
        <v>112.9769328</v>
      </c>
      <c r="L68" t="s">
        <v>3651</v>
      </c>
      <c r="M68" t="str">
        <f>VLOOKUP(H68,CHOOSE({1,2},Table12[Native],Table12[Name]),2,0)</f>
        <v>Zézhōu Xiàn</v>
      </c>
      <c r="N68" s="13" t="str">
        <f>VLOOKUP(I68,CHOOSE({1,2},Table12[Native],Table12[Name]),2,0)</f>
        <v>Jìnchéng Shì</v>
      </c>
      <c r="O68" s="13" t="str">
        <f t="shared" si="2"/>
        <v>Beiyicheng Zhen (Jìnchéng Shì)</v>
      </c>
      <c r="P68" s="13" t="str">
        <f t="shared" si="3"/>
        <v>Beiyicheng Zhen (Jìnchéng Shì)</v>
      </c>
    </row>
    <row r="69" spans="1:16" hidden="1" x14ac:dyDescent="0.25">
      <c r="A69" t="s">
        <v>2114</v>
      </c>
      <c r="B69" t="str">
        <f>IF(COUNTIF(A:A,A69)&gt;1,_xlfn.CONCAT(A69," (",N69,")"),A69)</f>
        <v>Bĕiyìjĭng Xiāng</v>
      </c>
      <c r="C69" t="str">
        <f>IF(COUNTIF(B:B,B69)&gt;1,_xlfn.CONCAT(A69," (",M69,")"),B69)</f>
        <v>Bĕiyìjĭng Xiāng</v>
      </c>
      <c r="D69" t="s">
        <v>2115</v>
      </c>
      <c r="E69" t="s">
        <v>17</v>
      </c>
      <c r="F69" t="str">
        <f>_xlfn.CONCAT(D69,", ",H69,", ",I69,", ","山西省")</f>
        <v>北义井乡, 忻府区, 忻州市, 山西省</v>
      </c>
      <c r="G69">
        <v>14782</v>
      </c>
      <c r="H69" t="s">
        <v>2994</v>
      </c>
      <c r="I69" t="s">
        <v>2981</v>
      </c>
      <c r="J69" t="e">
        <f>VLOOKUP(F69,[1]!china_towns_second__2[[Column1]:[Y]],3,FALSE)</f>
        <v>#N/A</v>
      </c>
      <c r="K69" t="e">
        <f>VLOOKUP(F69,[1]!china_towns_second__2[[Column1]:[Y]],2,FALSE)</f>
        <v>#N/A</v>
      </c>
      <c r="L69" t="s">
        <v>3652</v>
      </c>
      <c r="M69" t="str">
        <f>VLOOKUP(H69,CHOOSE({1,2},Table12[Native],Table12[Name]),2,0)</f>
        <v>Xīnfŭ Qū</v>
      </c>
      <c r="N69" s="13" t="str">
        <f>VLOOKUP(I69,CHOOSE({1,2},Table12[Native],Table12[Name]),2,0)</f>
        <v>Xīnzhōu Shì</v>
      </c>
      <c r="O69" s="13" t="str">
        <f t="shared" si="2"/>
        <v>Beiyijing Xiang (Xīnzhōu Shì)</v>
      </c>
      <c r="P69" s="13" t="str">
        <f t="shared" si="3"/>
        <v>Beiyijing Xiang (Xīnzhōu Shì)</v>
      </c>
    </row>
    <row r="70" spans="1:16" hidden="1" x14ac:dyDescent="0.25">
      <c r="A70" t="s">
        <v>1897</v>
      </c>
      <c r="B70" t="str">
        <f>IF(COUNTIF(A:A,A70)&gt;1,_xlfn.CONCAT(A70," (",N70,")"),A70)</f>
        <v>Bĕiyíng Jiēdào</v>
      </c>
      <c r="C70" t="str">
        <f>IF(COUNTIF(B:B,B70)&gt;1,_xlfn.CONCAT(A70," (",M70,")"),B70)</f>
        <v>Bĕiyíng Jiēdào</v>
      </c>
      <c r="D70" t="s">
        <v>1898</v>
      </c>
      <c r="E70" t="s">
        <v>31</v>
      </c>
      <c r="F70" t="str">
        <f>_xlfn.CONCAT(D70,", ",H70,", ",I70,", ","山西省")</f>
        <v>北营街道, 小店区, 太原市, 山西省</v>
      </c>
      <c r="G70">
        <v>53257</v>
      </c>
      <c r="H70" t="s">
        <v>2976</v>
      </c>
      <c r="I70" t="s">
        <v>2969</v>
      </c>
      <c r="J70">
        <f>VLOOKUP(F70,[1]!china_towns_second__2[[Column1]:[Y]],3,FALSE)</f>
        <v>37.810859315026597</v>
      </c>
      <c r="K70">
        <f>VLOOKUP(F70,[1]!china_towns_second__2[[Column1]:[Y]],2,FALSE)</f>
        <v>112.6370057</v>
      </c>
      <c r="L70" t="s">
        <v>3653</v>
      </c>
      <c r="M70" t="str">
        <f>VLOOKUP(H70,CHOOSE({1,2},Table12[Native],Table12[Name]),2,0)</f>
        <v>Xiăodiàn Qū</v>
      </c>
      <c r="N70" s="13" t="str">
        <f>VLOOKUP(I70,CHOOSE({1,2},Table12[Native],Table12[Name]),2,0)</f>
        <v>Tàiyuán Shì</v>
      </c>
      <c r="O70" s="13" t="str">
        <f t="shared" si="2"/>
        <v>Beiying Jiedao (Tàiyuán Shì)</v>
      </c>
      <c r="P70" s="13" t="str">
        <f t="shared" si="3"/>
        <v>Beiying Jiedao (Tàiyuán Shì)</v>
      </c>
    </row>
    <row r="71" spans="1:16" hidden="1" x14ac:dyDescent="0.25">
      <c r="A71" t="s">
        <v>797</v>
      </c>
      <c r="B71" t="str">
        <f>IF(COUNTIF(A:A,A71)&gt;1,_xlfn.CONCAT(A71," (",N71,")"),A71)</f>
        <v>Bĕizhài Xiāng</v>
      </c>
      <c r="C71" t="str">
        <f>IF(COUNTIF(B:B,B71)&gt;1,_xlfn.CONCAT(A71," (",M71,")"),B71)</f>
        <v>Bĕizhài Xiāng</v>
      </c>
      <c r="D71" t="s">
        <v>798</v>
      </c>
      <c r="E71" t="s">
        <v>17</v>
      </c>
      <c r="F71" t="str">
        <f>_xlfn.CONCAT(D71,", ",H71,", ",I71,", ","山西省")</f>
        <v>北寨乡, 榆社县, 晋中市, 山西省</v>
      </c>
      <c r="G71">
        <v>6656</v>
      </c>
      <c r="H71" t="s">
        <v>2924</v>
      </c>
      <c r="I71" t="s">
        <v>2914</v>
      </c>
      <c r="J71" t="e">
        <f>VLOOKUP(F71,[1]!china_towns_second__2[[Column1]:[Y]],3,FALSE)</f>
        <v>#N/A</v>
      </c>
      <c r="K71" t="e">
        <f>VLOOKUP(F71,[1]!china_towns_second__2[[Column1]:[Y]],2,FALSE)</f>
        <v>#N/A</v>
      </c>
      <c r="L71" t="s">
        <v>3654</v>
      </c>
      <c r="M71" t="str">
        <f>VLOOKUP(H71,CHOOSE({1,2},Table12[Native],Table12[Name]),2,0)</f>
        <v>Yúshè Xiàn</v>
      </c>
      <c r="N71" s="13" t="str">
        <f>VLOOKUP(I71,CHOOSE({1,2},Table12[Native],Table12[Name]),2,0)</f>
        <v>Jìnzhōng Shì</v>
      </c>
      <c r="O71" s="13" t="str">
        <f t="shared" si="2"/>
        <v>Beizhai Xiang (Jìnzhōng Shì)</v>
      </c>
      <c r="P71" s="13" t="str">
        <f t="shared" si="3"/>
        <v>Beizhai Xiang (Jìnzhōng Shì)</v>
      </c>
    </row>
    <row r="72" spans="1:16" hidden="1" x14ac:dyDescent="0.25">
      <c r="A72" t="s">
        <v>1424</v>
      </c>
      <c r="B72" t="str">
        <f>IF(COUNTIF(A:A,A72)&gt;1,_xlfn.CONCAT(A72," (",N72,")"),A72)</f>
        <v>Bĕizhāng Xiāng</v>
      </c>
      <c r="C72" t="str">
        <f>IF(COUNTIF(B:B,B72)&gt;1,_xlfn.CONCAT(A72," (",M72,")"),B72)</f>
        <v>Bĕizhāng Xiāng</v>
      </c>
      <c r="D72" t="s">
        <v>1425</v>
      </c>
      <c r="E72" t="s">
        <v>17</v>
      </c>
      <c r="F72" t="str">
        <f>_xlfn.CONCAT(D72,", ",H72,", ",I72,", ","山西省")</f>
        <v>北张乡, 文水县, 吕梁市, 山西省</v>
      </c>
      <c r="G72">
        <v>25105</v>
      </c>
      <c r="H72" t="s">
        <v>2956</v>
      </c>
      <c r="I72" t="s">
        <v>2946</v>
      </c>
      <c r="J72" t="e">
        <f>VLOOKUP(F72,[1]!china_towns_second__2[[Column1]:[Y]],3,FALSE)</f>
        <v>#N/A</v>
      </c>
      <c r="K72" t="e">
        <f>VLOOKUP(F72,[1]!china_towns_second__2[[Column1]:[Y]],2,FALSE)</f>
        <v>#N/A</v>
      </c>
      <c r="L72" t="s">
        <v>3655</v>
      </c>
      <c r="M72" t="str">
        <f>VLOOKUP(H72,CHOOSE({1,2},Table12[Native],Table12[Name]),2,0)</f>
        <v>Wénshuĭ Xiàn</v>
      </c>
      <c r="N72" s="13" t="str">
        <f>VLOOKUP(I72,CHOOSE({1,2},Table12[Native],Table12[Name]),2,0)</f>
        <v>Lǚliáng Shì</v>
      </c>
      <c r="O72" s="13" t="str">
        <f t="shared" si="2"/>
        <v>Beizhang Xiang (Lǚliáng Shì)</v>
      </c>
      <c r="P72" s="13" t="str">
        <f t="shared" si="3"/>
        <v>Beizhang Xiang (Lǚliáng Shì)</v>
      </c>
    </row>
    <row r="73" spans="1:16" hidden="1" x14ac:dyDescent="0.25">
      <c r="A73" t="s">
        <v>2589</v>
      </c>
      <c r="B73" t="str">
        <f>IF(COUNTIF(A:A,A73)&gt;1,_xlfn.CONCAT(A73," (",N73,")"),A73)</f>
        <v>Bĕizhāng Zhèn</v>
      </c>
      <c r="C73" t="str">
        <f>IF(COUNTIF(B:B,B73)&gt;1,_xlfn.CONCAT(A73," (",M73,")"),B73)</f>
        <v>Bĕizhāng Zhèn</v>
      </c>
      <c r="D73" t="s">
        <v>2590</v>
      </c>
      <c r="E73" t="s">
        <v>7</v>
      </c>
      <c r="F73" t="str">
        <f>_xlfn.CONCAT(D73,", ",H73,", ",I73,", ","山西省")</f>
        <v>北张镇, 新绛县, 运城市, 山西省</v>
      </c>
      <c r="G73">
        <v>22682</v>
      </c>
      <c r="H73" t="s">
        <v>3013</v>
      </c>
      <c r="I73" t="s">
        <v>3003</v>
      </c>
      <c r="J73">
        <f>VLOOKUP(F73,[1]!china_towns_second__2[[Column1]:[Y]],3,FALSE)</f>
        <v>35.720075384337697</v>
      </c>
      <c r="K73">
        <f>VLOOKUP(F73,[1]!china_towns_second__2[[Column1]:[Y]],2,FALSE)</f>
        <v>111.0871964</v>
      </c>
      <c r="L73" t="s">
        <v>3656</v>
      </c>
      <c r="M73" t="str">
        <f>VLOOKUP(H73,CHOOSE({1,2},Table12[Native],Table12[Name]),2,0)</f>
        <v>Xīnjiàng Xiàn</v>
      </c>
      <c r="N73" s="13" t="str">
        <f>VLOOKUP(I73,CHOOSE({1,2},Table12[Native],Table12[Name]),2,0)</f>
        <v>Yùnchéng Shì</v>
      </c>
      <c r="O73" s="13" t="str">
        <f t="shared" si="2"/>
        <v>Beizhang Zhen (Yùnchéng Shì)</v>
      </c>
      <c r="P73" s="13" t="str">
        <f t="shared" si="3"/>
        <v>Beizhang Zhen (Yùnchéng Shì)</v>
      </c>
    </row>
    <row r="74" spans="1:16" hidden="1" x14ac:dyDescent="0.25">
      <c r="A74" t="s">
        <v>1749</v>
      </c>
      <c r="B74" t="str">
        <f>IF(COUNTIF(A:A,A74)&gt;1,_xlfn.CONCAT(A74," (",N74,")"),A74)</f>
        <v>Bĕizhōuzhuāng Zhèn</v>
      </c>
      <c r="C74" t="str">
        <f>IF(COUNTIF(B:B,B74)&gt;1,_xlfn.CONCAT(A74," (",M74,")"),B74)</f>
        <v>Bĕizhōuzhuāng Zhèn</v>
      </c>
      <c r="D74" t="s">
        <v>1750</v>
      </c>
      <c r="E74" t="s">
        <v>7</v>
      </c>
      <c r="F74" t="str">
        <f>_xlfn.CONCAT(D74,", ",H74,", ",I74,", ","山西省")</f>
        <v>北周庄镇, 山阴县, 朔州市, 山西省</v>
      </c>
      <c r="G74">
        <v>21667</v>
      </c>
      <c r="H74" t="s">
        <v>2964</v>
      </c>
      <c r="I74" t="s">
        <v>2961</v>
      </c>
      <c r="J74">
        <f>VLOOKUP(F74,[1]!china_towns_second__2[[Column1]:[Y]],3,FALSE)</f>
        <v>39.6215428082484</v>
      </c>
      <c r="K74">
        <f>VLOOKUP(F74,[1]!china_towns_second__2[[Column1]:[Y]],2,FALSE)</f>
        <v>112.7891675</v>
      </c>
      <c r="L74" t="s">
        <v>3657</v>
      </c>
      <c r="M74" t="str">
        <f>VLOOKUP(H74,CHOOSE({1,2},Table12[Native],Table12[Name]),2,0)</f>
        <v>Shānyīn Xiàn</v>
      </c>
      <c r="N74" s="13" t="str">
        <f>VLOOKUP(I74,CHOOSE({1,2},Table12[Native],Table12[Name]),2,0)</f>
        <v>Shuòzhōu Shì</v>
      </c>
      <c r="O74" s="13" t="str">
        <f t="shared" si="2"/>
        <v>Beizhouzhuang Zhen (Shuòzhōu Shì)</v>
      </c>
      <c r="P74" s="13" t="str">
        <f t="shared" si="3"/>
        <v>Beizhouzhuang Zhen (Shuòzhōu Shì)</v>
      </c>
    </row>
    <row r="75" spans="1:16" hidden="1" x14ac:dyDescent="0.25">
      <c r="A75" t="s">
        <v>1085</v>
      </c>
      <c r="B75" t="str">
        <f>IF(COUNTIF(A:A,A75)&gt;1,_xlfn.CONCAT(A75," (",N75,")"),A75)</f>
        <v>Bīnhé Jiēdào (Línfén Shì)</v>
      </c>
      <c r="C75" t="str">
        <f>IF(COUNTIF(B:B,B75)&gt;1,_xlfn.CONCAT(A75," (",M75,")"),B75)</f>
        <v>Bīnhé Jiēdào (Línfén Shì)</v>
      </c>
      <c r="D75" t="s">
        <v>1086</v>
      </c>
      <c r="E75" t="s">
        <v>31</v>
      </c>
      <c r="F75" t="str">
        <f>_xlfn.CONCAT(D75,", ",H75,", ",I75,", ","山西省")</f>
        <v>滨河街道, 尧都区, 临汾市, 山西省</v>
      </c>
      <c r="G75">
        <v>37713</v>
      </c>
      <c r="H75" t="s">
        <v>2942</v>
      </c>
      <c r="I75" t="s">
        <v>2927</v>
      </c>
      <c r="J75">
        <f>VLOOKUP(F75,[1]!china_towns_second__2[[Column1]:[Y]],3,FALSE)</f>
        <v>36.107109262443302</v>
      </c>
      <c r="K75">
        <f>VLOOKUP(F75,[1]!china_towns_second__2[[Column1]:[Y]],2,FALSE)</f>
        <v>111.5150639</v>
      </c>
      <c r="L75" t="s">
        <v>3658</v>
      </c>
      <c r="M75" t="str">
        <f>VLOOKUP(H75,CHOOSE({1,2},Table12[Native],Table12[Name]),2,0)</f>
        <v>Yáodū Qū</v>
      </c>
      <c r="N75" s="13" t="str">
        <f>VLOOKUP(I75,CHOOSE({1,2},Table12[Native],Table12[Name]),2,0)</f>
        <v>Línfén Shì</v>
      </c>
      <c r="O75" s="13" t="str">
        <f t="shared" si="2"/>
        <v>Binhe Jiedao (Linfen Shi) (Línfén Shì)</v>
      </c>
      <c r="P75" s="13" t="str">
        <f t="shared" si="3"/>
        <v>Binhe Jiedao (Linfen Shi) (Línfén Shì)</v>
      </c>
    </row>
    <row r="76" spans="1:16" hidden="1" x14ac:dyDescent="0.25">
      <c r="A76" t="s">
        <v>1085</v>
      </c>
      <c r="B76" t="str">
        <f>IF(COUNTIF(A:A,A76)&gt;1,_xlfn.CONCAT(A76," (",N76,")"),A76)</f>
        <v>Bīnhé Jiēdào (Lǚliáng Shì)</v>
      </c>
      <c r="C76" t="str">
        <f>IF(COUNTIF(B:B,B76)&gt;1,_xlfn.CONCAT(A76," (",M76,")"),B76)</f>
        <v>Bīnhé Jiēdào (Lǚliáng Shì)</v>
      </c>
      <c r="D76" t="s">
        <v>1086</v>
      </c>
      <c r="E76" t="s">
        <v>31</v>
      </c>
      <c r="F76" t="str">
        <f>_xlfn.CONCAT(D76,", ",H76,", ",I76,", ","山西省")</f>
        <v>滨河街道, 离石区, 吕梁市, 山西省</v>
      </c>
      <c r="G76">
        <v>82434</v>
      </c>
      <c r="H76" t="s">
        <v>2953</v>
      </c>
      <c r="I76" t="s">
        <v>2946</v>
      </c>
      <c r="J76">
        <f>VLOOKUP(F76,[1]!china_towns_second__2[[Column1]:[Y]],3,FALSE)</f>
        <v>37.513510633189199</v>
      </c>
      <c r="K76">
        <f>VLOOKUP(F76,[1]!china_towns_second__2[[Column1]:[Y]],2,FALSE)</f>
        <v>111.1639366</v>
      </c>
      <c r="L76" t="s">
        <v>3659</v>
      </c>
      <c r="M76" t="str">
        <f>VLOOKUP(H76,CHOOSE({1,2},Table12[Native],Table12[Name]),2,0)</f>
        <v>Líshí Qū</v>
      </c>
      <c r="N76" s="13" t="str">
        <f>VLOOKUP(I76,CHOOSE({1,2},Table12[Native],Table12[Name]),2,0)</f>
        <v>Lǚliáng Shì</v>
      </c>
      <c r="O76" s="13" t="str">
        <f t="shared" si="2"/>
        <v>Binhe Jiedao (Luliang Shi) (Lǚliáng Shì)</v>
      </c>
      <c r="P76" s="13" t="str">
        <f t="shared" si="3"/>
        <v>Binhe Jiedao (Luliang Shi) (Lǚliáng Shì)</v>
      </c>
    </row>
    <row r="77" spans="1:16" hidden="1" x14ac:dyDescent="0.25">
      <c r="A77" t="s">
        <v>2592</v>
      </c>
      <c r="B77" t="str">
        <f>IF(COUNTIF(A:A,A77)&gt;1,_xlfn.CONCAT(A77," (",N77,")"),A77)</f>
        <v>Bùguān Xiāng</v>
      </c>
      <c r="C77" t="str">
        <f>IF(COUNTIF(B:B,B77)&gt;1,_xlfn.CONCAT(A77," (",M77,")"),B77)</f>
        <v>Bùguān Xiāng</v>
      </c>
      <c r="D77" t="s">
        <v>2593</v>
      </c>
      <c r="E77" t="s">
        <v>17</v>
      </c>
      <c r="F77" t="str">
        <f>_xlfn.CONCAT(D77,", ",H77,", ",I77,", ","山西省")</f>
        <v>部官乡, 平陆县, 运城市, 山西省</v>
      </c>
      <c r="G77">
        <v>15248</v>
      </c>
      <c r="H77" t="s">
        <v>3008</v>
      </c>
      <c r="I77" t="s">
        <v>3003</v>
      </c>
      <c r="J77" t="e">
        <f>VLOOKUP(F77,[1]!china_towns_second__2[[Column1]:[Y]],3,FALSE)</f>
        <v>#N/A</v>
      </c>
      <c r="K77" t="e">
        <f>VLOOKUP(F77,[1]!china_towns_second__2[[Column1]:[Y]],2,FALSE)</f>
        <v>#N/A</v>
      </c>
      <c r="L77" t="s">
        <v>3660</v>
      </c>
      <c r="M77" t="str">
        <f>VLOOKUP(H77,CHOOSE({1,2},Table12[Native],Table12[Name]),2,0)</f>
        <v>Pínglù Xiàn</v>
      </c>
      <c r="N77" s="13" t="str">
        <f>VLOOKUP(I77,CHOOSE({1,2},Table12[Native],Table12[Name]),2,0)</f>
        <v>Yùnchéng Shì</v>
      </c>
      <c r="O77" s="13" t="str">
        <f t="shared" si="2"/>
        <v>Buguan Xiang (Yùnchéng Shì)</v>
      </c>
      <c r="P77" s="13" t="str">
        <f t="shared" si="3"/>
        <v>Buguan Xiang (Yùnchéng Shì)</v>
      </c>
    </row>
    <row r="78" spans="1:16" hidden="1" x14ac:dyDescent="0.25">
      <c r="A78" t="s">
        <v>800</v>
      </c>
      <c r="B78" t="str">
        <f>IF(COUNTIF(A:A,A78)&gt;1,_xlfn.CONCAT(A78," (",N78,")"),A78)</f>
        <v>Bŭyí Xiāng</v>
      </c>
      <c r="C78" t="str">
        <f>IF(COUNTIF(B:B,B78)&gt;1,_xlfn.CONCAT(A78," (",M78,")"),B78)</f>
        <v>Bŭyí Xiāng</v>
      </c>
      <c r="D78" t="s">
        <v>801</v>
      </c>
      <c r="E78" t="s">
        <v>17</v>
      </c>
      <c r="F78" t="str">
        <f>_xlfn.CONCAT(D78,", ",H78,", ",I78,", ","山西省")</f>
        <v>卜宜乡, 平遥县, 晋中市, 山西省</v>
      </c>
      <c r="G78">
        <v>33596</v>
      </c>
      <c r="H78" t="s">
        <v>2918</v>
      </c>
      <c r="I78" t="s">
        <v>2914</v>
      </c>
      <c r="J78" t="e">
        <f>VLOOKUP(F78,[1]!china_towns_second__2[[Column1]:[Y]],3,FALSE)</f>
        <v>#N/A</v>
      </c>
      <c r="K78" t="e">
        <f>VLOOKUP(F78,[1]!china_towns_second__2[[Column1]:[Y]],2,FALSE)</f>
        <v>#N/A</v>
      </c>
      <c r="L78" t="s">
        <v>3661</v>
      </c>
      <c r="M78" t="str">
        <f>VLOOKUP(H78,CHOOSE({1,2},Table12[Native],Table12[Name]),2,0)</f>
        <v>Píngyáo Xiàn</v>
      </c>
      <c r="N78" s="13" t="str">
        <f>VLOOKUP(I78,CHOOSE({1,2},Table12[Native],Table12[Name]),2,0)</f>
        <v>Jìnzhōng Shì</v>
      </c>
      <c r="O78" s="13" t="str">
        <f t="shared" si="2"/>
        <v>Buyi Xiang (Jìnzhōng Shì)</v>
      </c>
      <c r="P78" s="13" t="str">
        <f t="shared" si="3"/>
        <v>Buyi Xiang (Jìnzhōng Shì)</v>
      </c>
    </row>
    <row r="79" spans="1:16" hidden="1" x14ac:dyDescent="0.25">
      <c r="A79" t="s">
        <v>2595</v>
      </c>
      <c r="B79" t="str">
        <f>IF(COUNTIF(A:A,A79)&gt;1,_xlfn.CONCAT(A79," (",N79,")"),A79)</f>
        <v>Càicūn Xiāng</v>
      </c>
      <c r="C79" t="str">
        <f>IF(COUNTIF(B:B,B79)&gt;1,_xlfn.CONCAT(A79," (",M79,")"),B79)</f>
        <v>Càicūn Xiāng</v>
      </c>
      <c r="D79" t="s">
        <v>2596</v>
      </c>
      <c r="E79" t="s">
        <v>17</v>
      </c>
      <c r="F79" t="str">
        <f>_xlfn.CONCAT(D79,", ",H79,", ",I79,", ","山西省")</f>
        <v>蔡村乡, 稷山县, 运城市, 山西省</v>
      </c>
      <c r="G79">
        <v>29512</v>
      </c>
      <c r="H79" t="s">
        <v>3006</v>
      </c>
      <c r="I79" t="s">
        <v>3003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3662</v>
      </c>
      <c r="M79" t="str">
        <f>VLOOKUP(H79,CHOOSE({1,2},Table12[Native],Table12[Name]),2,0)</f>
        <v>Jìshān Xiàn</v>
      </c>
      <c r="N79" s="13" t="str">
        <f>VLOOKUP(I79,CHOOSE({1,2},Table12[Native],Table12[Name]),2,0)</f>
        <v>Yùnchéng Shì</v>
      </c>
      <c r="O79" s="13" t="str">
        <f t="shared" si="2"/>
        <v>Caicun Xiang (Yùnchéng Shì)</v>
      </c>
      <c r="P79" s="13" t="str">
        <f t="shared" si="3"/>
        <v>Caicun Xiang (Yùnchéng Shì)</v>
      </c>
    </row>
    <row r="80" spans="1:16" hidden="1" x14ac:dyDescent="0.25">
      <c r="A80" t="s">
        <v>345</v>
      </c>
      <c r="B80" t="str">
        <f>IF(COUNTIF(A:A,A80)&gt;1,_xlfn.CONCAT(A80," (",N80,")"),A80)</f>
        <v>Càicūn Zhèn</v>
      </c>
      <c r="C80" t="str">
        <f>IF(COUNTIF(B:B,B80)&gt;1,_xlfn.CONCAT(A80," (",M80,")"),B80)</f>
        <v>Càicūn Zhèn</v>
      </c>
      <c r="D80" t="s">
        <v>346</v>
      </c>
      <c r="E80" t="s">
        <v>7</v>
      </c>
      <c r="F80" t="str">
        <f>_xlfn.CONCAT(D80,", ",H80,", ",I80,", ","山西省")</f>
        <v>蔡村镇, 浑源县, 大同市, 山西省</v>
      </c>
      <c r="G80">
        <v>12674</v>
      </c>
      <c r="H80" t="s">
        <v>2896</v>
      </c>
      <c r="I80" t="s">
        <v>2894</v>
      </c>
      <c r="J80">
        <f>VLOOKUP(F80,[1]!china_towns_second__2[[Column1]:[Y]],3,FALSE)</f>
        <v>39.769939917475703</v>
      </c>
      <c r="K80">
        <f>VLOOKUP(F80,[1]!china_towns_second__2[[Column1]:[Y]],2,FALSE)</f>
        <v>113.6512092</v>
      </c>
      <c r="L80" t="s">
        <v>3663</v>
      </c>
      <c r="M80" t="str">
        <f>VLOOKUP(H80,CHOOSE({1,2},Table12[Native],Table12[Name]),2,0)</f>
        <v>Húnyuán Xiàn</v>
      </c>
      <c r="N80" s="13" t="str">
        <f>VLOOKUP(I80,CHOOSE({1,2},Table12[Native],Table12[Name]),2,0)</f>
        <v>Dàtóng Shì</v>
      </c>
      <c r="O80" s="13" t="str">
        <f t="shared" si="2"/>
        <v>Caicun Zhen (Dàtóng Shì)</v>
      </c>
      <c r="P80" s="13" t="str">
        <f t="shared" si="3"/>
        <v>Caicun Zhen (Dàtóng Shì)</v>
      </c>
    </row>
    <row r="81" spans="1:16" hidden="1" x14ac:dyDescent="0.25">
      <c r="A81" t="s">
        <v>1428</v>
      </c>
      <c r="B81" t="str">
        <f>IF(COUNTIF(A:A,A81)&gt;1,_xlfn.CONCAT(A81," (",N81,")"),A81)</f>
        <v>Càijiāhuì Zhèn</v>
      </c>
      <c r="C81" t="str">
        <f>IF(COUNTIF(B:B,B81)&gt;1,_xlfn.CONCAT(A81," (",M81,")"),B81)</f>
        <v>Càijiāhuì Zhèn</v>
      </c>
      <c r="D81" t="s">
        <v>1429</v>
      </c>
      <c r="E81" t="s">
        <v>7</v>
      </c>
      <c r="F81" t="str">
        <f>_xlfn.CONCAT(D81,", ",H81,", ",I81,", ","山西省")</f>
        <v>蔡家会镇, 兴县, 吕梁市, 山西省</v>
      </c>
      <c r="G81">
        <v>9814</v>
      </c>
      <c r="H81" t="s">
        <v>2958</v>
      </c>
      <c r="I81" t="s">
        <v>2946</v>
      </c>
      <c r="J81">
        <f>VLOOKUP(F81,[1]!china_towns_second__2[[Column1]:[Y]],3,FALSE)</f>
        <v>38.203839061746599</v>
      </c>
      <c r="K81">
        <f>VLOOKUP(F81,[1]!china_towns_second__2[[Column1]:[Y]],2,FALSE)</f>
        <v>110.76773540000001</v>
      </c>
      <c r="L81" t="s">
        <v>3664</v>
      </c>
      <c r="M81" t="str">
        <f>VLOOKUP(H81,CHOOSE({1,2},Table12[Native],Table12[Name]),2,0)</f>
        <v>Xīng Xiàn</v>
      </c>
      <c r="N81" s="13" t="str">
        <f>VLOOKUP(I81,CHOOSE({1,2},Table12[Native],Table12[Name]),2,0)</f>
        <v>Lǚliáng Shì</v>
      </c>
      <c r="O81" s="13" t="str">
        <f t="shared" si="2"/>
        <v>Caijiahui Zhen (Lǚliáng Shì)</v>
      </c>
      <c r="P81" s="13" t="str">
        <f t="shared" si="3"/>
        <v>Caijiahui Zhen (Lǚliáng Shì)</v>
      </c>
    </row>
    <row r="82" spans="1:16" hidden="1" x14ac:dyDescent="0.25">
      <c r="A82" t="s">
        <v>1430</v>
      </c>
      <c r="B82" t="str">
        <f>IF(COUNTIF(A:A,A82)&gt;1,_xlfn.CONCAT(A82," (",N82,")"),A82)</f>
        <v>Càijiāyá Xiāng</v>
      </c>
      <c r="C82" t="str">
        <f>IF(COUNTIF(B:B,B82)&gt;1,_xlfn.CONCAT(A82," (",M82,")"),B82)</f>
        <v>Càijiāyá Xiāng</v>
      </c>
      <c r="D82" t="s">
        <v>1431</v>
      </c>
      <c r="E82" t="s">
        <v>17</v>
      </c>
      <c r="F82" t="str">
        <f>_xlfn.CONCAT(D82,", ",H82,", ",I82,", ","山西省")</f>
        <v>蔡家崖乡, 兴县, 吕梁市, 山西省</v>
      </c>
      <c r="G82">
        <v>16036</v>
      </c>
      <c r="H82" t="s">
        <v>2958</v>
      </c>
      <c r="I82" t="s">
        <v>2946</v>
      </c>
      <c r="J82" t="e">
        <f>VLOOKUP(F82,[1]!china_towns_second__2[[Column1]:[Y]],3,FALSE)</f>
        <v>#N/A</v>
      </c>
      <c r="K82" t="e">
        <f>VLOOKUP(F82,[1]!china_towns_second__2[[Column1]:[Y]],2,FALSE)</f>
        <v>#N/A</v>
      </c>
      <c r="L82" t="s">
        <v>3665</v>
      </c>
      <c r="M82" t="str">
        <f>VLOOKUP(H82,CHOOSE({1,2},Table12[Native],Table12[Name]),2,0)</f>
        <v>Xīng Xiàn</v>
      </c>
      <c r="N82" s="13" t="str">
        <f>VLOOKUP(I82,CHOOSE({1,2},Table12[Native],Table12[Name]),2,0)</f>
        <v>Lǚliáng Shì</v>
      </c>
      <c r="O82" s="13" t="str">
        <f t="shared" si="2"/>
        <v>Caijiaya Xiang (Lǚliáng Shì)</v>
      </c>
      <c r="P82" s="13" t="str">
        <f t="shared" si="3"/>
        <v>Caijiaya Xiang (Lǚliáng Shì)</v>
      </c>
    </row>
    <row r="83" spans="1:16" hidden="1" x14ac:dyDescent="0.25">
      <c r="A83" t="s">
        <v>2498</v>
      </c>
      <c r="B83" t="str">
        <f>IF(COUNTIF(A:A,A83)&gt;1,_xlfn.CONCAT(A83," (",N83,")"),A83)</f>
        <v>Càiwā Jiēdào</v>
      </c>
      <c r="C83" t="str">
        <f>IF(COUNTIF(B:B,B83)&gt;1,_xlfn.CONCAT(A83," (",M83,")"),B83)</f>
        <v>Càiwā Jiēdào</v>
      </c>
      <c r="D83" t="s">
        <v>2499</v>
      </c>
      <c r="E83" t="s">
        <v>31</v>
      </c>
      <c r="F83" t="str">
        <f>_xlfn.CONCAT(D83,", ",H83,", ",I83,", ","山西省")</f>
        <v>蔡洼街道, 矿区, 阳泉市, 山西省</v>
      </c>
      <c r="G83">
        <v>41085</v>
      </c>
      <c r="H83" t="s">
        <v>2999</v>
      </c>
      <c r="I83" t="s">
        <v>2997</v>
      </c>
      <c r="J83">
        <f>VLOOKUP(F83,[1]!china_towns_second__2[[Column1]:[Y]],3,FALSE)</f>
        <v>37.866609467479499</v>
      </c>
      <c r="K83">
        <f>VLOOKUP(F83,[1]!china_towns_second__2[[Column1]:[Y]],2,FALSE)</f>
        <v>113.53864129999999</v>
      </c>
      <c r="L83" t="s">
        <v>3666</v>
      </c>
      <c r="M83" t="str">
        <f>VLOOKUP(H83,CHOOSE({1,2},Table12[Native],Table12[Name]),2,0)</f>
        <v>Kuàng Qū</v>
      </c>
      <c r="N83" s="13" t="str">
        <f>VLOOKUP(I83,CHOOSE({1,2},Table12[Native],Table12[Name]),2,0)</f>
        <v>Yángquán Shì</v>
      </c>
      <c r="O83" s="13" t="str">
        <f t="shared" si="2"/>
        <v>Caiwa Jiedao (Yángquán Shì)</v>
      </c>
      <c r="P83" s="13" t="str">
        <f t="shared" si="3"/>
        <v>Caiwa Jiedao (Yángquán Shì)</v>
      </c>
    </row>
    <row r="84" spans="1:16" hidden="1" x14ac:dyDescent="0.25">
      <c r="A84" t="s">
        <v>2598</v>
      </c>
      <c r="B84" t="str">
        <f>IF(COUNTIF(A:A,A84)&gt;1,_xlfn.CONCAT(A84," (",N84,")"),A84)</f>
        <v>Cáochuān Zhèn</v>
      </c>
      <c r="C84" t="str">
        <f>IF(COUNTIF(B:B,B84)&gt;1,_xlfn.CONCAT(A84," (",M84,")"),B84)</f>
        <v>Cáochuān Zhèn</v>
      </c>
      <c r="D84" t="s">
        <v>2599</v>
      </c>
      <c r="E84" t="s">
        <v>7</v>
      </c>
      <c r="F84" t="str">
        <f>_xlfn.CONCAT(D84,", ",H84,", ",I84,", ","山西省")</f>
        <v>曹川镇, 平陆县, 运城市, 山西省</v>
      </c>
      <c r="G84">
        <v>22100</v>
      </c>
      <c r="H84" t="s">
        <v>3008</v>
      </c>
      <c r="I84" t="s">
        <v>3003</v>
      </c>
      <c r="J84">
        <f>VLOOKUP(F84,[1]!china_towns_second__2[[Column1]:[Y]],3,FALSE)</f>
        <v>34.921932107282501</v>
      </c>
      <c r="K84">
        <f>VLOOKUP(F84,[1]!china_towns_second__2[[Column1]:[Y]],2,FALSE)</f>
        <v>111.5254779</v>
      </c>
      <c r="L84" t="s">
        <v>3667</v>
      </c>
      <c r="M84" t="str">
        <f>VLOOKUP(H84,CHOOSE({1,2},Table12[Native],Table12[Name]),2,0)</f>
        <v>Pínglù Xiàn</v>
      </c>
      <c r="N84" s="13" t="str">
        <f>VLOOKUP(I84,CHOOSE({1,2},Table12[Native],Table12[Name]),2,0)</f>
        <v>Yùnchéng Shì</v>
      </c>
      <c r="O84" s="13" t="str">
        <f t="shared" si="2"/>
        <v>Caochuan Zhen (Yùnchéng Shì)</v>
      </c>
      <c r="P84" s="13" t="str">
        <f t="shared" si="3"/>
        <v>Caochuan Zhen (Yùnchéng Shì)</v>
      </c>
    </row>
    <row r="85" spans="1:16" hidden="1" x14ac:dyDescent="0.25">
      <c r="A85" t="s">
        <v>1432</v>
      </c>
      <c r="B85" t="str">
        <f>IF(COUNTIF(A:A,A85)&gt;1,_xlfn.CONCAT(A85," (",N85,")"),A85)</f>
        <v>Cáojiāyuán Xiāng</v>
      </c>
      <c r="C85" t="str">
        <f>IF(COUNTIF(B:B,B85)&gt;1,_xlfn.CONCAT(A85," (",M85,")"),B85)</f>
        <v>Cáojiāyuán Xiāng</v>
      </c>
      <c r="D85" t="s">
        <v>1433</v>
      </c>
      <c r="E85" t="s">
        <v>17</v>
      </c>
      <c r="F85" t="str">
        <f>_xlfn.CONCAT(D85,", ",H85,", ",I85,", ","山西省")</f>
        <v>曹家垣乡, 石楼县, 吕梁市, 山西省</v>
      </c>
      <c r="G85">
        <v>6742</v>
      </c>
      <c r="H85" t="s">
        <v>2955</v>
      </c>
      <c r="I85" t="s">
        <v>2946</v>
      </c>
      <c r="J85" t="e">
        <f>VLOOKUP(F85,[1]!china_towns_second__2[[Column1]:[Y]],3,FALSE)</f>
        <v>#N/A</v>
      </c>
      <c r="K85" t="e">
        <f>VLOOKUP(F85,[1]!china_towns_second__2[[Column1]:[Y]],2,FALSE)</f>
        <v>#N/A</v>
      </c>
      <c r="L85" t="s">
        <v>3668</v>
      </c>
      <c r="M85" t="str">
        <f>VLOOKUP(H85,CHOOSE({1,2},Table12[Native],Table12[Name]),2,0)</f>
        <v>Shílóu Xiàn</v>
      </c>
      <c r="N85" s="13" t="str">
        <f>VLOOKUP(I85,CHOOSE({1,2},Table12[Native],Table12[Name]),2,0)</f>
        <v>Lǚliáng Shì</v>
      </c>
      <c r="O85" s="13" t="str">
        <f t="shared" si="2"/>
        <v>Caojiayuan Xiang (Lǚliáng Shì)</v>
      </c>
      <c r="P85" s="13" t="str">
        <f t="shared" si="3"/>
        <v>Caojiayuan Xiang (Lǚliáng Shì)</v>
      </c>
    </row>
    <row r="86" spans="1:16" hidden="1" x14ac:dyDescent="0.25">
      <c r="A86" t="s">
        <v>2117</v>
      </c>
      <c r="B86" t="str">
        <f>IF(COUNTIF(A:A,A86)&gt;1,_xlfn.CONCAT(A86," (",N86,")"),A86)</f>
        <v>Cáozhāng Xiāng</v>
      </c>
      <c r="C86" t="str">
        <f>IF(COUNTIF(B:B,B86)&gt;1,_xlfn.CONCAT(A86," (",M86,")"),B86)</f>
        <v>Cáozhāng Xiāng</v>
      </c>
      <c r="D86" t="s">
        <v>2118</v>
      </c>
      <c r="E86" t="s">
        <v>17</v>
      </c>
      <c r="F86" t="str">
        <f>_xlfn.CONCAT(D86,", ",H86,", ",I86,", ","山西省")</f>
        <v>曹张乡, 忻府区, 忻州市, 山西省</v>
      </c>
      <c r="G86">
        <v>18017</v>
      </c>
      <c r="H86" t="s">
        <v>2994</v>
      </c>
      <c r="I86" t="s">
        <v>2981</v>
      </c>
      <c r="J86" t="e">
        <f>VLOOKUP(F86,[1]!china_towns_second__2[[Column1]:[Y]],3,FALSE)</f>
        <v>#N/A</v>
      </c>
      <c r="K86" t="e">
        <f>VLOOKUP(F86,[1]!china_towns_second__2[[Column1]:[Y]],2,FALSE)</f>
        <v>#N/A</v>
      </c>
      <c r="L86" t="s">
        <v>3669</v>
      </c>
      <c r="M86" t="str">
        <f>VLOOKUP(H86,CHOOSE({1,2},Table12[Native],Table12[Name]),2,0)</f>
        <v>Xīnfŭ Qū</v>
      </c>
      <c r="N86" s="13" t="str">
        <f>VLOOKUP(I86,CHOOSE({1,2},Table12[Native],Table12[Name]),2,0)</f>
        <v>Xīnzhōu Shì</v>
      </c>
      <c r="O86" s="13" t="str">
        <f t="shared" si="2"/>
        <v>Caozhang Xiang (Xīnzhōu Shì)</v>
      </c>
      <c r="P86" s="13" t="str">
        <f t="shared" si="3"/>
        <v>Caozhang Xiang (Xīnzhōu Shì)</v>
      </c>
    </row>
    <row r="87" spans="1:16" hidden="1" x14ac:dyDescent="0.25">
      <c r="A87" t="s">
        <v>26</v>
      </c>
      <c r="B87" t="str">
        <f>IF(COUNTIF(A:A,A87)&gt;1,_xlfn.CONCAT(A87," (",N87,")"),A87)</f>
        <v>Cècūn Zhèn</v>
      </c>
      <c r="C87" t="str">
        <f>IF(COUNTIF(B:B,B87)&gt;1,_xlfn.CONCAT(A87," (",M87,")"),B87)</f>
        <v>Cècūn Zhèn</v>
      </c>
      <c r="D87" t="s">
        <v>27</v>
      </c>
      <c r="E87" t="s">
        <v>7</v>
      </c>
      <c r="F87" t="str">
        <f>_xlfn.CONCAT(D87,", ",H87,", ",I87,", ","山西省")</f>
        <v>册村镇, 沁县, 长治市, 山西省</v>
      </c>
      <c r="G87">
        <v>13184</v>
      </c>
      <c r="H87" t="s">
        <v>2887</v>
      </c>
      <c r="I87" t="s">
        <v>2878</v>
      </c>
      <c r="J87">
        <f>VLOOKUP(F87,[1]!china_towns_second__2[[Column1]:[Y]],3,FALSE)</f>
        <v>36.691258347739797</v>
      </c>
      <c r="K87">
        <f>VLOOKUP(F87,[1]!china_towns_second__2[[Column1]:[Y]],2,FALSE)</f>
        <v>112.5591417</v>
      </c>
      <c r="L87" t="s">
        <v>3670</v>
      </c>
      <c r="M87" t="str">
        <f>VLOOKUP(H87,CHOOSE({1,2},Table12[Native],Table12[Name]),2,0)</f>
        <v>Qìn Xiàn</v>
      </c>
      <c r="N87" s="13" t="str">
        <f>VLOOKUP(I87,CHOOSE({1,2},Table12[Native],Table12[Name]),2,0)</f>
        <v>Chángzhì Shì</v>
      </c>
      <c r="O87" s="13" t="str">
        <f t="shared" si="2"/>
        <v>Cecun Zhen (Chángzhì Shì)</v>
      </c>
      <c r="P87" s="13" t="str">
        <f t="shared" si="3"/>
        <v>Cecun Zhen (Chángzhì Shì)</v>
      </c>
    </row>
    <row r="88" spans="1:16" hidden="1" x14ac:dyDescent="0.25">
      <c r="A88" t="s">
        <v>2119</v>
      </c>
      <c r="B88" t="str">
        <f>IF(COUNTIF(A:A,A88)&gt;1,_xlfn.CONCAT(A88," (",N88,")"),A88)</f>
        <v>Cénshān Xiāng</v>
      </c>
      <c r="C88" t="str">
        <f>IF(COUNTIF(B:B,B88)&gt;1,_xlfn.CONCAT(A88," (",M88,")"),B88)</f>
        <v>Cénshān Xiāng</v>
      </c>
      <c r="D88" t="s">
        <v>2120</v>
      </c>
      <c r="E88" t="s">
        <v>17</v>
      </c>
      <c r="F88" t="str">
        <f>_xlfn.CONCAT(D88,", ",H88,", ",I88,", ","山西省")</f>
        <v>涔山乡, 宁武县, 忻州市, 山西省</v>
      </c>
      <c r="G88">
        <v>3574</v>
      </c>
      <c r="H88" t="s">
        <v>2989</v>
      </c>
      <c r="I88" t="s">
        <v>2981</v>
      </c>
      <c r="J88" t="e">
        <f>VLOOKUP(F88,[1]!china_towns_second__2[[Column1]:[Y]],3,FALSE)</f>
        <v>#N/A</v>
      </c>
      <c r="K88" t="e">
        <f>VLOOKUP(F88,[1]!china_towns_second__2[[Column1]:[Y]],2,FALSE)</f>
        <v>#N/A</v>
      </c>
      <c r="L88" t="s">
        <v>3671</v>
      </c>
      <c r="M88" t="str">
        <f>VLOOKUP(H88,CHOOSE({1,2},Table12[Native],Table12[Name]),2,0)</f>
        <v>Níngwŭ Xiàn</v>
      </c>
      <c r="N88" s="13" t="str">
        <f>VLOOKUP(I88,CHOOSE({1,2},Table12[Native],Table12[Name]),2,0)</f>
        <v>Xīnzhōu Shì</v>
      </c>
      <c r="O88" s="13" t="str">
        <f t="shared" si="2"/>
        <v>Censhan Xiang (Xīnzhōu Shì)</v>
      </c>
      <c r="P88" s="13" t="str">
        <f t="shared" si="3"/>
        <v>Censhan Xiang (Xīnzhōu Shì)</v>
      </c>
    </row>
    <row r="89" spans="1:16" hidden="1" x14ac:dyDescent="0.25">
      <c r="A89" t="s">
        <v>1899</v>
      </c>
      <c r="B89" t="str">
        <f>IF(COUNTIF(A:A,A89)&gt;1,_xlfn.CONCAT(A89," (",N89,")"),A89)</f>
        <v>Cháicūn Jiēdào</v>
      </c>
      <c r="C89" t="str">
        <f>IF(COUNTIF(B:B,B89)&gt;1,_xlfn.CONCAT(A89," (",M89,")"),B89)</f>
        <v>Cháicūn Jiēdào</v>
      </c>
      <c r="D89" t="s">
        <v>1900</v>
      </c>
      <c r="E89" t="s">
        <v>31</v>
      </c>
      <c r="F89" t="str">
        <f>_xlfn.CONCAT(D89,", ",H89,", ",I89,", ","山西省")</f>
        <v>柴村街道, 尖草坪区, 太原市, 山西省</v>
      </c>
      <c r="G89">
        <v>40143</v>
      </c>
      <c r="H89" t="s">
        <v>2971</v>
      </c>
      <c r="I89" t="s">
        <v>2969</v>
      </c>
      <c r="J89">
        <f>VLOOKUP(F89,[1]!china_towns_second__2[[Column1]:[Y]],3,FALSE)</f>
        <v>37.945216813406802</v>
      </c>
      <c r="K89">
        <f>VLOOKUP(F89,[1]!china_towns_second__2[[Column1]:[Y]],2,FALSE)</f>
        <v>112.46996799999999</v>
      </c>
      <c r="L89" t="s">
        <v>3672</v>
      </c>
      <c r="M89" t="str">
        <f>VLOOKUP(H89,CHOOSE({1,2},Table12[Native],Table12[Name]),2,0)</f>
        <v>Jiāncăopíng Qū</v>
      </c>
      <c r="N89" s="13" t="str">
        <f>VLOOKUP(I89,CHOOSE({1,2},Table12[Native],Table12[Name]),2,0)</f>
        <v>Tàiyuán Shì</v>
      </c>
      <c r="O89" s="13" t="str">
        <f t="shared" si="2"/>
        <v>Chaicun Jiedao (Tàiyuán Shì)</v>
      </c>
      <c r="P89" s="13" t="str">
        <f t="shared" si="3"/>
        <v>Chaicun Jiedao (Tàiyuán Shì)</v>
      </c>
    </row>
    <row r="90" spans="1:16" hidden="1" x14ac:dyDescent="0.25">
      <c r="A90" t="s">
        <v>2600</v>
      </c>
      <c r="B90" t="str">
        <f>IF(COUNTIF(A:A,A90)&gt;1,_xlfn.CONCAT(A90," (",N90,")"),A90)</f>
        <v>Cháijiā Zhèn</v>
      </c>
      <c r="C90" t="str">
        <f>IF(COUNTIF(B:B,B90)&gt;1,_xlfn.CONCAT(A90," (",M90,")"),B90)</f>
        <v>Cháijiā Zhèn</v>
      </c>
      <c r="D90" t="s">
        <v>2601</v>
      </c>
      <c r="E90" t="s">
        <v>7</v>
      </c>
      <c r="F90" t="str">
        <f>_xlfn.CONCAT(D90,", ",H90,", ",I90,", ","山西省")</f>
        <v>柴家镇, 河津市, 运城市, 山西省</v>
      </c>
      <c r="G90">
        <v>29071</v>
      </c>
      <c r="H90" t="s">
        <v>3004</v>
      </c>
      <c r="I90" t="s">
        <v>3003</v>
      </c>
      <c r="J90">
        <f>VLOOKUP(F90,[1]!china_towns_second__2[[Column1]:[Y]],3,FALSE)</f>
        <v>35.540509320845104</v>
      </c>
      <c r="K90">
        <f>VLOOKUP(F90,[1]!china_towns_second__2[[Column1]:[Y]],2,FALSE)</f>
        <v>110.7683778</v>
      </c>
      <c r="L90" t="s">
        <v>3673</v>
      </c>
      <c r="M90" t="str">
        <f>VLOOKUP(H90,CHOOSE({1,2},Table12[Native],Table12[Name]),2,0)</f>
        <v>Héjīn Shì</v>
      </c>
      <c r="N90" s="13" t="str">
        <f>VLOOKUP(I90,CHOOSE({1,2},Table12[Native],Table12[Name]),2,0)</f>
        <v>Yùnchéng Shì</v>
      </c>
      <c r="O90" s="13" t="str">
        <f t="shared" si="2"/>
        <v>Chaijia Zhen (Yùnchéng Shì)</v>
      </c>
      <c r="P90" s="13" t="str">
        <f t="shared" si="3"/>
        <v>Chaijia Zhen (Yùnchéng Shì)</v>
      </c>
    </row>
    <row r="91" spans="1:16" hidden="1" x14ac:dyDescent="0.25">
      <c r="A91" t="s">
        <v>1901</v>
      </c>
      <c r="B91" t="str">
        <f>IF(COUNTIF(A:A,A91)&gt;1,_xlfn.CONCAT(A91," (",N91,")"),A91)</f>
        <v>Chàkŏu Xiāng (Tàiyuán Shì)</v>
      </c>
      <c r="C91" t="str">
        <f>IF(COUNTIF(B:B,B91)&gt;1,_xlfn.CONCAT(A91," (",M91,")"),B91)</f>
        <v>Chàkŏu Xiāng (Tàiyuán Shì)</v>
      </c>
      <c r="D91" t="s">
        <v>1902</v>
      </c>
      <c r="E91" t="s">
        <v>17</v>
      </c>
      <c r="F91" t="str">
        <f>_xlfn.CONCAT(D91,", ",H91,", ",I91,", ","山西省")</f>
        <v>岔口乡, 古交市, 太原市, 山西省</v>
      </c>
      <c r="G91">
        <v>6629</v>
      </c>
      <c r="H91" t="s">
        <v>2970</v>
      </c>
      <c r="I91" t="s">
        <v>2969</v>
      </c>
      <c r="J91" t="e">
        <f>VLOOKUP(F91,[1]!china_towns_second__2[[Column1]:[Y]],3,FALSE)</f>
        <v>#N/A</v>
      </c>
      <c r="K91" t="e">
        <f>VLOOKUP(F91,[1]!china_towns_second__2[[Column1]:[Y]],2,FALSE)</f>
        <v>#N/A</v>
      </c>
      <c r="L91" t="s">
        <v>3674</v>
      </c>
      <c r="M91" t="str">
        <f>VLOOKUP(H91,CHOOSE({1,2},Table12[Native],Table12[Name]),2,0)</f>
        <v>Gŭjiāo Shì</v>
      </c>
      <c r="N91" s="13" t="str">
        <f>VLOOKUP(I91,CHOOSE({1,2},Table12[Native],Table12[Name]),2,0)</f>
        <v>Tàiyuán Shì</v>
      </c>
      <c r="O91" s="13" t="str">
        <f t="shared" si="2"/>
        <v>Chakou Xiang (Taiyuan Shi) (Tàiyuán Shì)</v>
      </c>
      <c r="P91" s="13" t="str">
        <f t="shared" si="3"/>
        <v>Chakou Xiang (Taiyuan Shi) (Tàiyuán Shì)</v>
      </c>
    </row>
    <row r="92" spans="1:16" hidden="1" x14ac:dyDescent="0.25">
      <c r="A92" t="s">
        <v>1901</v>
      </c>
      <c r="B92" t="str">
        <f>IF(COUNTIF(A:A,A92)&gt;1,_xlfn.CONCAT(A92," (",N92,")"),A92)</f>
        <v>Chàkŏu Xiāng (Yángquán Shì)</v>
      </c>
      <c r="C92" t="str">
        <f>IF(COUNTIF(B:B,B92)&gt;1,_xlfn.CONCAT(A92," (",M92,")"),B92)</f>
        <v>Chàkŏu Xiāng (Yángquán Shì)</v>
      </c>
      <c r="D92" t="s">
        <v>1902</v>
      </c>
      <c r="E92" t="s">
        <v>17</v>
      </c>
      <c r="F92" t="str">
        <f>_xlfn.CONCAT(D92,", ",H92,", ",I92,", ","山西省")</f>
        <v>岔口乡, 平定县, 阳泉市, 山西省</v>
      </c>
      <c r="G92">
        <v>19372</v>
      </c>
      <c r="H92" t="s">
        <v>3000</v>
      </c>
      <c r="I92" t="s">
        <v>2997</v>
      </c>
      <c r="J92" t="e">
        <f>VLOOKUP(F92,[1]!china_towns_second__2[[Column1]:[Y]],3,FALSE)</f>
        <v>#N/A</v>
      </c>
      <c r="K92" t="e">
        <f>VLOOKUP(F92,[1]!china_towns_second__2[[Column1]:[Y]],2,FALSE)</f>
        <v>#N/A</v>
      </c>
      <c r="L92" t="s">
        <v>3675</v>
      </c>
      <c r="M92" t="str">
        <f>VLOOKUP(H92,CHOOSE({1,2},Table12[Native],Table12[Name]),2,0)</f>
        <v>Píngdìng Xiàn</v>
      </c>
      <c r="N92" s="13" t="str">
        <f>VLOOKUP(I92,CHOOSE({1,2},Table12[Native],Table12[Name]),2,0)</f>
        <v>Yángquán Shì</v>
      </c>
      <c r="O92" s="13" t="str">
        <f t="shared" si="2"/>
        <v>Chakou Xiang (Yangquan Shi) (Yángquán Shì)</v>
      </c>
      <c r="P92" s="13" t="str">
        <f t="shared" si="3"/>
        <v>Chakou Xiang (Yangquan Shi) (Yángquán Shì)</v>
      </c>
    </row>
    <row r="93" spans="1:16" hidden="1" x14ac:dyDescent="0.25">
      <c r="A93" t="s">
        <v>1904</v>
      </c>
      <c r="B93" t="str">
        <f>IF(COUNTIF(A:A,A93)&gt;1,_xlfn.CONCAT(A93," (",N93,")"),A93)</f>
        <v>Cháng'ān Xiāng</v>
      </c>
      <c r="C93" t="str">
        <f>IF(COUNTIF(B:B,B93)&gt;1,_xlfn.CONCAT(A93," (",M93,")"),B93)</f>
        <v>Cháng'ān Xiāng</v>
      </c>
      <c r="D93" t="s">
        <v>1905</v>
      </c>
      <c r="E93" t="s">
        <v>17</v>
      </c>
      <c r="F93" t="str">
        <f>_xlfn.CONCAT(D93,", ",H93,", ",I93,", ","山西省")</f>
        <v>常安乡, 古交市, 太原市, 山西省</v>
      </c>
      <c r="G93">
        <v>6123</v>
      </c>
      <c r="H93" t="s">
        <v>2970</v>
      </c>
      <c r="I93" t="s">
        <v>2969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3676</v>
      </c>
      <c r="M93" t="str">
        <f>VLOOKUP(H93,CHOOSE({1,2},Table12[Native],Table12[Name]),2,0)</f>
        <v>Gŭjiāo Shì</v>
      </c>
      <c r="N93" s="13" t="str">
        <f>VLOOKUP(I93,CHOOSE({1,2},Table12[Native],Table12[Name]),2,0)</f>
        <v>Tàiyuán Shì</v>
      </c>
      <c r="O93" s="13" t="str">
        <f t="shared" si="2"/>
        <v>Chang'an Xiang (Tàiyuán Shì)</v>
      </c>
      <c r="P93" s="13" t="str">
        <f t="shared" si="3"/>
        <v>Chang'an Xiang (Tàiyuán Shì)</v>
      </c>
    </row>
    <row r="94" spans="1:16" hidden="1" x14ac:dyDescent="0.25">
      <c r="A94" t="s">
        <v>29</v>
      </c>
      <c r="B94" t="str">
        <f>IF(COUNTIF(A:A,A94)&gt;1,_xlfn.CONCAT(A94," (",N94,")"),A94)</f>
        <v>Chángbĕi Jiēdào</v>
      </c>
      <c r="C94" t="str">
        <f>IF(COUNTIF(B:B,B94)&gt;1,_xlfn.CONCAT(A94," (",M94,")"),B94)</f>
        <v>Chángbĕi Jiēdào</v>
      </c>
      <c r="D94" t="s">
        <v>30</v>
      </c>
      <c r="E94" t="s">
        <v>31</v>
      </c>
      <c r="F94" t="str">
        <f>_xlfn.CONCAT(D94,", ",H94,", ",I94,", ","山西省")</f>
        <v>长北街道, 潞州区, 长治市, 山西省</v>
      </c>
      <c r="G94">
        <v>25687</v>
      </c>
      <c r="H94" t="s">
        <v>2885</v>
      </c>
      <c r="I94" t="s">
        <v>2878</v>
      </c>
      <c r="J94">
        <f>VLOOKUP(F94,[1]!china_towns_second__2[[Column1]:[Y]],3,FALSE)</f>
        <v>36.281834531778799</v>
      </c>
      <c r="K94">
        <f>VLOOKUP(F94,[1]!china_towns_second__2[[Column1]:[Y]],2,FALSE)</f>
        <v>113.0590969</v>
      </c>
      <c r="L94" t="s">
        <v>3677</v>
      </c>
      <c r="M94" t="str">
        <f>VLOOKUP(H94,CHOOSE({1,2},Table12[Native],Table12[Name]),2,0)</f>
        <v>Lùzhōu Qū</v>
      </c>
      <c r="N94" s="13" t="str">
        <f>VLOOKUP(I94,CHOOSE({1,2},Table12[Native],Table12[Name]),2,0)</f>
        <v>Chángzhì Shì</v>
      </c>
      <c r="O94" s="13" t="str">
        <f t="shared" si="2"/>
        <v>Changbei Jiedao (Chángzhì Shì)</v>
      </c>
      <c r="P94" s="13" t="str">
        <f t="shared" si="3"/>
        <v>Changbei Jiedao (Chángzhì Shì)</v>
      </c>
    </row>
    <row r="95" spans="1:16" hidden="1" x14ac:dyDescent="0.25">
      <c r="A95" t="s">
        <v>348</v>
      </c>
      <c r="B95" t="str">
        <f>IF(COUNTIF(A:A,A95)&gt;1,_xlfn.CONCAT(A95," (",N95,")"),A95)</f>
        <v>Chángchéng Xiāng</v>
      </c>
      <c r="C95" t="str">
        <f>IF(COUNTIF(B:B,B95)&gt;1,_xlfn.CONCAT(A95," (",M95,")"),B95)</f>
        <v>Chángchéng Xiāng</v>
      </c>
      <c r="D95" t="s">
        <v>349</v>
      </c>
      <c r="E95" t="s">
        <v>17</v>
      </c>
      <c r="F95" t="str">
        <f>_xlfn.CONCAT(D95,", ",H95,", ",I95,", ","山西省")</f>
        <v>长城乡, 阳高县, 大同市, 山西省</v>
      </c>
      <c r="G95">
        <v>5329</v>
      </c>
      <c r="H95" t="s">
        <v>2901</v>
      </c>
      <c r="I95" t="s">
        <v>2894</v>
      </c>
      <c r="J95" t="e">
        <f>VLOOKUP(F95,[1]!china_towns_second__2[[Column1]:[Y]],3,FALSE)</f>
        <v>#N/A</v>
      </c>
      <c r="K95" t="e">
        <f>VLOOKUP(F95,[1]!china_towns_second__2[[Column1]:[Y]],2,FALSE)</f>
        <v>#N/A</v>
      </c>
      <c r="L95" t="s">
        <v>3678</v>
      </c>
      <c r="M95" t="str">
        <f>VLOOKUP(H95,CHOOSE({1,2},Table12[Native],Table12[Name]),2,0)</f>
        <v>Yánggāo Xiàn</v>
      </c>
      <c r="N95" s="13" t="str">
        <f>VLOOKUP(I95,CHOOSE({1,2},Table12[Native],Table12[Name]),2,0)</f>
        <v>Dàtóng Shì</v>
      </c>
      <c r="O95" s="13" t="str">
        <f t="shared" si="2"/>
        <v>Changcheng Xiang (Dàtóng Shì)</v>
      </c>
      <c r="P95" s="13" t="str">
        <f t="shared" si="3"/>
        <v>Changcheng Xiang (Dàtóng Shì)</v>
      </c>
    </row>
    <row r="96" spans="1:16" hidden="1" x14ac:dyDescent="0.25">
      <c r="A96" t="s">
        <v>2501</v>
      </c>
      <c r="B96" t="str">
        <f>IF(COUNTIF(A:A,A96)&gt;1,_xlfn.CONCAT(A96," (",N96,")"),A96)</f>
        <v>Chángchí Zhèn</v>
      </c>
      <c r="C96" t="str">
        <f>IF(COUNTIF(B:B,B96)&gt;1,_xlfn.CONCAT(A96," (",M96,")"),B96)</f>
        <v>Chángchí Zhèn</v>
      </c>
      <c r="D96" t="s">
        <v>2502</v>
      </c>
      <c r="E96" t="s">
        <v>7</v>
      </c>
      <c r="F96" t="str">
        <f>_xlfn.CONCAT(D96,", ",H96,", ",I96,", ","山西省")</f>
        <v>苌池镇, 盂县, 阳泉市, 山西省</v>
      </c>
      <c r="G96">
        <v>24238</v>
      </c>
      <c r="H96" t="s">
        <v>3001</v>
      </c>
      <c r="I96" t="s">
        <v>2997</v>
      </c>
      <c r="J96">
        <f>VLOOKUP(F96,[1]!china_towns_second__2[[Column1]:[Y]],3,FALSE)</f>
        <v>38.181637417495402</v>
      </c>
      <c r="K96">
        <f>VLOOKUP(F96,[1]!china_towns_second__2[[Column1]:[Y]],2,FALSE)</f>
        <v>113.3139082</v>
      </c>
      <c r="L96" t="s">
        <v>3679</v>
      </c>
      <c r="M96" t="str">
        <f>VLOOKUP(H96,CHOOSE({1,2},Table12[Native],Table12[Name]),2,0)</f>
        <v>Yú Xiàn</v>
      </c>
      <c r="N96" s="13" t="str">
        <f>VLOOKUP(I96,CHOOSE({1,2},Table12[Native],Table12[Name]),2,0)</f>
        <v>Yángquán Shì</v>
      </c>
      <c r="O96" s="13" t="str">
        <f t="shared" si="2"/>
        <v>Changchi Zhen (Yángquán Shì)</v>
      </c>
      <c r="P96" s="13" t="str">
        <f t="shared" si="3"/>
        <v>Changchi Zhen (Yángquán Shì)</v>
      </c>
    </row>
    <row r="97" spans="1:16" hidden="1" x14ac:dyDescent="0.25">
      <c r="A97" t="s">
        <v>1906</v>
      </c>
      <c r="B97" t="str">
        <f>IF(COUNTIF(A:A,A97)&gt;1,_xlfn.CONCAT(A97," (",N97,")"),A97)</f>
        <v>Chángfēng Xījiē Jiēdào</v>
      </c>
      <c r="C97" t="str">
        <f>IF(COUNTIF(B:B,B97)&gt;1,_xlfn.CONCAT(A97," (",M97,")"),B97)</f>
        <v>Chángfēng Xījiē Jiēdào</v>
      </c>
      <c r="D97" t="s">
        <v>1907</v>
      </c>
      <c r="E97" t="s">
        <v>31</v>
      </c>
      <c r="F97" t="str">
        <f>_xlfn.CONCAT(D97,", ",H97,", ",I97,", ","山西省")</f>
        <v>长风西街街道, 万柏林区, 太原市, 山西省</v>
      </c>
      <c r="G97">
        <v>82649</v>
      </c>
      <c r="H97" t="s">
        <v>2975</v>
      </c>
      <c r="I97" t="s">
        <v>2969</v>
      </c>
      <c r="J97">
        <f>VLOOKUP(F97,[1]!china_towns_second__2[[Column1]:[Y]],3,FALSE)</f>
        <v>37.822888332429102</v>
      </c>
      <c r="K97">
        <f>VLOOKUP(F97,[1]!china_towns_second__2[[Column1]:[Y]],2,FALSE)</f>
        <v>112.5187198</v>
      </c>
      <c r="L97" t="s">
        <v>3680</v>
      </c>
      <c r="M97" t="str">
        <f>VLOOKUP(H97,CHOOSE({1,2},Table12[Native],Table12[Name]),2,0)</f>
        <v>Wànbǎilín Qū</v>
      </c>
      <c r="N97" s="13" t="str">
        <f>VLOOKUP(I97,CHOOSE({1,2},Table12[Native],Table12[Name]),2,0)</f>
        <v>Tàiyuán Shì</v>
      </c>
      <c r="O97" s="13" t="str">
        <f t="shared" si="2"/>
        <v>Changfeng Xijie Jiedao (Tàiyuán Shì)</v>
      </c>
      <c r="P97" s="13" t="str">
        <f t="shared" si="3"/>
        <v>Changfeng Xijie Jiedao (Tàiyuán Shì)</v>
      </c>
    </row>
    <row r="98" spans="1:16" hidden="1" x14ac:dyDescent="0.25">
      <c r="A98" t="s">
        <v>2603</v>
      </c>
      <c r="B98" t="str">
        <f>IF(COUNTIF(A:A,A98)&gt;1,_xlfn.CONCAT(A98," (",N98,")"),A98)</f>
        <v>Chánglè Zhèn</v>
      </c>
      <c r="C98" t="str">
        <f>IF(COUNTIF(B:B,B98)&gt;1,_xlfn.CONCAT(A98," (",M98,")"),B98)</f>
        <v>Chánglè Zhèn</v>
      </c>
      <c r="D98" t="s">
        <v>2604</v>
      </c>
      <c r="E98" t="s">
        <v>7</v>
      </c>
      <c r="F98" t="str">
        <f>_xlfn.CONCAT(D98,", ",H98,", ",I98,", ","山西省")</f>
        <v>常乐镇, 平陆县, 运城市, 山西省</v>
      </c>
      <c r="G98">
        <v>45114</v>
      </c>
      <c r="H98" t="s">
        <v>3008</v>
      </c>
      <c r="I98" t="s">
        <v>3003</v>
      </c>
      <c r="J98">
        <f>VLOOKUP(F98,[1]!china_towns_second__2[[Column1]:[Y]],3,FALSE)</f>
        <v>34.802704263479001</v>
      </c>
      <c r="K98">
        <f>VLOOKUP(F98,[1]!china_towns_second__2[[Column1]:[Y]],2,FALSE)</f>
        <v>110.9971226</v>
      </c>
      <c r="L98" t="s">
        <v>3681</v>
      </c>
      <c r="M98" t="str">
        <f>VLOOKUP(H98,CHOOSE({1,2},Table12[Native],Table12[Name]),2,0)</f>
        <v>Pínglù Xiàn</v>
      </c>
      <c r="N98" s="13" t="str">
        <f>VLOOKUP(I98,CHOOSE({1,2},Table12[Native],Table12[Name]),2,0)</f>
        <v>Yùnchéng Shì</v>
      </c>
      <c r="O98" s="13" t="str">
        <f t="shared" si="2"/>
        <v>Changle Zhen (Yùnchéng Shì)</v>
      </c>
      <c r="P98" s="13" t="str">
        <f t="shared" si="3"/>
        <v>Changle Zhen (Yùnchéng Shì)</v>
      </c>
    </row>
    <row r="99" spans="1:16" hidden="1" x14ac:dyDescent="0.25">
      <c r="A99" t="s">
        <v>2122</v>
      </c>
      <c r="B99" t="str">
        <f>IF(COUNTIF(A:A,A99)&gt;1,_xlfn.CONCAT(A99," (",N99,")"),A99)</f>
        <v>Chángliánggōu Zhèn</v>
      </c>
      <c r="C99" t="str">
        <f>IF(COUNTIF(B:B,B99)&gt;1,_xlfn.CONCAT(A99," (",M99,")"),B99)</f>
        <v>Chángliánggōu Zhèn</v>
      </c>
      <c r="D99" t="s">
        <v>2123</v>
      </c>
      <c r="E99" t="s">
        <v>7</v>
      </c>
      <c r="F99" t="str">
        <f>_xlfn.CONCAT(D99,", ",H99,", ",I99,", ","山西省")</f>
        <v>长梁沟镇, 原平市, 忻州市, 山西省</v>
      </c>
      <c r="G99">
        <v>16683</v>
      </c>
      <c r="H99" t="s">
        <v>2995</v>
      </c>
      <c r="I99" t="s">
        <v>2981</v>
      </c>
      <c r="J99">
        <f>VLOOKUP(F99,[1]!china_towns_second__2[[Column1]:[Y]],3,FALSE)</f>
        <v>38.800211661754403</v>
      </c>
      <c r="K99">
        <f>VLOOKUP(F99,[1]!china_towns_second__2[[Column1]:[Y]],2,FALSE)</f>
        <v>112.3599528</v>
      </c>
      <c r="L99" t="s">
        <v>3682</v>
      </c>
      <c r="M99" t="str">
        <f>VLOOKUP(H99,CHOOSE({1,2},Table12[Native],Table12[Name]),2,0)</f>
        <v>Yuánpíng Shì</v>
      </c>
      <c r="N99" s="13" t="str">
        <f>VLOOKUP(I99,CHOOSE({1,2},Table12[Native],Table12[Name]),2,0)</f>
        <v>Xīnzhōu Shì</v>
      </c>
      <c r="O99" s="13" t="str">
        <f t="shared" si="2"/>
        <v>Changlianggou Zhen (Xīnzhōu Shì)</v>
      </c>
      <c r="P99" s="13" t="str">
        <f t="shared" si="3"/>
        <v>Changlianggou Zhen (Xīnzhōu Shì)</v>
      </c>
    </row>
    <row r="100" spans="1:16" x14ac:dyDescent="0.25">
      <c r="A100" t="s">
        <v>803</v>
      </c>
      <c r="B100" t="str">
        <f>IF(COUNTIF(A:A,A100)&gt;1,_xlfn.CONCAT(A100," (",N100,")"),A100)</f>
        <v>Chángníng Zhèn</v>
      </c>
      <c r="C100" t="str">
        <f>IF(COUNTIF(B:B,B100)&gt;1,_xlfn.CONCAT(A100," (",M100,")"),B100)</f>
        <v>Chángníng Zhèn</v>
      </c>
      <c r="D100" t="s">
        <v>804</v>
      </c>
      <c r="E100" t="s">
        <v>7</v>
      </c>
      <c r="F100" t="str">
        <f>_xlfn.CONCAT(D100,", ",H100,", ",I100,", ","山西省")</f>
        <v>长凝镇, 榆次区, 晋中市, 山西省</v>
      </c>
      <c r="G100">
        <v>9477</v>
      </c>
      <c r="H100" t="s">
        <v>2923</v>
      </c>
      <c r="I100" t="s">
        <v>2914</v>
      </c>
      <c r="J100">
        <f>VLOOKUP(F100,[1]!china_towns_second__2[[Column1]:[Y]],3,FALSE)</f>
        <v>37.550645809880997</v>
      </c>
      <c r="K100">
        <f>VLOOKUP(F100,[1]!china_towns_second__2[[Column1]:[Y]],2,FALSE)</f>
        <v>112.9915882</v>
      </c>
      <c r="L100" t="s">
        <v>3683</v>
      </c>
      <c r="M100" t="str">
        <f>VLOOKUP(H100,CHOOSE({1,2},Table12[Native],Table12[Name]),2,0)</f>
        <v>Yúcì Qū</v>
      </c>
      <c r="N100" s="13" t="str">
        <f>VLOOKUP(I100,CHOOSE({1,2},Table12[Native],Table12[Name]),2,0)</f>
        <v>Jìnzhōng Shì</v>
      </c>
      <c r="O100" s="13" t="str">
        <f t="shared" si="2"/>
        <v>Changning Zhen (Jìnzhōng Shì)</v>
      </c>
      <c r="P100" s="13" t="str">
        <f t="shared" si="3"/>
        <v>Changning Zhen (Jìnzhōng Shì)</v>
      </c>
    </row>
    <row r="101" spans="1:16" x14ac:dyDescent="0.25">
      <c r="A101" t="s">
        <v>1088</v>
      </c>
      <c r="B101" t="str">
        <f>IF(COUNTIF(A:A,A101)&gt;1,_xlfn.CONCAT(A101," (",N101,")"),A101)</f>
        <v>Chāngníng Zhèn</v>
      </c>
      <c r="C101" t="str">
        <f>IF(COUNTIF(B:B,B101)&gt;1,_xlfn.CONCAT(A101," (",M101,")"),B101)</f>
        <v>Chāngníng Zhèn</v>
      </c>
      <c r="D101" t="s">
        <v>1089</v>
      </c>
      <c r="E101" t="s">
        <v>7</v>
      </c>
      <c r="F101" t="str">
        <f>_xlfn.CONCAT(D101,", ",H101,", ",I101,", ","山西省")</f>
        <v>昌宁镇, 乡宁县, 临汾市, 山西省</v>
      </c>
      <c r="G101">
        <v>68812</v>
      </c>
      <c r="H101" t="s">
        <v>2940</v>
      </c>
      <c r="I101" t="s">
        <v>2927</v>
      </c>
      <c r="J101">
        <f>VLOOKUP(F101,[1]!china_towns_second__2[[Column1]:[Y]],3,FALSE)</f>
        <v>35.978703824866997</v>
      </c>
      <c r="K101">
        <f>VLOOKUP(F101,[1]!china_towns_second__2[[Column1]:[Y]],2,FALSE)</f>
        <v>110.7983442</v>
      </c>
      <c r="L101" t="s">
        <v>3683</v>
      </c>
      <c r="M101" t="str">
        <f>VLOOKUP(H101,CHOOSE({1,2},Table12[Native],Table12[Name]),2,0)</f>
        <v>Xiāngníng Xiàn</v>
      </c>
      <c r="N101" s="13" t="str">
        <f>VLOOKUP(I101,CHOOSE({1,2},Table12[Native],Table12[Name]),2,0)</f>
        <v>Línfén Shì</v>
      </c>
      <c r="O101" s="13" t="str">
        <f t="shared" si="2"/>
        <v>Changning Zhen (Línfén Shì)</v>
      </c>
      <c r="P101" s="13" t="str">
        <f t="shared" si="3"/>
        <v>Changning Zhen (Línfén Shì)</v>
      </c>
    </row>
    <row r="102" spans="1:16" hidden="1" x14ac:dyDescent="0.25">
      <c r="A102" t="s">
        <v>33</v>
      </c>
      <c r="B102" t="str">
        <f>IF(COUNTIF(A:A,A102)&gt;1,_xlfn.CONCAT(A102," (",N102,")"),A102)</f>
        <v>Chángpíng Kāifāqū [Changping Economic Development Zone]</v>
      </c>
      <c r="C102" t="str">
        <f>IF(COUNTIF(B:B,B102)&gt;1,_xlfn.CONCAT(A102," (",M102,")"),B102)</f>
        <v>Chángpíng Kāifāqū [Changping Economic Development Zone]</v>
      </c>
      <c r="D102" t="s">
        <v>34</v>
      </c>
      <c r="E102" t="s">
        <v>35</v>
      </c>
      <c r="F102" t="str">
        <f>_xlfn.CONCAT(D102,", ",H102,", ",I102,", ","山西省")</f>
        <v>常平开发区, 壶关县, 长治市, 山西省</v>
      </c>
      <c r="G102">
        <v>13108</v>
      </c>
      <c r="H102" t="s">
        <v>2881</v>
      </c>
      <c r="I102" t="s">
        <v>2878</v>
      </c>
      <c r="J102" t="e">
        <f>VLOOKUP(F102,[1]!china_towns_second__2[[Column1]:[Y]],3,FALSE)</f>
        <v>#N/A</v>
      </c>
      <c r="K102" t="e">
        <f>VLOOKUP(F102,[1]!china_towns_second__2[[Column1]:[Y]],2,FALSE)</f>
        <v>#N/A</v>
      </c>
      <c r="L102" t="s">
        <v>3684</v>
      </c>
      <c r="M102" t="str">
        <f>VLOOKUP(H102,CHOOSE({1,2},Table12[Native],Table12[Name]),2,0)</f>
        <v>Húguān Xiàn</v>
      </c>
      <c r="N102" s="13" t="str">
        <f>VLOOKUP(I102,CHOOSE({1,2},Table12[Native],Table12[Name]),2,0)</f>
        <v>Chángzhì Shì</v>
      </c>
      <c r="O102" s="13" t="str">
        <f t="shared" si="2"/>
        <v>Changping Kaifaqu [Changping Economic Development Zone] (Chángzhì Shì)</v>
      </c>
      <c r="P102" s="13" t="str">
        <f t="shared" si="3"/>
        <v>Changping Kaifaqu [Changping Economic Development Zone] (Chángzhì Shì)</v>
      </c>
    </row>
    <row r="103" spans="1:16" hidden="1" x14ac:dyDescent="0.25">
      <c r="A103" t="s">
        <v>36</v>
      </c>
      <c r="B103" t="str">
        <f>IF(COUNTIF(A:A,A103)&gt;1,_xlfn.CONCAT(A103," (",N103,")"),A103)</f>
        <v>Chángqīng Jiēdào</v>
      </c>
      <c r="C103" t="str">
        <f>IF(COUNTIF(B:B,B103)&gt;1,_xlfn.CONCAT(A103," (",M103,")"),B103)</f>
        <v>Chángqīng Jiēdào</v>
      </c>
      <c r="D103" t="s">
        <v>37</v>
      </c>
      <c r="E103" t="s">
        <v>31</v>
      </c>
      <c r="F103" t="str">
        <f>_xlfn.CONCAT(D103,", ",H103,", ",I103,", ","山西省")</f>
        <v>常青街道, 潞州区, 长治市, 山西省</v>
      </c>
      <c r="G103">
        <v>47018</v>
      </c>
      <c r="H103" t="s">
        <v>2885</v>
      </c>
      <c r="I103" t="s">
        <v>2878</v>
      </c>
      <c r="J103" t="e">
        <f>VLOOKUP(F103,[1]!china_towns_second__2[[Column1]:[Y]],3,FALSE)</f>
        <v>#N/A</v>
      </c>
      <c r="K103" t="e">
        <f>VLOOKUP(F103,[1]!china_towns_second__2[[Column1]:[Y]],2,FALSE)</f>
        <v>#N/A</v>
      </c>
      <c r="L103" t="s">
        <v>3685</v>
      </c>
      <c r="M103" t="str">
        <f>VLOOKUP(H103,CHOOSE({1,2},Table12[Native],Table12[Name]),2,0)</f>
        <v>Lùzhōu Qū</v>
      </c>
      <c r="N103" s="13" t="str">
        <f>VLOOKUP(I103,CHOOSE({1,2},Table12[Native],Table12[Name]),2,0)</f>
        <v>Chángzhì Shì</v>
      </c>
      <c r="O103" s="13" t="str">
        <f t="shared" si="2"/>
        <v>Changqing Jiedao (Chángzhì Shì)</v>
      </c>
      <c r="P103" s="13" t="str">
        <f t="shared" si="3"/>
        <v>Changqing Jiedao (Chángzhì Shì)</v>
      </c>
    </row>
    <row r="104" spans="1:16" hidden="1" x14ac:dyDescent="0.25">
      <c r="A104" t="s">
        <v>805</v>
      </c>
      <c r="B104" t="str">
        <f>IF(COUNTIF(A:A,A104)&gt;1,_xlfn.CONCAT(A104," (",N104,")"),A104)</f>
        <v>Chāngyuán Chéngqū</v>
      </c>
      <c r="C104" t="str">
        <f>IF(COUNTIF(B:B,B104)&gt;1,_xlfn.CONCAT(A104," (",M104,")"),B104)</f>
        <v>Chāngyuán Chéngqū</v>
      </c>
      <c r="D104" t="s">
        <v>806</v>
      </c>
      <c r="E104" t="s">
        <v>31</v>
      </c>
      <c r="F104" t="str">
        <f>_xlfn.CONCAT(D104,", ",H104,", ",I104,", ","山西省")</f>
        <v>昌源城区, 祁县, 晋中市, 山西省</v>
      </c>
      <c r="G104">
        <v>19871</v>
      </c>
      <c r="H104" t="s">
        <v>2919</v>
      </c>
      <c r="I104" t="s">
        <v>2914</v>
      </c>
      <c r="J104" t="e">
        <f>VLOOKUP(F104,[1]!china_towns_second__2[[Column1]:[Y]],3,FALSE)</f>
        <v>#N/A</v>
      </c>
      <c r="K104" t="e">
        <f>VLOOKUP(F104,[1]!china_towns_second__2[[Column1]:[Y]],2,FALSE)</f>
        <v>#N/A</v>
      </c>
      <c r="L104" t="s">
        <v>3686</v>
      </c>
      <c r="M104" t="str">
        <f>VLOOKUP(H104,CHOOSE({1,2},Table12[Native],Table12[Name]),2,0)</f>
        <v>Qí Xiàn</v>
      </c>
      <c r="N104" s="13" t="str">
        <f>VLOOKUP(I104,CHOOSE({1,2},Table12[Native],Table12[Name]),2,0)</f>
        <v>Jìnzhōng Shì</v>
      </c>
      <c r="O104" s="13" t="str">
        <f t="shared" si="2"/>
        <v>Changyuan Chengqu (Jìnzhōng Shì)</v>
      </c>
      <c r="P104" s="13" t="str">
        <f t="shared" si="3"/>
        <v>Changyuan Chengqu (Jìnzhōng Shì)</v>
      </c>
    </row>
    <row r="105" spans="1:16" hidden="1" x14ac:dyDescent="0.25">
      <c r="A105" t="s">
        <v>38</v>
      </c>
      <c r="B105" t="str">
        <f>IF(COUNTIF(A:A,A105)&gt;1,_xlfn.CONCAT(A105," (",N105,")"),A105)</f>
        <v>Chángzhāng Xiāng</v>
      </c>
      <c r="C105" t="str">
        <f>IF(COUNTIF(B:B,B105)&gt;1,_xlfn.CONCAT(A105," (",M105,")"),B105)</f>
        <v>Chángzhāng Xiāng</v>
      </c>
      <c r="D105" t="s">
        <v>39</v>
      </c>
      <c r="E105" t="s">
        <v>17</v>
      </c>
      <c r="F105" t="str">
        <f>_xlfn.CONCAT(D105,", ",H105,", ",I105,", ","山西省")</f>
        <v>常张乡, 长子县, 长治市, 山西省</v>
      </c>
      <c r="G105">
        <v>15229</v>
      </c>
      <c r="H105" t="s">
        <v>2880</v>
      </c>
      <c r="I105" t="s">
        <v>2878</v>
      </c>
      <c r="J105" t="e">
        <f>VLOOKUP(F105,[1]!china_towns_second__2[[Column1]:[Y]],3,FALSE)</f>
        <v>#N/A</v>
      </c>
      <c r="K105" t="e">
        <f>VLOOKUP(F105,[1]!china_towns_second__2[[Column1]:[Y]],2,FALSE)</f>
        <v>#N/A</v>
      </c>
      <c r="L105" t="s">
        <v>3687</v>
      </c>
      <c r="M105" t="str">
        <f>VLOOKUP(H105,CHOOSE({1,2},Table12[Native],Table12[Name]),2,0)</f>
        <v>Chángzi Xiàn</v>
      </c>
      <c r="N105" s="13" t="str">
        <f>VLOOKUP(I105,CHOOSE({1,2},Table12[Native],Table12[Name]),2,0)</f>
        <v>Chángzhì Shì</v>
      </c>
      <c r="O105" s="13" t="str">
        <f t="shared" si="2"/>
        <v>Changzhang Xiang (Chángzhì Shì)</v>
      </c>
      <c r="P105" s="13" t="str">
        <f t="shared" si="3"/>
        <v>Changzhang Xiang (Chángzhì Shì)</v>
      </c>
    </row>
    <row r="106" spans="1:16" hidden="1" x14ac:dyDescent="0.25">
      <c r="A106" t="s">
        <v>2126</v>
      </c>
      <c r="B106" t="str">
        <f>IF(COUNTIF(A:A,A106)&gt;1,_xlfn.CONCAT(A106," (",N106,")"),A106)</f>
        <v>Chángzhĕn Xiāng</v>
      </c>
      <c r="C106" t="str">
        <f>IF(COUNTIF(B:B,B106)&gt;1,_xlfn.CONCAT(A106," (",M106,")"),B106)</f>
        <v>Chángzhĕn Xiāng</v>
      </c>
      <c r="D106" t="s">
        <v>2127</v>
      </c>
      <c r="E106" t="s">
        <v>17</v>
      </c>
      <c r="F106" t="str">
        <f>_xlfn.CONCAT(D106,", ",H106,", ",I106,", ","山西省")</f>
        <v>长畛乡, 神池县, 忻州市, 山西省</v>
      </c>
      <c r="G106">
        <v>5056</v>
      </c>
      <c r="H106" t="s">
        <v>2991</v>
      </c>
      <c r="I106" t="s">
        <v>2981</v>
      </c>
      <c r="J106" t="e">
        <f>VLOOKUP(F106,[1]!china_towns_second__2[[Column1]:[Y]],3,FALSE)</f>
        <v>#N/A</v>
      </c>
      <c r="K106" t="e">
        <f>VLOOKUP(F106,[1]!china_towns_second__2[[Column1]:[Y]],2,FALSE)</f>
        <v>#N/A</v>
      </c>
      <c r="L106" t="s">
        <v>3688</v>
      </c>
      <c r="M106" t="str">
        <f>VLOOKUP(H106,CHOOSE({1,2},Table12[Native],Table12[Name]),2,0)</f>
        <v>Shénchí Xiàn</v>
      </c>
      <c r="N106" s="13" t="str">
        <f>VLOOKUP(I106,CHOOSE({1,2},Table12[Native],Table12[Name]),2,0)</f>
        <v>Xīnzhōu Shì</v>
      </c>
      <c r="O106" s="13" t="str">
        <f t="shared" si="2"/>
        <v>Changzhen Xiang (Xīnzhōu Shì)</v>
      </c>
      <c r="P106" s="13" t="str">
        <f t="shared" si="3"/>
        <v>Changzhen Xiang (Xīnzhōu Shì)</v>
      </c>
    </row>
    <row r="107" spans="1:16" hidden="1" x14ac:dyDescent="0.25">
      <c r="A107" t="s">
        <v>2124</v>
      </c>
      <c r="B107" t="str">
        <f>IF(COUNTIF(A:A,A107)&gt;1,_xlfn.CONCAT(A107," (",N107,")"),A107)</f>
        <v>Chángzhēngjiē Jiēdào</v>
      </c>
      <c r="C107" t="str">
        <f>IF(COUNTIF(B:B,B107)&gt;1,_xlfn.CONCAT(A107," (",M107,")"),B107)</f>
        <v>Chángzhēngjiē Jiēdào</v>
      </c>
      <c r="D107" t="s">
        <v>2125</v>
      </c>
      <c r="E107" t="s">
        <v>31</v>
      </c>
      <c r="F107" t="str">
        <f>_xlfn.CONCAT(D107,", ",H107,", ",I107,", ","山西省")</f>
        <v>长征街街道, 忻府区, 忻州市, 山西省</v>
      </c>
      <c r="G107">
        <v>119845</v>
      </c>
      <c r="H107" t="s">
        <v>2994</v>
      </c>
      <c r="I107" t="s">
        <v>2981</v>
      </c>
      <c r="J107">
        <f>VLOOKUP(F107,[1]!china_towns_second__2[[Column1]:[Y]],3,FALSE)</f>
        <v>38.431311700463297</v>
      </c>
      <c r="K107">
        <f>VLOOKUP(F107,[1]!china_towns_second__2[[Column1]:[Y]],2,FALSE)</f>
        <v>112.72814700000001</v>
      </c>
      <c r="L107" t="s">
        <v>3689</v>
      </c>
      <c r="M107" t="str">
        <f>VLOOKUP(H107,CHOOSE({1,2},Table12[Native],Table12[Name]),2,0)</f>
        <v>Xīnfŭ Qū</v>
      </c>
      <c r="N107" s="13" t="str">
        <f>VLOOKUP(I107,CHOOSE({1,2},Table12[Native],Table12[Name]),2,0)</f>
        <v>Xīnzhōu Shì</v>
      </c>
      <c r="O107" s="13" t="str">
        <f t="shared" si="2"/>
        <v>Changzhengjie Jiedao (Xīnzhōu Shì)</v>
      </c>
      <c r="P107" s="13" t="str">
        <f t="shared" si="3"/>
        <v>Changzhengjie Jiedao (Xīnzhōu Shì)</v>
      </c>
    </row>
    <row r="108" spans="1:16" hidden="1" x14ac:dyDescent="0.25">
      <c r="A108" t="s">
        <v>40</v>
      </c>
      <c r="B108" t="str">
        <f>IF(COUNTIF(A:A,A108)&gt;1,_xlfn.CONCAT(A108," (",N108,")"),A108)</f>
        <v>Chángzhì Gāoxīn Jìshù Kāifāqū [Changzhi High-tech Development Zone]</v>
      </c>
      <c r="C108" t="str">
        <f>IF(COUNTIF(B:B,B108)&gt;1,_xlfn.CONCAT(A108," (",M108,")"),B108)</f>
        <v>Chángzhì Gāoxīn Jìshù Kāifāqū [Changzhi High-tech Development Zone]</v>
      </c>
      <c r="D108" t="s">
        <v>41</v>
      </c>
      <c r="E108" t="s">
        <v>35</v>
      </c>
      <c r="F108" t="str">
        <f>_xlfn.CONCAT(D108,", ",H108,", ",I108,", ","山西省")</f>
        <v>长治高新技术开发区, 潞州区, 长治市, 山西省</v>
      </c>
      <c r="G108">
        <v>45818</v>
      </c>
      <c r="H108" t="s">
        <v>2885</v>
      </c>
      <c r="I108" t="s">
        <v>2878</v>
      </c>
      <c r="J108" t="e">
        <f>VLOOKUP(F108,[1]!china_towns_second__2[[Column1]:[Y]],3,FALSE)</f>
        <v>#N/A</v>
      </c>
      <c r="K108" t="e">
        <f>VLOOKUP(F108,[1]!china_towns_second__2[[Column1]:[Y]],2,FALSE)</f>
        <v>#N/A</v>
      </c>
      <c r="L108" t="s">
        <v>3690</v>
      </c>
      <c r="M108" t="str">
        <f>VLOOKUP(H108,CHOOSE({1,2},Table12[Native],Table12[Name]),2,0)</f>
        <v>Lùzhōu Qū</v>
      </c>
      <c r="N108" s="13" t="str">
        <f>VLOOKUP(I108,CHOOSE({1,2},Table12[Native],Table12[Name]),2,0)</f>
        <v>Chángzhì Shì</v>
      </c>
      <c r="O108" s="13" t="str">
        <f t="shared" si="2"/>
        <v>Changzhi Gaoxin Jishu Kaifaqu [Changzhi High-tech Development Zone] (Chángzhì Shì)</v>
      </c>
      <c r="P108" s="13" t="str">
        <f t="shared" si="3"/>
        <v>Changzhi Gaoxin Jishu Kaifaqu [Changzhi High-tech Development Zone] (Chángzhì Shì)</v>
      </c>
    </row>
    <row r="109" spans="1:16" hidden="1" x14ac:dyDescent="0.25">
      <c r="A109" t="s">
        <v>2605</v>
      </c>
      <c r="B109" t="str">
        <f>IF(COUNTIF(A:A,A109)&gt;1,_xlfn.CONCAT(A109," (",N109,")"),A109)</f>
        <v>Chángzhí Xiāng</v>
      </c>
      <c r="C109" t="str">
        <f>IF(COUNTIF(B:B,B109)&gt;1,_xlfn.CONCAT(A109," (",M109,")"),B109)</f>
        <v>Chángzhí Xiāng</v>
      </c>
      <c r="D109" t="s">
        <v>2606</v>
      </c>
      <c r="E109" t="s">
        <v>17</v>
      </c>
      <c r="F109" t="str">
        <f>_xlfn.CONCAT(D109,", ",H109,", ",I109,", ","山西省")</f>
        <v>长直乡, 垣曲县, 运城市, 山西省</v>
      </c>
      <c r="G109">
        <v>12998</v>
      </c>
      <c r="H109" t="s">
        <v>3016</v>
      </c>
      <c r="I109" t="s">
        <v>3003</v>
      </c>
      <c r="J109" t="e">
        <f>VLOOKUP(F109,[1]!china_towns_second__2[[Column1]:[Y]],3,FALSE)</f>
        <v>#N/A</v>
      </c>
      <c r="K109" t="e">
        <f>VLOOKUP(F109,[1]!china_towns_second__2[[Column1]:[Y]],2,FALSE)</f>
        <v>#N/A</v>
      </c>
      <c r="L109" t="s">
        <v>3691</v>
      </c>
      <c r="M109" t="str">
        <f>VLOOKUP(H109,CHOOSE({1,2},Table12[Native],Table12[Name]),2,0)</f>
        <v>Yuánqŭ Xiàn</v>
      </c>
      <c r="N109" s="13" t="str">
        <f>VLOOKUP(I109,CHOOSE({1,2},Table12[Native],Table12[Name]),2,0)</f>
        <v>Yùnchéng Shì</v>
      </c>
      <c r="O109" s="13" t="str">
        <f t="shared" si="2"/>
        <v>Changzhi Xiang (Yùnchéng Shì)</v>
      </c>
      <c r="P109" s="13" t="str">
        <f t="shared" si="3"/>
        <v>Changzhi Xiang (Yùnchéng Shì)</v>
      </c>
    </row>
    <row r="110" spans="1:16" hidden="1" x14ac:dyDescent="0.25">
      <c r="A110" t="s">
        <v>808</v>
      </c>
      <c r="B110" t="str">
        <f>IF(COUNTIF(A:A,A110)&gt;1,_xlfn.CONCAT(A110," (",N110,")"),A110)</f>
        <v>Cháoyáng Zhèn</v>
      </c>
      <c r="C110" t="str">
        <f>IF(COUNTIF(B:B,B110)&gt;1,_xlfn.CONCAT(A110," (",M110,")"),B110)</f>
        <v>Cháoyáng Zhèn</v>
      </c>
      <c r="D110" t="s">
        <v>809</v>
      </c>
      <c r="E110" t="s">
        <v>7</v>
      </c>
      <c r="F110" t="str">
        <f>_xlfn.CONCAT(D110,", ",H110,", ",I110,", ","山西省")</f>
        <v>朝阳镇, 寿阳县, 晋中市, 山西省</v>
      </c>
      <c r="G110">
        <v>89216</v>
      </c>
      <c r="H110" t="s">
        <v>2920</v>
      </c>
      <c r="I110" t="s">
        <v>2914</v>
      </c>
      <c r="J110">
        <f>VLOOKUP(F110,[1]!china_towns_second__2[[Column1]:[Y]],3,FALSE)</f>
        <v>37.887400732023501</v>
      </c>
      <c r="K110">
        <f>VLOOKUP(F110,[1]!china_towns_second__2[[Column1]:[Y]],2,FALSE)</f>
        <v>113.1816999</v>
      </c>
      <c r="L110" t="s">
        <v>3692</v>
      </c>
      <c r="M110" t="str">
        <f>VLOOKUP(H110,CHOOSE({1,2},Table12[Native],Table12[Name]),2,0)</f>
        <v>Shòuyáng Xiàn</v>
      </c>
      <c r="N110" s="13" t="str">
        <f>VLOOKUP(I110,CHOOSE({1,2},Table12[Native],Table12[Name]),2,0)</f>
        <v>Jìnzhōng Shì</v>
      </c>
      <c r="O110" s="13" t="str">
        <f t="shared" si="2"/>
        <v>Chaoyang Zhen (Jìnzhōng Shì)</v>
      </c>
      <c r="P110" s="13" t="str">
        <f t="shared" si="3"/>
        <v>Chaoyang Zhen (Jìnzhōng Shì)</v>
      </c>
    </row>
    <row r="111" spans="1:16" hidden="1" x14ac:dyDescent="0.25">
      <c r="A111" t="s">
        <v>1091</v>
      </c>
      <c r="B111" t="str">
        <f>IF(COUNTIF(A:A,A111)&gt;1,_xlfn.CONCAT(A111," (",N111,")"),A111)</f>
        <v>Chēchéng Xiāng</v>
      </c>
      <c r="C111" t="str">
        <f>IF(COUNTIF(B:B,B111)&gt;1,_xlfn.CONCAT(A111," (",M111,")"),B111)</f>
        <v>Chēchéng Xiāng</v>
      </c>
      <c r="D111" t="s">
        <v>1092</v>
      </c>
      <c r="E111" t="s">
        <v>17</v>
      </c>
      <c r="F111" t="str">
        <f>_xlfn.CONCAT(D111,", ",H111,", ",I111,", ","山西省")</f>
        <v>车城乡, 吉县, 临汾市, 山西省</v>
      </c>
      <c r="G111">
        <v>7964</v>
      </c>
      <c r="H111" t="s">
        <v>2936</v>
      </c>
      <c r="I111" t="s">
        <v>2927</v>
      </c>
      <c r="J111" t="e">
        <f>VLOOKUP(F111,[1]!china_towns_second__2[[Column1]:[Y]],3,FALSE)</f>
        <v>#N/A</v>
      </c>
      <c r="K111" t="e">
        <f>VLOOKUP(F111,[1]!china_towns_second__2[[Column1]:[Y]],2,FALSE)</f>
        <v>#N/A</v>
      </c>
      <c r="L111" t="s">
        <v>3693</v>
      </c>
      <c r="M111" t="str">
        <f>VLOOKUP(H111,CHOOSE({1,2},Table12[Native],Table12[Name]),2,0)</f>
        <v>Jí Xiàn</v>
      </c>
      <c r="N111" s="13" t="str">
        <f>VLOOKUP(I111,CHOOSE({1,2},Table12[Native],Table12[Name]),2,0)</f>
        <v>Línfén Shì</v>
      </c>
      <c r="O111" s="13" t="str">
        <f t="shared" si="2"/>
        <v>Checheng Xiang (Línfén Shì)</v>
      </c>
      <c r="P111" s="13" t="str">
        <f t="shared" si="3"/>
        <v>Checheng Xiang (Línfén Shì)</v>
      </c>
    </row>
    <row r="112" spans="1:16" hidden="1" x14ac:dyDescent="0.25">
      <c r="A112" t="s">
        <v>1435</v>
      </c>
      <c r="B112" t="str">
        <f>IF(COUNTIF(A:A,A112)&gt;1,_xlfn.CONCAT(A112," (",N112,")"),A112)</f>
        <v>Chēgăn Xiāng</v>
      </c>
      <c r="C112" t="str">
        <f>IF(COUNTIF(B:B,B112)&gt;1,_xlfn.CONCAT(A112," (",M112,")"),B112)</f>
        <v>Chēgăn Xiāng</v>
      </c>
      <c r="D112" t="s">
        <v>1436</v>
      </c>
      <c r="E112" t="s">
        <v>17</v>
      </c>
      <c r="F112" t="str">
        <f>_xlfn.CONCAT(D112,", ",H112,", ",I112,", ","山西省")</f>
        <v>车赶乡, 临县, 吕梁市, 山西省</v>
      </c>
      <c r="G112">
        <v>14214</v>
      </c>
      <c r="H112" t="s">
        <v>2952</v>
      </c>
      <c r="I112" t="s">
        <v>2946</v>
      </c>
      <c r="J112" t="e">
        <f>VLOOKUP(F112,[1]!china_towns_second__2[[Column1]:[Y]],3,FALSE)</f>
        <v>#N/A</v>
      </c>
      <c r="K112" t="e">
        <f>VLOOKUP(F112,[1]!china_towns_second__2[[Column1]:[Y]],2,FALSE)</f>
        <v>#N/A</v>
      </c>
      <c r="L112" t="s">
        <v>3694</v>
      </c>
      <c r="M112" t="str">
        <f>VLOOKUP(H112,CHOOSE({1,2},Table12[Native],Table12[Name]),2,0)</f>
        <v>Lín Xiàn</v>
      </c>
      <c r="N112" s="13" t="str">
        <f>VLOOKUP(I112,CHOOSE({1,2},Table12[Native],Table12[Name]),2,0)</f>
        <v>Lǚliáng Shì</v>
      </c>
      <c r="O112" s="13" t="str">
        <f t="shared" si="2"/>
        <v>Chegan Xiang (Lǚliáng Shì)</v>
      </c>
      <c r="P112" s="13" t="str">
        <f t="shared" si="3"/>
        <v>Chegan Xiang (Lǚliáng Shì)</v>
      </c>
    </row>
    <row r="113" spans="1:16" hidden="1" x14ac:dyDescent="0.25">
      <c r="A113" t="s">
        <v>1437</v>
      </c>
      <c r="B113" t="str">
        <f>IF(COUNTIF(A:A,A113)&gt;1,_xlfn.CONCAT(A113," (",N113,")"),A113)</f>
        <v>Chēmíngyù Xiāng [Zhāngzishān Xiāng]</v>
      </c>
      <c r="C113" t="str">
        <f>IF(COUNTIF(B:B,B113)&gt;1,_xlfn.CONCAT(A113," (",M113,")"),B113)</f>
        <v>Chēmíngyù Xiāng [Zhāngzishān Xiāng]</v>
      </c>
      <c r="D113" t="s">
        <v>1438</v>
      </c>
      <c r="E113" t="s">
        <v>17</v>
      </c>
      <c r="F113" t="str">
        <f>_xlfn.CONCAT(D113,", ",H113,", ",I113,", ","山西省")</f>
        <v>车鸣峪乡, 中阳县, 吕梁市, 山西省</v>
      </c>
      <c r="G113">
        <v>9829</v>
      </c>
      <c r="H113" t="s">
        <v>2959</v>
      </c>
      <c r="I113" t="s">
        <v>2946</v>
      </c>
      <c r="J113" t="e">
        <f>VLOOKUP(F113,[1]!china_towns_second__2[[Column1]:[Y]],3,FALSE)</f>
        <v>#N/A</v>
      </c>
      <c r="K113" t="e">
        <f>VLOOKUP(F113,[1]!china_towns_second__2[[Column1]:[Y]],2,FALSE)</f>
        <v>#N/A</v>
      </c>
      <c r="L113" t="s">
        <v>3695</v>
      </c>
      <c r="M113" t="str">
        <f>VLOOKUP(H113,CHOOSE({1,2},Table12[Native],Table12[Name]),2,0)</f>
        <v>Zhōngyáng Xiàn</v>
      </c>
      <c r="N113" s="13" t="str">
        <f>VLOOKUP(I113,CHOOSE({1,2},Table12[Native],Table12[Name]),2,0)</f>
        <v>Lǚliáng Shì</v>
      </c>
      <c r="O113" s="13" t="str">
        <f t="shared" si="2"/>
        <v>Chemingyu Xiang [Zhangzishan Xiang] (Lǚliáng Shì)</v>
      </c>
      <c r="P113" s="13" t="str">
        <f t="shared" si="3"/>
        <v>Chemingyu Xiang [Zhangzishan Xiang] (Lǚliáng Shì)</v>
      </c>
    </row>
    <row r="114" spans="1:16" hidden="1" x14ac:dyDescent="0.25">
      <c r="A114" t="s">
        <v>2608</v>
      </c>
      <c r="B114" t="str">
        <f>IF(COUNTIF(A:A,A114)&gt;1,_xlfn.CONCAT(A114," (",N114,")"),A114)</f>
        <v>Chéncūn Zhèn</v>
      </c>
      <c r="C114" t="str">
        <f>IF(COUNTIF(B:B,B114)&gt;1,_xlfn.CONCAT(A114," (",M114,")"),B114)</f>
        <v>Chéncūn Zhèn</v>
      </c>
      <c r="D114" t="s">
        <v>2609</v>
      </c>
      <c r="E114" t="s">
        <v>7</v>
      </c>
      <c r="F114" t="str">
        <f>_xlfn.CONCAT(D114,", ",H114,", ",I114,", ","山西省")</f>
        <v>陈村镇, 绛县, 运城市, 山西省</v>
      </c>
      <c r="G114">
        <v>11150</v>
      </c>
      <c r="H114" t="s">
        <v>3005</v>
      </c>
      <c r="I114" t="s">
        <v>3003</v>
      </c>
      <c r="J114">
        <f>VLOOKUP(F114,[1]!china_towns_second__2[[Column1]:[Y]],3,FALSE)</f>
        <v>35.434755191109701</v>
      </c>
      <c r="K114">
        <f>VLOOKUP(F114,[1]!china_towns_second__2[[Column1]:[Y]],2,FALSE)</f>
        <v>111.65101319999999</v>
      </c>
      <c r="L114" t="s">
        <v>3696</v>
      </c>
      <c r="M114" t="str">
        <f>VLOOKUP(H114,CHOOSE({1,2},Table12[Native],Table12[Name]),2,0)</f>
        <v>Jiàng Xiàn</v>
      </c>
      <c r="N114" s="13" t="str">
        <f>VLOOKUP(I114,CHOOSE({1,2},Table12[Native],Table12[Name]),2,0)</f>
        <v>Yùnchéng Shì</v>
      </c>
      <c r="O114" s="13" t="str">
        <f t="shared" si="2"/>
        <v>Chencun Zhen (Yùnchéng Shì)</v>
      </c>
      <c r="P114" s="13" t="str">
        <f t="shared" si="3"/>
        <v>Chencun Zhen (Yùnchéng Shì)</v>
      </c>
    </row>
    <row r="115" spans="1:16" hidden="1" x14ac:dyDescent="0.25">
      <c r="A115" t="s">
        <v>1440</v>
      </c>
      <c r="B115" t="str">
        <f>IF(COUNTIF(A:A,A115)&gt;1,_xlfn.CONCAT(A115," (",N115,")"),A115)</f>
        <v>Chéngbĕi Jiēdào (Lǚliáng Shì)</v>
      </c>
      <c r="C115" t="str">
        <f>IF(COUNTIF(B:B,B115)&gt;1,_xlfn.CONCAT(A115," (",M115,")"),B115)</f>
        <v>Chéngbĕi Jiēdào (Lǚliáng Shì)</v>
      </c>
      <c r="D115" t="s">
        <v>1441</v>
      </c>
      <c r="E115" t="s">
        <v>31</v>
      </c>
      <c r="F115" t="str">
        <f>_xlfn.CONCAT(D115,", ",H115,", ",I115,", ","山西省")</f>
        <v>城北街道, 离石区, 吕梁市, 山西省</v>
      </c>
      <c r="G115">
        <v>9733</v>
      </c>
      <c r="H115" t="s">
        <v>2953</v>
      </c>
      <c r="I115" t="s">
        <v>2946</v>
      </c>
      <c r="J115">
        <f>VLOOKUP(F115,[1]!china_towns_second__2[[Column1]:[Y]],3,FALSE)</f>
        <v>37.577645818723198</v>
      </c>
      <c r="K115">
        <f>VLOOKUP(F115,[1]!china_towns_second__2[[Column1]:[Y]],2,FALSE)</f>
        <v>111.15939040000001</v>
      </c>
      <c r="L115" t="s">
        <v>3697</v>
      </c>
      <c r="M115" t="str">
        <f>VLOOKUP(H115,CHOOSE({1,2},Table12[Native],Table12[Name]),2,0)</f>
        <v>Líshí Qū</v>
      </c>
      <c r="N115" s="13" t="str">
        <f>VLOOKUP(I115,CHOOSE({1,2},Table12[Native],Table12[Name]),2,0)</f>
        <v>Lǚliáng Shì</v>
      </c>
      <c r="O115" s="13" t="str">
        <f t="shared" si="2"/>
        <v>Chengbei Jiedao (Luliang Shi) (Lǚliáng Shì)</v>
      </c>
      <c r="P115" s="13" t="str">
        <f t="shared" si="3"/>
        <v>Chengbei Jiedao (Luliang Shi) (Lǚliáng Shì)</v>
      </c>
    </row>
    <row r="116" spans="1:16" hidden="1" x14ac:dyDescent="0.25">
      <c r="A116" t="s">
        <v>1440</v>
      </c>
      <c r="B116" t="str">
        <f>IF(COUNTIF(A:A,A116)&gt;1,_xlfn.CONCAT(A116," (",N116,")"),A116)</f>
        <v>Chéngbĕi Jiēdào (Yùnchéng Shì)</v>
      </c>
      <c r="C116" t="str">
        <f>IF(COUNTIF(B:B,B116)&gt;1,_xlfn.CONCAT(A116," (",M116,")"),B116)</f>
        <v>Chéngbĕi Jiēdào (Yùnchéng Shì)</v>
      </c>
      <c r="D116" t="s">
        <v>1441</v>
      </c>
      <c r="E116" t="s">
        <v>31</v>
      </c>
      <c r="F116" t="str">
        <f>_xlfn.CONCAT(D116,", ",H116,", ",I116,", ","山西省")</f>
        <v>城北街道, 永济市, 运城市, 山西省</v>
      </c>
      <c r="G116">
        <v>54972</v>
      </c>
      <c r="H116" t="s">
        <v>3015</v>
      </c>
      <c r="I116" t="s">
        <v>3003</v>
      </c>
      <c r="J116">
        <f>VLOOKUP(F116,[1]!china_towns_second__2[[Column1]:[Y]],3,FALSE)</f>
        <v>34.914365732998597</v>
      </c>
      <c r="K116">
        <f>VLOOKUP(F116,[1]!china_towns_second__2[[Column1]:[Y]],2,FALSE)</f>
        <v>110.4774113</v>
      </c>
      <c r="L116" t="s">
        <v>3698</v>
      </c>
      <c r="M116" t="str">
        <f>VLOOKUP(H116,CHOOSE({1,2},Table12[Native],Table12[Name]),2,0)</f>
        <v>Yŏngjì Shì</v>
      </c>
      <c r="N116" s="13" t="str">
        <f>VLOOKUP(I116,CHOOSE({1,2},Table12[Native],Table12[Name]),2,0)</f>
        <v>Yùnchéng Shì</v>
      </c>
      <c r="O116" s="13" t="str">
        <f t="shared" si="2"/>
        <v>Chengbei Jiedao (Yuncheng Shi) (Yùnchéng Shì)</v>
      </c>
      <c r="P116" s="13" t="str">
        <f t="shared" si="3"/>
        <v>Chengbei Jiedao (Yuncheng Shi) (Yùnchéng Shì)</v>
      </c>
    </row>
    <row r="117" spans="1:16" hidden="1" x14ac:dyDescent="0.25">
      <c r="A117" t="s">
        <v>2611</v>
      </c>
      <c r="B117" t="str">
        <f>IF(COUNTIF(A:A,A117)&gt;1,_xlfn.CONCAT(A117," (",N117,")"),A117)</f>
        <v>Chéngdōng Jiēdào</v>
      </c>
      <c r="C117" t="str">
        <f>IF(COUNTIF(B:B,B117)&gt;1,_xlfn.CONCAT(A117," (",M117,")"),B117)</f>
        <v>Chéngdōng Jiēdào</v>
      </c>
      <c r="D117" t="s">
        <v>2612</v>
      </c>
      <c r="E117" t="s">
        <v>31</v>
      </c>
      <c r="F117" t="str">
        <f>_xlfn.CONCAT(D117,", ",H117,", ",I117,", ","山西省")</f>
        <v>城东街道, 永济市, 运城市, 山西省</v>
      </c>
      <c r="G117">
        <v>52376</v>
      </c>
      <c r="H117" t="s">
        <v>3015</v>
      </c>
      <c r="I117" t="s">
        <v>3003</v>
      </c>
      <c r="J117">
        <f>VLOOKUP(F117,[1]!china_towns_second__2[[Column1]:[Y]],3,FALSE)</f>
        <v>34.845443871550103</v>
      </c>
      <c r="K117">
        <f>VLOOKUP(F117,[1]!china_towns_second__2[[Column1]:[Y]],2,FALSE)</f>
        <v>110.5111611</v>
      </c>
      <c r="L117" t="s">
        <v>3699</v>
      </c>
      <c r="M117" t="str">
        <f>VLOOKUP(H117,CHOOSE({1,2},Table12[Native],Table12[Name]),2,0)</f>
        <v>Yŏngjì Shì</v>
      </c>
      <c r="N117" s="13" t="str">
        <f>VLOOKUP(I117,CHOOSE({1,2},Table12[Native],Table12[Name]),2,0)</f>
        <v>Yùnchéng Shì</v>
      </c>
      <c r="O117" s="13" t="str">
        <f t="shared" si="2"/>
        <v>Chengdong Jiedao (Yùnchéng Shì)</v>
      </c>
      <c r="P117" s="13" t="str">
        <f t="shared" si="3"/>
        <v>Chengdong Jiedao (Yùnchéng Shì)</v>
      </c>
    </row>
    <row r="118" spans="1:16" hidden="1" x14ac:dyDescent="0.25">
      <c r="A118" t="s">
        <v>811</v>
      </c>
      <c r="B118" t="str">
        <f>IF(COUNTIF(A:A,A118)&gt;1,_xlfn.CONCAT(A118," (",N118,")"),A118)</f>
        <v>Chéngguān Xiāng</v>
      </c>
      <c r="C118" t="str">
        <f>IF(COUNTIF(B:B,B118)&gt;1,_xlfn.CONCAT(A118," (",M118,")"),B118)</f>
        <v>Chéngguān Xiāng</v>
      </c>
      <c r="D118" t="s">
        <v>812</v>
      </c>
      <c r="E118" t="s">
        <v>17</v>
      </c>
      <c r="F118" t="str">
        <f>_xlfn.CONCAT(D118,", ",H118,", ",I118,", ","山西省")</f>
        <v>城关乡, 介休市, 晋中市, 山西省</v>
      </c>
      <c r="G118">
        <v>31049</v>
      </c>
      <c r="H118" t="s">
        <v>2916</v>
      </c>
      <c r="I118" t="s">
        <v>2914</v>
      </c>
      <c r="J118" t="e">
        <f>VLOOKUP(F118,[1]!china_towns_second__2[[Column1]:[Y]],3,FALSE)</f>
        <v>#N/A</v>
      </c>
      <c r="K118" t="e">
        <f>VLOOKUP(F118,[1]!china_towns_second__2[[Column1]:[Y]],2,FALSE)</f>
        <v>#N/A</v>
      </c>
      <c r="L118" t="s">
        <v>3700</v>
      </c>
      <c r="M118" t="str">
        <f>VLOOKUP(H118,CHOOSE({1,2},Table12[Native],Table12[Name]),2,0)</f>
        <v>Jièxiū Shì</v>
      </c>
      <c r="N118" s="13" t="str">
        <f>VLOOKUP(I118,CHOOSE({1,2},Table12[Native],Table12[Name]),2,0)</f>
        <v>Jìnzhōng Shì</v>
      </c>
      <c r="O118" s="13" t="str">
        <f t="shared" si="2"/>
        <v>Chengguan Xiang (Jìnzhōng Shì)</v>
      </c>
      <c r="P118" s="13" t="str">
        <f t="shared" si="3"/>
        <v>Chengguan Xiang (Jìnzhōng Shì)</v>
      </c>
    </row>
    <row r="119" spans="1:16" hidden="1" x14ac:dyDescent="0.25">
      <c r="A119" t="s">
        <v>42</v>
      </c>
      <c r="B119" t="str">
        <f>IF(COUNTIF(A:A,A119)&gt;1,_xlfn.CONCAT(A119," (",N119,")"),A119)</f>
        <v>Chéngjiāchuān Jiēdào</v>
      </c>
      <c r="C119" t="str">
        <f>IF(COUNTIF(B:B,B119)&gt;1,_xlfn.CONCAT(A119," (",M119,")"),B119)</f>
        <v>Chéngjiāchuān Jiēdào</v>
      </c>
      <c r="D119" t="s">
        <v>43</v>
      </c>
      <c r="E119" t="s">
        <v>31</v>
      </c>
      <c r="F119" t="str">
        <f>_xlfn.CONCAT(D119,", ",H119,", ",I119,", ","山西省")</f>
        <v>成家川街道, 潞城区, 长治市, 山西省</v>
      </c>
      <c r="G119">
        <v>28704</v>
      </c>
      <c r="H119" t="s">
        <v>2884</v>
      </c>
      <c r="I119" t="s">
        <v>2878</v>
      </c>
      <c r="J119">
        <f>VLOOKUP(F119,[1]!china_towns_second__2[[Column1]:[Y]],3,FALSE)</f>
        <v>36.281968011221501</v>
      </c>
      <c r="K119">
        <f>VLOOKUP(F119,[1]!china_towns_second__2[[Column1]:[Y]],2,FALSE)</f>
        <v>113.2884408</v>
      </c>
      <c r="L119" t="s">
        <v>3701</v>
      </c>
      <c r="M119" t="str">
        <f>VLOOKUP(H119,CHOOSE({1,2},Table12[Native],Table12[Name]),2,0)</f>
        <v>Lùchéng Qū</v>
      </c>
      <c r="N119" s="13" t="str">
        <f>VLOOKUP(I119,CHOOSE({1,2},Table12[Native],Table12[Name]),2,0)</f>
        <v>Chángzhì Shì</v>
      </c>
      <c r="O119" s="13" t="str">
        <f t="shared" si="2"/>
        <v>Chengjiachuan Jiedao (Chángzhì Shì)</v>
      </c>
      <c r="P119" s="13" t="str">
        <f t="shared" si="3"/>
        <v>Chengjiachuan Jiedao (Chángzhì Shì)</v>
      </c>
    </row>
    <row r="120" spans="1:16" hidden="1" x14ac:dyDescent="0.25">
      <c r="A120" t="s">
        <v>45</v>
      </c>
      <c r="B120" t="str">
        <f>IF(COUNTIF(A:A,A120)&gt;1,_xlfn.CONCAT(A120," (",N120,")"),A120)</f>
        <v>Chéngjiāshān Xiāng</v>
      </c>
      <c r="C120" t="str">
        <f>IF(COUNTIF(B:B,B120)&gt;1,_xlfn.CONCAT(A120," (",M120,")"),B120)</f>
        <v>Chéngjiāshān Xiāng</v>
      </c>
      <c r="D120" t="s">
        <v>46</v>
      </c>
      <c r="E120" t="s">
        <v>17</v>
      </c>
      <c r="F120" t="str">
        <f>_xlfn.CONCAT(D120,", ",H120,", ",I120,", ","山西省")</f>
        <v>程家山乡, 黎城县, 长治市, 山西省</v>
      </c>
      <c r="G120">
        <v>6235</v>
      </c>
      <c r="H120" t="s">
        <v>2882</v>
      </c>
      <c r="I120" t="s">
        <v>2878</v>
      </c>
      <c r="J120" t="e">
        <f>VLOOKUP(F120,[1]!china_towns_second__2[[Column1]:[Y]],3,FALSE)</f>
        <v>#N/A</v>
      </c>
      <c r="K120" t="e">
        <f>VLOOKUP(F120,[1]!china_towns_second__2[[Column1]:[Y]],2,FALSE)</f>
        <v>#N/A</v>
      </c>
      <c r="L120" t="s">
        <v>3702</v>
      </c>
      <c r="M120" t="str">
        <f>VLOOKUP(H120,CHOOSE({1,2},Table12[Native],Table12[Name]),2,0)</f>
        <v>Líchéng Xiàn</v>
      </c>
      <c r="N120" s="13" t="str">
        <f>VLOOKUP(I120,CHOOSE({1,2},Table12[Native],Table12[Name]),2,0)</f>
        <v>Chángzhì Shì</v>
      </c>
      <c r="O120" s="13" t="str">
        <f t="shared" si="2"/>
        <v>Chengjiashan Xiang (Chángzhì Shì)</v>
      </c>
      <c r="P120" s="13" t="str">
        <f t="shared" si="3"/>
        <v>Chengjiashan Xiang (Chángzhì Shì)</v>
      </c>
    </row>
    <row r="121" spans="1:16" hidden="1" x14ac:dyDescent="0.25">
      <c r="A121" t="s">
        <v>1442</v>
      </c>
      <c r="B121" t="str">
        <f>IF(COUNTIF(A:A,A121)&gt;1,_xlfn.CONCAT(A121," (",N121,")"),A121)</f>
        <v>Chéngjiāzhuāng Zhèn</v>
      </c>
      <c r="C121" t="str">
        <f>IF(COUNTIF(B:B,B121)&gt;1,_xlfn.CONCAT(A121," (",M121,")"),B121)</f>
        <v>Chéngjiāzhuāng Zhèn</v>
      </c>
      <c r="D121" t="s">
        <v>1443</v>
      </c>
      <c r="E121" t="s">
        <v>7</v>
      </c>
      <c r="F121" t="str">
        <f>_xlfn.CONCAT(D121,", ",H121,", ",I121,", ","山西省")</f>
        <v>成家庄镇, 柳林县, 吕梁市, 山西省</v>
      </c>
      <c r="G121">
        <v>12847</v>
      </c>
      <c r="H121" t="s">
        <v>2954</v>
      </c>
      <c r="I121" t="s">
        <v>2946</v>
      </c>
      <c r="J121">
        <f>VLOOKUP(F121,[1]!china_towns_second__2[[Column1]:[Y]],3,FALSE)</f>
        <v>37.552919797824799</v>
      </c>
      <c r="K121">
        <f>VLOOKUP(F121,[1]!china_towns_second__2[[Column1]:[Y]],2,FALSE)</f>
        <v>110.91835690000001</v>
      </c>
      <c r="L121" t="s">
        <v>3703</v>
      </c>
      <c r="M121" t="str">
        <f>VLOOKUP(H121,CHOOSE({1,2},Table12[Native],Table12[Name]),2,0)</f>
        <v>Liŭlín Xiàn</v>
      </c>
      <c r="N121" s="13" t="str">
        <f>VLOOKUP(I121,CHOOSE({1,2},Table12[Native],Table12[Name]),2,0)</f>
        <v>Lǚliáng Shì</v>
      </c>
      <c r="O121" s="13" t="str">
        <f t="shared" si="2"/>
        <v>Chengjiazhuang Zhen (Lǚliáng Shì)</v>
      </c>
      <c r="P121" s="13" t="str">
        <f t="shared" si="3"/>
        <v>Chengjiazhuang Zhen (Lǚliáng Shì)</v>
      </c>
    </row>
    <row r="122" spans="1:16" hidden="1" x14ac:dyDescent="0.25">
      <c r="A122" t="s">
        <v>1093</v>
      </c>
      <c r="B122" t="str">
        <f>IF(COUNTIF(A:A,A122)&gt;1,_xlfn.CONCAT(A122," (",N122,")"),A122)</f>
        <v>Chéngnán Xiāng</v>
      </c>
      <c r="C122" t="str">
        <f>IF(COUNTIF(B:B,B122)&gt;1,_xlfn.CONCAT(A122," (",M122,")"),B122)</f>
        <v>Chéngnán Xiāng</v>
      </c>
      <c r="D122" t="s">
        <v>1094</v>
      </c>
      <c r="E122" t="s">
        <v>17</v>
      </c>
      <c r="F122" t="str">
        <f>_xlfn.CONCAT(D122,", ",H122,", ",I122,", ","山西省")</f>
        <v>城南乡, 隰县, 临汾市, 山西省</v>
      </c>
      <c r="G122">
        <v>13918</v>
      </c>
      <c r="H122" t="s">
        <v>2941</v>
      </c>
      <c r="I122" t="s">
        <v>2927</v>
      </c>
      <c r="J122" t="e">
        <f>VLOOKUP(F122,[1]!china_towns_second__2[[Column1]:[Y]],3,FALSE)</f>
        <v>#N/A</v>
      </c>
      <c r="K122" t="e">
        <f>VLOOKUP(F122,[1]!china_towns_second__2[[Column1]:[Y]],2,FALSE)</f>
        <v>#N/A</v>
      </c>
      <c r="L122" t="s">
        <v>3704</v>
      </c>
      <c r="M122" t="str">
        <f>VLOOKUP(H122,CHOOSE({1,2},Table12[Native],Table12[Name]),2,0)</f>
        <v>Xí Xiàn</v>
      </c>
      <c r="N122" s="13" t="str">
        <f>VLOOKUP(I122,CHOOSE({1,2},Table12[Native],Table12[Name]),2,0)</f>
        <v>Línfén Shì</v>
      </c>
      <c r="O122" s="13" t="str">
        <f t="shared" si="2"/>
        <v>Chengnan Xiang (Línfén Shì)</v>
      </c>
      <c r="P122" s="13" t="str">
        <f t="shared" si="3"/>
        <v>Chengnan Xiang (Línfén Shì)</v>
      </c>
    </row>
    <row r="123" spans="1:16" hidden="1" x14ac:dyDescent="0.25">
      <c r="A123" t="s">
        <v>813</v>
      </c>
      <c r="B123" t="str">
        <f>IF(COUNTIF(A:A,A123)&gt;1,_xlfn.CONCAT(A123," (",N123,")"),A123)</f>
        <v>Chéngqū (Jìnzhōng Shì)</v>
      </c>
      <c r="C123" t="str">
        <f>IF(COUNTIF(B:B,B123)&gt;1,_xlfn.CONCAT(A123," (",M123,")"),B123)</f>
        <v>Chéngqū (Yúshè Xiàn)</v>
      </c>
      <c r="D123" t="s">
        <v>814</v>
      </c>
      <c r="E123" t="s">
        <v>35</v>
      </c>
      <c r="F123" t="str">
        <f>_xlfn.CONCAT(D123,", ",H123,", ",I123,", ","山西省")</f>
        <v>城区, 榆社县, 晋中市, 山西省</v>
      </c>
      <c r="G123">
        <v>20681</v>
      </c>
      <c r="H123" t="s">
        <v>2924</v>
      </c>
      <c r="I123" t="s">
        <v>2914</v>
      </c>
      <c r="J123" t="e">
        <f>VLOOKUP(F123,[1]!china_towns_second__2[[Column1]:[Y]],3,FALSE)</f>
        <v>#N/A</v>
      </c>
      <c r="K123" t="e">
        <f>VLOOKUP(F123,[1]!china_towns_second__2[[Column1]:[Y]],2,FALSE)</f>
        <v>#N/A</v>
      </c>
      <c r="L123" t="s">
        <v>3705</v>
      </c>
      <c r="M123" t="str">
        <f>VLOOKUP(H123,CHOOSE({1,2},Table12[Native],Table12[Name]),2,0)</f>
        <v>Yúshè Xiàn</v>
      </c>
      <c r="N123" s="13" t="str">
        <f>VLOOKUP(I123,CHOOSE({1,2},Table12[Native],Table12[Name]),2,0)</f>
        <v>Jìnzhōng Shì</v>
      </c>
      <c r="O123" s="13" t="str">
        <f t="shared" si="2"/>
        <v>Chengqu (Yushe Xian) (Jìnzhōng Shì)</v>
      </c>
      <c r="P123" s="13" t="str">
        <f t="shared" si="3"/>
        <v>Chengqu (Yushe Xian) (Jìnzhōng Shì)</v>
      </c>
    </row>
    <row r="124" spans="1:16" hidden="1" x14ac:dyDescent="0.25">
      <c r="A124" t="s">
        <v>813</v>
      </c>
      <c r="B124" t="str">
        <f>IF(COUNTIF(A:A,A124)&gt;1,_xlfn.CONCAT(A124," (",N124,")"),A124)</f>
        <v>Chéngqū (Jìnzhōng Shì)</v>
      </c>
      <c r="C124" t="str">
        <f>IF(COUNTIF(B:B,B124)&gt;1,_xlfn.CONCAT(A124," (",M124,")"),B124)</f>
        <v>Chéngqū (Zuǒquán Xiàn)</v>
      </c>
      <c r="D124" t="s">
        <v>814</v>
      </c>
      <c r="E124" t="s">
        <v>31</v>
      </c>
      <c r="F124" t="str">
        <f>_xlfn.CONCAT(D124,", ",H124,", ",I124,", ","山西省")</f>
        <v>城区, 左权县, 晋中市, 山西省</v>
      </c>
      <c r="G124">
        <v>47403</v>
      </c>
      <c r="H124" t="s">
        <v>2925</v>
      </c>
      <c r="I124" t="s">
        <v>2914</v>
      </c>
      <c r="J124" t="e">
        <f>VLOOKUP(F124,[1]!china_towns_second__2[[Column1]:[Y]],3,FALSE)</f>
        <v>#N/A</v>
      </c>
      <c r="K124" t="e">
        <f>VLOOKUP(F124,[1]!china_towns_second__2[[Column1]:[Y]],2,FALSE)</f>
        <v>#N/A</v>
      </c>
      <c r="L124" t="s">
        <v>3706</v>
      </c>
      <c r="M124" t="str">
        <f>VLOOKUP(H124,CHOOSE({1,2},Table12[Native],Table12[Name]),2,0)</f>
        <v>Zuǒquán Xiàn</v>
      </c>
      <c r="N124" s="13" t="str">
        <f>VLOOKUP(I124,CHOOSE({1,2},Table12[Native],Table12[Name]),2,0)</f>
        <v>Jìnzhōng Shì</v>
      </c>
      <c r="O124" s="13" t="str">
        <f t="shared" si="2"/>
        <v>Chengqu (Zuoquan Xian) (Jìnzhōng Shì)</v>
      </c>
      <c r="P124" s="13" t="str">
        <f t="shared" si="3"/>
        <v>Chengqu (Zuoquan Xian) (Jìnzhōng Shì)</v>
      </c>
    </row>
    <row r="125" spans="1:16" hidden="1" x14ac:dyDescent="0.25">
      <c r="A125" t="s">
        <v>2128</v>
      </c>
      <c r="B125" t="str">
        <f>IF(COUNTIF(A:A,A125)&gt;1,_xlfn.CONCAT(A125," (",N125,")"),A125)</f>
        <v>Chéngqū Jiēdào (Xīnzhōu Shì)</v>
      </c>
      <c r="C125" t="str">
        <f>IF(COUNTIF(B:B,B125)&gt;1,_xlfn.CONCAT(A125," (",M125,")"),B125)</f>
        <v>Chéngqū Jiēdào (Xīnzhōu Shì)</v>
      </c>
      <c r="D125" t="s">
        <v>2129</v>
      </c>
      <c r="E125" t="s">
        <v>31</v>
      </c>
      <c r="F125" t="str">
        <f>_xlfn.CONCAT(D125,", ",H125,", ",I125,", ","山西省")</f>
        <v>城区街道, 宁武县, 忻州市, 山西省</v>
      </c>
      <c r="G125">
        <v>38410</v>
      </c>
      <c r="H125" t="s">
        <v>2989</v>
      </c>
      <c r="I125" t="s">
        <v>2981</v>
      </c>
      <c r="J125" t="e">
        <f>VLOOKUP(F125,[1]!china_towns_second__2[[Column1]:[Y]],3,FALSE)</f>
        <v>#N/A</v>
      </c>
      <c r="K125" t="e">
        <f>VLOOKUP(F125,[1]!china_towns_second__2[[Column1]:[Y]],2,FALSE)</f>
        <v>#N/A</v>
      </c>
      <c r="L125" t="s">
        <v>3707</v>
      </c>
      <c r="M125" t="str">
        <f>VLOOKUP(H125,CHOOSE({1,2},Table12[Native],Table12[Name]),2,0)</f>
        <v>Níngwŭ Xiàn</v>
      </c>
      <c r="N125" s="13" t="str">
        <f>VLOOKUP(I125,CHOOSE({1,2},Table12[Native],Table12[Name]),2,0)</f>
        <v>Xīnzhōu Shì</v>
      </c>
      <c r="O125" s="13" t="str">
        <f t="shared" si="2"/>
        <v>Chengqu Jiedao (Xinzhou Shi) (Xīnzhōu Shì)</v>
      </c>
      <c r="P125" s="13" t="str">
        <f t="shared" si="3"/>
        <v>Chengqu Jiedao (Xinzhou Shi) (Xīnzhōu Shì)</v>
      </c>
    </row>
    <row r="126" spans="1:16" hidden="1" x14ac:dyDescent="0.25">
      <c r="A126" t="s">
        <v>2128</v>
      </c>
      <c r="B126" t="str">
        <f>IF(COUNTIF(A:A,A126)&gt;1,_xlfn.CONCAT(A126," (",N126,")"),A126)</f>
        <v>Chéngqū Jiēdào (Yùnchéng Shì)</v>
      </c>
      <c r="C126" t="str">
        <f>IF(COUNTIF(B:B,B126)&gt;1,_xlfn.CONCAT(A126," (",M126,")"),B126)</f>
        <v>Chéngqū Jiēdào (Yùnchéng Shì)</v>
      </c>
      <c r="D126" t="s">
        <v>2129</v>
      </c>
      <c r="E126" t="s">
        <v>31</v>
      </c>
      <c r="F126" t="str">
        <f>_xlfn.CONCAT(D126,", ",H126,", ",I126,", ","山西省")</f>
        <v>城区街道, 河津市, 运城市, 山西省</v>
      </c>
      <c r="G126">
        <v>103465</v>
      </c>
      <c r="H126" t="s">
        <v>3004</v>
      </c>
      <c r="I126" t="s">
        <v>3003</v>
      </c>
      <c r="J126">
        <f>VLOOKUP(F126,[1]!china_towns_second__2[[Column1]:[Y]],3,FALSE)</f>
        <v>35.580204998937802</v>
      </c>
      <c r="K126">
        <f>VLOOKUP(F126,[1]!china_towns_second__2[[Column1]:[Y]],2,FALSE)</f>
        <v>110.74261989999999</v>
      </c>
      <c r="L126" t="s">
        <v>3708</v>
      </c>
      <c r="M126" t="str">
        <f>VLOOKUP(H126,CHOOSE({1,2},Table12[Native],Table12[Name]),2,0)</f>
        <v>Héjīn Shì</v>
      </c>
      <c r="N126" s="13" t="str">
        <f>VLOOKUP(I126,CHOOSE({1,2},Table12[Native],Table12[Name]),2,0)</f>
        <v>Yùnchéng Shì</v>
      </c>
      <c r="O126" s="13" t="str">
        <f t="shared" si="2"/>
        <v>Chengqu Jiedao (Yuncheng Shi) (Yùnchéng Shì)</v>
      </c>
      <c r="P126" s="13" t="str">
        <f t="shared" si="3"/>
        <v>Chengqu Jiedao (Yuncheng Shi) (Yùnchéng Shì)</v>
      </c>
    </row>
    <row r="127" spans="1:16" hidden="1" x14ac:dyDescent="0.25">
      <c r="A127" t="s">
        <v>2613</v>
      </c>
      <c r="B127" t="str">
        <f>IF(COUNTIF(A:A,A127)&gt;1,_xlfn.CONCAT(A127," (",N127,")"),A127)</f>
        <v>Chéngxī Jiēdào</v>
      </c>
      <c r="C127" t="str">
        <f>IF(COUNTIF(B:B,B127)&gt;1,_xlfn.CONCAT(A127," (",M127,")"),B127)</f>
        <v>Chéngxī Jiēdào</v>
      </c>
      <c r="D127" t="s">
        <v>2614</v>
      </c>
      <c r="E127" t="s">
        <v>31</v>
      </c>
      <c r="F127" t="str">
        <f>_xlfn.CONCAT(D127,", ",H127,", ",I127,", ","山西省")</f>
        <v>城西街道, 永济市, 运城市, 山西省</v>
      </c>
      <c r="G127">
        <v>63327</v>
      </c>
      <c r="H127" t="s">
        <v>3015</v>
      </c>
      <c r="I127" t="s">
        <v>3003</v>
      </c>
      <c r="J127">
        <f>VLOOKUP(F127,[1]!china_towns_second__2[[Column1]:[Y]],3,FALSE)</f>
        <v>34.831221219168498</v>
      </c>
      <c r="K127">
        <f>VLOOKUP(F127,[1]!china_towns_second__2[[Column1]:[Y]],2,FALSE)</f>
        <v>110.4091351</v>
      </c>
      <c r="L127" t="s">
        <v>3709</v>
      </c>
      <c r="M127" t="str">
        <f>VLOOKUP(H127,CHOOSE({1,2},Table12[Native],Table12[Name]),2,0)</f>
        <v>Yŏngjì Shì</v>
      </c>
      <c r="N127" s="13" t="str">
        <f>VLOOKUP(I127,CHOOSE({1,2},Table12[Native],Table12[Name]),2,0)</f>
        <v>Yùnchéng Shì</v>
      </c>
      <c r="O127" s="13" t="str">
        <f t="shared" si="2"/>
        <v>Chengxi Jiedao (Yùnchéng Shì)</v>
      </c>
      <c r="P127" s="13" t="str">
        <f t="shared" si="3"/>
        <v>Chengxi Jiedao (Yùnchéng Shì)</v>
      </c>
    </row>
    <row r="128" spans="1:16" hidden="1" x14ac:dyDescent="0.25">
      <c r="A128" t="s">
        <v>816</v>
      </c>
      <c r="B128" t="str">
        <f>IF(COUNTIF(A:A,A128)&gt;1,_xlfn.CONCAT(A128," (",N128,")"),A128)</f>
        <v>Chéngzhào Zhèn</v>
      </c>
      <c r="C128" t="str">
        <f>IF(COUNTIF(B:B,B128)&gt;1,_xlfn.CONCAT(A128," (",M128,")"),B128)</f>
        <v>Chéngzhào Zhèn</v>
      </c>
      <c r="D128" t="s">
        <v>817</v>
      </c>
      <c r="E128" t="s">
        <v>7</v>
      </c>
      <c r="F128" t="str">
        <f>_xlfn.CONCAT(D128,", ",H128,", ",I128,", ","山西省")</f>
        <v>城赵镇, 祁县, 晋中市, 山西省</v>
      </c>
      <c r="G128">
        <v>34888</v>
      </c>
      <c r="H128" t="s">
        <v>2919</v>
      </c>
      <c r="I128" t="s">
        <v>2914</v>
      </c>
      <c r="J128">
        <f>VLOOKUP(F128,[1]!china_towns_second__2[[Column1]:[Y]],3,FALSE)</f>
        <v>37.378400172267803</v>
      </c>
      <c r="K128">
        <f>VLOOKUP(F128,[1]!china_towns_second__2[[Column1]:[Y]],2,FALSE)</f>
        <v>112.27681219999999</v>
      </c>
      <c r="L128" t="s">
        <v>3710</v>
      </c>
      <c r="M128" t="str">
        <f>VLOOKUP(H128,CHOOSE({1,2},Table12[Native],Table12[Name]),2,0)</f>
        <v>Qí Xiàn</v>
      </c>
      <c r="N128" s="13" t="str">
        <f>VLOOKUP(I128,CHOOSE({1,2},Table12[Native],Table12[Name]),2,0)</f>
        <v>Jìnzhōng Shì</v>
      </c>
      <c r="O128" s="13" t="str">
        <f t="shared" si="2"/>
        <v>Chengzhao Zhen (Jìnzhōng Shì)</v>
      </c>
      <c r="P128" s="13" t="str">
        <f t="shared" si="3"/>
        <v>Chengzhao Zhen (Jìnzhōng Shì)</v>
      </c>
    </row>
    <row r="129" spans="1:16" hidden="1" x14ac:dyDescent="0.25">
      <c r="A129" t="s">
        <v>1445</v>
      </c>
      <c r="B129" t="str">
        <f>IF(COUNTIF(A:A,A129)&gt;1,_xlfn.CONCAT(A129," (",N129,")"),A129)</f>
        <v>Chéngzhuāng Zhèn</v>
      </c>
      <c r="C129" t="str">
        <f>IF(COUNTIF(B:B,B129)&gt;1,_xlfn.CONCAT(A129," (",M129,")"),B129)</f>
        <v>Chéngzhuāng Zhèn</v>
      </c>
      <c r="D129" t="s">
        <v>1446</v>
      </c>
      <c r="E129" t="s">
        <v>7</v>
      </c>
      <c r="F129" t="str">
        <f>_xlfn.CONCAT(D129,", ",H129,", ",I129,", ","山西省")</f>
        <v>城庄镇, 临县, 吕梁市, 山西省</v>
      </c>
      <c r="G129">
        <v>24131</v>
      </c>
      <c r="H129" t="s">
        <v>2952</v>
      </c>
      <c r="I129" t="s">
        <v>2946</v>
      </c>
      <c r="J129">
        <f>VLOOKUP(F129,[1]!china_towns_second__2[[Column1]:[Y]],3,FALSE)</f>
        <v>38.067347096813997</v>
      </c>
      <c r="K129">
        <f>VLOOKUP(F129,[1]!china_towns_second__2[[Column1]:[Y]],2,FALSE)</f>
        <v>111.0936854</v>
      </c>
      <c r="L129" t="s">
        <v>3711</v>
      </c>
      <c r="M129" t="str">
        <f>VLOOKUP(H129,CHOOSE({1,2},Table12[Native],Table12[Name]),2,0)</f>
        <v>Lín Xiàn</v>
      </c>
      <c r="N129" s="13" t="str">
        <f>VLOOKUP(I129,CHOOSE({1,2},Table12[Native],Table12[Name]),2,0)</f>
        <v>Lǚliáng Shì</v>
      </c>
      <c r="O129" s="13" t="str">
        <f t="shared" si="2"/>
        <v>Chengzhuang Zhen (Lǚliáng Shì)</v>
      </c>
      <c r="P129" s="13" t="str">
        <f t="shared" si="3"/>
        <v>Chengzhuang Zhen (Lǚliáng Shì)</v>
      </c>
    </row>
    <row r="130" spans="1:16" hidden="1" x14ac:dyDescent="0.25">
      <c r="A130" t="s">
        <v>1447</v>
      </c>
      <c r="B130" t="str">
        <f>IF(COUNTIF(A:A,A130)&gt;1,_xlfn.CONCAT(A130," (",N130,")"),A130)</f>
        <v>Chénjiāwān Xiāng</v>
      </c>
      <c r="C130" t="str">
        <f>IF(COUNTIF(B:B,B130)&gt;1,_xlfn.CONCAT(A130," (",M130,")"),B130)</f>
        <v>Chénjiāwān Xiāng</v>
      </c>
      <c r="D130" t="s">
        <v>1448</v>
      </c>
      <c r="E130" t="s">
        <v>17</v>
      </c>
      <c r="F130" t="str">
        <f>_xlfn.CONCAT(D130,", ",H130,", ",I130,", ","山西省")</f>
        <v>陈家湾乡, 柳林县, 吕梁市, 山西省</v>
      </c>
      <c r="G130">
        <v>22885</v>
      </c>
      <c r="H130" t="s">
        <v>2954</v>
      </c>
      <c r="I130" t="s">
        <v>2946</v>
      </c>
      <c r="J130" t="e">
        <f>VLOOKUP(F130,[1]!china_towns_second__2[[Column1]:[Y]],3,FALSE)</f>
        <v>#N/A</v>
      </c>
      <c r="K130" t="e">
        <f>VLOOKUP(F130,[1]!china_towns_second__2[[Column1]:[Y]],2,FALSE)</f>
        <v>#N/A</v>
      </c>
      <c r="L130" t="s">
        <v>3712</v>
      </c>
      <c r="M130" t="str">
        <f>VLOOKUP(H130,CHOOSE({1,2},Table12[Native],Table12[Name]),2,0)</f>
        <v>Liŭlín Xiàn</v>
      </c>
      <c r="N130" s="13" t="str">
        <f>VLOOKUP(I130,CHOOSE({1,2},Table12[Native],Table12[Name]),2,0)</f>
        <v>Lǚliáng Shì</v>
      </c>
      <c r="O130" s="13" t="str">
        <f t="shared" ref="O130:O193" si="4">_xlfn.CONCAT(L130," (",N130,")")</f>
        <v>Chenjiawan Xiang (Lǚliáng Shì)</v>
      </c>
      <c r="P130" s="13" t="str">
        <f t="shared" ref="P130:P193" si="5">IF(COUNTIF(O:O,O130)&gt;1,_xlfn.CONCAT(L130," (",M130,")"),O130)</f>
        <v>Chenjiawan Xiang (Lǚliáng Shì)</v>
      </c>
    </row>
    <row r="131" spans="1:16" hidden="1" x14ac:dyDescent="0.25">
      <c r="A131" t="s">
        <v>2130</v>
      </c>
      <c r="B131" t="str">
        <f>IF(COUNTIF(A:A,A131)&gt;1,_xlfn.CONCAT(A131," (",N131,")"),A131)</f>
        <v>Chénjiāyíng Xiāng</v>
      </c>
      <c r="C131" t="str">
        <f>IF(COUNTIF(B:B,B131)&gt;1,_xlfn.CONCAT(A131," (",M131,")"),B131)</f>
        <v>Chénjiāyíng Xiāng</v>
      </c>
      <c r="D131" t="s">
        <v>2131</v>
      </c>
      <c r="E131" t="s">
        <v>17</v>
      </c>
      <c r="F131" t="str">
        <f>_xlfn.CONCAT(D131,", ",H131,", ",I131,", ","山西省")</f>
        <v>陈家营乡, 偏关县, 忻州市, 山西省</v>
      </c>
      <c r="G131">
        <v>5617</v>
      </c>
      <c r="H131" t="s">
        <v>2990</v>
      </c>
      <c r="I131" t="s">
        <v>2981</v>
      </c>
      <c r="J131" t="e">
        <f>VLOOKUP(F131,[1]!china_towns_second__2[[Column1]:[Y]],3,FALSE)</f>
        <v>#N/A</v>
      </c>
      <c r="K131" t="e">
        <f>VLOOKUP(F131,[1]!china_towns_second__2[[Column1]:[Y]],2,FALSE)</f>
        <v>#N/A</v>
      </c>
      <c r="L131" t="s">
        <v>3713</v>
      </c>
      <c r="M131" t="str">
        <f>VLOOKUP(H131,CHOOSE({1,2},Table12[Native],Table12[Name]),2,0)</f>
        <v>Piānguān Xiàn</v>
      </c>
      <c r="N131" s="13" t="str">
        <f>VLOOKUP(I131,CHOOSE({1,2},Table12[Native],Table12[Name]),2,0)</f>
        <v>Xīnzhōu Shì</v>
      </c>
      <c r="O131" s="13" t="str">
        <f t="shared" si="4"/>
        <v>Chenjiaying Xiang (Xīnzhōu Shì)</v>
      </c>
      <c r="P131" s="13" t="str">
        <f t="shared" si="5"/>
        <v>Chenjiaying Xiang (Xīnzhōu Shì)</v>
      </c>
    </row>
    <row r="132" spans="1:16" hidden="1" x14ac:dyDescent="0.25">
      <c r="A132" t="s">
        <v>2133</v>
      </c>
      <c r="B132" t="str">
        <f>IF(COUNTIF(A:A,A132)&gt;1,_xlfn.CONCAT(A132," (",N132,")"),A132)</f>
        <v>Chénjiāzhuāng Xiāng</v>
      </c>
      <c r="C132" t="str">
        <f>IF(COUNTIF(B:B,B132)&gt;1,_xlfn.CONCAT(A132," (",M132,")"),B132)</f>
        <v>Chénjiāzhuāng Xiāng</v>
      </c>
      <c r="D132" t="s">
        <v>2134</v>
      </c>
      <c r="E132" t="s">
        <v>17</v>
      </c>
      <c r="F132" t="str">
        <f>_xlfn.CONCAT(D132,", ",H132,", ",I132,", ","山西省")</f>
        <v>陈家庄乡, 五台县, 忻州市, 山西省</v>
      </c>
      <c r="G132">
        <v>14939</v>
      </c>
      <c r="H132" t="s">
        <v>2992</v>
      </c>
      <c r="I132" t="s">
        <v>2981</v>
      </c>
      <c r="J132" t="e">
        <f>VLOOKUP(F132,[1]!china_towns_second__2[[Column1]:[Y]],3,FALSE)</f>
        <v>#N/A</v>
      </c>
      <c r="K132" t="e">
        <f>VLOOKUP(F132,[1]!china_towns_second__2[[Column1]:[Y]],2,FALSE)</f>
        <v>#N/A</v>
      </c>
      <c r="L132" t="s">
        <v>3714</v>
      </c>
      <c r="M132" t="str">
        <f>VLOOKUP(H132,CHOOSE({1,2},Table12[Native],Table12[Name]),2,0)</f>
        <v>Wŭtái Xiàn</v>
      </c>
      <c r="N132" s="13" t="str">
        <f>VLOOKUP(I132,CHOOSE({1,2},Table12[Native],Table12[Name]),2,0)</f>
        <v>Xīnzhōu Shì</v>
      </c>
      <c r="O132" s="13" t="str">
        <f t="shared" si="4"/>
        <v>Chenjiazhuang Xiang (Xīnzhōu Shì)</v>
      </c>
      <c r="P132" s="13" t="str">
        <f t="shared" si="5"/>
        <v>Chenjiazhuang Xiang (Xīnzhōu Shì)</v>
      </c>
    </row>
    <row r="133" spans="1:16" hidden="1" x14ac:dyDescent="0.25">
      <c r="A133" t="s">
        <v>633</v>
      </c>
      <c r="B133" t="str">
        <f>IF(COUNTIF(A:A,A133)&gt;1,_xlfn.CONCAT(A133," (",N133,")"),A133)</f>
        <v>Chénqū Zhèn</v>
      </c>
      <c r="C133" t="str">
        <f>IF(COUNTIF(B:B,B133)&gt;1,_xlfn.CONCAT(A133," (",M133,")"),B133)</f>
        <v>Chénqū Zhèn</v>
      </c>
      <c r="D133" t="s">
        <v>634</v>
      </c>
      <c r="E133" t="s">
        <v>7</v>
      </c>
      <c r="F133" t="str">
        <f>_xlfn.CONCAT(D133,", ",H133,", ",I133,", ","山西省")</f>
        <v>陈区镇, 高平市, 晋城市, 山西省</v>
      </c>
      <c r="G133">
        <v>28186</v>
      </c>
      <c r="H133" t="s">
        <v>2908</v>
      </c>
      <c r="I133" t="s">
        <v>2906</v>
      </c>
      <c r="J133">
        <f>VLOOKUP(F133,[1]!china_towns_second__2[[Column1]:[Y]],3,FALSE)</f>
        <v>35.8611901117456</v>
      </c>
      <c r="K133">
        <f>VLOOKUP(F133,[1]!china_towns_second__2[[Column1]:[Y]],2,FALSE)</f>
        <v>113.0424531</v>
      </c>
      <c r="L133" t="s">
        <v>3715</v>
      </c>
      <c r="M133" t="str">
        <f>VLOOKUP(H133,CHOOSE({1,2},Table12[Native],Table12[Name]),2,0)</f>
        <v>Gāopíng Shì</v>
      </c>
      <c r="N133" s="13" t="str">
        <f>VLOOKUP(I133,CHOOSE({1,2},Table12[Native],Table12[Name]),2,0)</f>
        <v>Jìnchéng Shì</v>
      </c>
      <c r="O133" s="13" t="str">
        <f t="shared" si="4"/>
        <v>Chenqu Zhen (Jìnchéng Shì)</v>
      </c>
      <c r="P133" s="13" t="str">
        <f t="shared" si="5"/>
        <v>Chenqu Zhen (Jìnchéng Shì)</v>
      </c>
    </row>
    <row r="134" spans="1:16" hidden="1" x14ac:dyDescent="0.25">
      <c r="A134" t="s">
        <v>1096</v>
      </c>
      <c r="B134" t="str">
        <f>IF(COUNTIF(A:A,A134)&gt;1,_xlfn.CONCAT(A134," (",N134,")"),A134)</f>
        <v>Chēzhànjiē Jiēdào</v>
      </c>
      <c r="C134" t="str">
        <f>IF(COUNTIF(B:B,B134)&gt;1,_xlfn.CONCAT(A134," (",M134,")"),B134)</f>
        <v>Chēzhànjiē Jiēdào</v>
      </c>
      <c r="D134" t="s">
        <v>1097</v>
      </c>
      <c r="E134" t="s">
        <v>31</v>
      </c>
      <c r="F134" t="str">
        <f>_xlfn.CONCAT(D134,", ",H134,", ",I134,", ","山西省")</f>
        <v>车站街街道, 尧都区, 临汾市, 山西省</v>
      </c>
      <c r="G134">
        <v>40590</v>
      </c>
      <c r="H134" t="s">
        <v>2942</v>
      </c>
      <c r="I134" t="s">
        <v>2927</v>
      </c>
      <c r="J134">
        <f>VLOOKUP(F134,[1]!china_towns_second__2[[Column1]:[Y]],3,FALSE)</f>
        <v>36.0946662826737</v>
      </c>
      <c r="K134">
        <f>VLOOKUP(F134,[1]!china_towns_second__2[[Column1]:[Y]],2,FALSE)</f>
        <v>111.5247657</v>
      </c>
      <c r="L134" t="s">
        <v>3716</v>
      </c>
      <c r="M134" t="str">
        <f>VLOOKUP(H134,CHOOSE({1,2},Table12[Native],Table12[Name]),2,0)</f>
        <v>Yáodū Qū</v>
      </c>
      <c r="N134" s="13" t="str">
        <f>VLOOKUP(I134,CHOOSE({1,2},Table12[Native],Table12[Name]),2,0)</f>
        <v>Línfén Shì</v>
      </c>
      <c r="O134" s="13" t="str">
        <f t="shared" si="4"/>
        <v>Chezhanjie Jiedao (Línfén Shì)</v>
      </c>
      <c r="P134" s="13" t="str">
        <f t="shared" si="5"/>
        <v>Chezhanjie Jiedao (Línfén Shì)</v>
      </c>
    </row>
    <row r="135" spans="1:16" hidden="1" x14ac:dyDescent="0.25">
      <c r="A135" t="s">
        <v>2135</v>
      </c>
      <c r="B135" t="str">
        <f>IF(COUNTIF(A:A,A135)&gt;1,_xlfn.CONCAT(A135," (",N135,")"),A135)</f>
        <v>Chìníwā Xiāng</v>
      </c>
      <c r="C135" t="str">
        <f>IF(COUNTIF(B:B,B135)&gt;1,_xlfn.CONCAT(A135," (",M135,")"),B135)</f>
        <v>Chìníwā Xiāng</v>
      </c>
      <c r="D135" t="s">
        <v>2136</v>
      </c>
      <c r="E135" t="s">
        <v>17</v>
      </c>
      <c r="F135" t="str">
        <f>_xlfn.CONCAT(D135,", ",H135,", ",I135,", ","山西省")</f>
        <v>赤泥洼乡, 静乐县, 忻州市, 山西省</v>
      </c>
      <c r="G135">
        <v>7542</v>
      </c>
      <c r="H135" t="s">
        <v>2987</v>
      </c>
      <c r="I135" t="s">
        <v>2981</v>
      </c>
      <c r="J135" t="e">
        <f>VLOOKUP(F135,[1]!china_towns_second__2[[Column1]:[Y]],3,FALSE)</f>
        <v>#N/A</v>
      </c>
      <c r="K135" t="e">
        <f>VLOOKUP(F135,[1]!china_towns_second__2[[Column1]:[Y]],2,FALSE)</f>
        <v>#N/A</v>
      </c>
      <c r="L135" t="s">
        <v>3717</v>
      </c>
      <c r="M135" t="str">
        <f>VLOOKUP(H135,CHOOSE({1,2},Table12[Native],Table12[Name]),2,0)</f>
        <v>Jìnglè Xiàn</v>
      </c>
      <c r="N135" s="13" t="str">
        <f>VLOOKUP(I135,CHOOSE({1,2},Table12[Native],Table12[Name]),2,0)</f>
        <v>Xīnzhōu Shì</v>
      </c>
      <c r="O135" s="13" t="str">
        <f t="shared" si="4"/>
        <v>Chiniwa Xiang (Xīnzhōu Shì)</v>
      </c>
      <c r="P135" s="13" t="str">
        <f t="shared" si="5"/>
        <v>Chiniwa Xiang (Xīnzhōu Shì)</v>
      </c>
    </row>
    <row r="136" spans="1:16" hidden="1" x14ac:dyDescent="0.25">
      <c r="A136" t="s">
        <v>48</v>
      </c>
      <c r="B136" t="str">
        <f>IF(COUNTIF(A:A,A136)&gt;1,_xlfn.CONCAT(A136," (",N136,")"),A136)</f>
        <v>Chìshíqiáo Xiāng</v>
      </c>
      <c r="C136" t="str">
        <f>IF(COUNTIF(B:B,B136)&gt;1,_xlfn.CONCAT(A136," (",M136,")"),B136)</f>
        <v>Chìshíqiáo Xiāng</v>
      </c>
      <c r="D136" t="s">
        <v>49</v>
      </c>
      <c r="E136" t="s">
        <v>17</v>
      </c>
      <c r="F136" t="str">
        <f>_xlfn.CONCAT(D136,", ",H136,", ",I136,", ","山西省")</f>
        <v>赤石桥乡, 沁源县, 长治市, 山西省</v>
      </c>
      <c r="G136">
        <v>5937</v>
      </c>
      <c r="H136" t="s">
        <v>2888</v>
      </c>
      <c r="I136" t="s">
        <v>2878</v>
      </c>
      <c r="J136" t="e">
        <f>VLOOKUP(F136,[1]!china_towns_second__2[[Column1]:[Y]],3,FALSE)</f>
        <v>#N/A</v>
      </c>
      <c r="K136" t="e">
        <f>VLOOKUP(F136,[1]!china_towns_second__2[[Column1]:[Y]],2,FALSE)</f>
        <v>#N/A</v>
      </c>
      <c r="L136" t="s">
        <v>3718</v>
      </c>
      <c r="M136" t="str">
        <f>VLOOKUP(H136,CHOOSE({1,2},Table12[Native],Table12[Name]),2,0)</f>
        <v>Qìnyuán Xiàn</v>
      </c>
      <c r="N136" s="13" t="str">
        <f>VLOOKUP(I136,CHOOSE({1,2},Table12[Native],Table12[Name]),2,0)</f>
        <v>Chángzhì Shì</v>
      </c>
      <c r="O136" s="13" t="str">
        <f t="shared" si="4"/>
        <v>Chishiqiao Xiang (Chángzhì Shì)</v>
      </c>
      <c r="P136" s="13" t="str">
        <f t="shared" si="5"/>
        <v>Chishiqiao Xiang (Chángzhì Shì)</v>
      </c>
    </row>
    <row r="137" spans="1:16" hidden="1" x14ac:dyDescent="0.25">
      <c r="A137" t="s">
        <v>1449</v>
      </c>
      <c r="B137" t="str">
        <f>IF(COUNTIF(A:A,A137)&gt;1,_xlfn.CONCAT(A137," (",N137,")"),A137)</f>
        <v>Chóngwén Jiēdào</v>
      </c>
      <c r="C137" t="str">
        <f>IF(COUNTIF(B:B,B137)&gt;1,_xlfn.CONCAT(A137," (",M137,")"),B137)</f>
        <v>Chóngwén Jiēdào</v>
      </c>
      <c r="D137" t="s">
        <v>1450</v>
      </c>
      <c r="E137" t="s">
        <v>31</v>
      </c>
      <c r="F137" t="str">
        <f>_xlfn.CONCAT(D137,", ",H137,", ",I137,", ","山西省")</f>
        <v>崇文街道, 孝义市, 吕梁市, 山西省</v>
      </c>
      <c r="G137">
        <v>36284</v>
      </c>
      <c r="H137" t="s">
        <v>2957</v>
      </c>
      <c r="I137" t="s">
        <v>2946</v>
      </c>
      <c r="J137">
        <f>VLOOKUP(F137,[1]!china_towns_second__2[[Column1]:[Y]],3,FALSE)</f>
        <v>37.163001847750202</v>
      </c>
      <c r="K137">
        <f>VLOOKUP(F137,[1]!china_towns_second__2[[Column1]:[Y]],2,FALSE)</f>
        <v>111.76775670000001</v>
      </c>
      <c r="L137" t="s">
        <v>3719</v>
      </c>
      <c r="M137" t="str">
        <f>VLOOKUP(H137,CHOOSE({1,2},Table12[Native],Table12[Name]),2,0)</f>
        <v>Xiàoyì Shì</v>
      </c>
      <c r="N137" s="13" t="str">
        <f>VLOOKUP(I137,CHOOSE({1,2},Table12[Native],Table12[Name]),2,0)</f>
        <v>Lǚliáng Shì</v>
      </c>
      <c r="O137" s="13" t="str">
        <f t="shared" si="4"/>
        <v>Chongwen Jiedao (Lǚliáng Shì)</v>
      </c>
      <c r="P137" s="13" t="str">
        <f t="shared" si="5"/>
        <v>Chongwen Jiedao (Lǚliáng Shì)</v>
      </c>
    </row>
    <row r="138" spans="1:16" hidden="1" x14ac:dyDescent="0.25">
      <c r="A138" t="s">
        <v>635</v>
      </c>
      <c r="B138" t="str">
        <f>IF(COUNTIF(A:A,A138)&gt;1,_xlfn.CONCAT(A138," (",N138,")"),A138)</f>
        <v>Chóngwén Zhèn</v>
      </c>
      <c r="C138" t="str">
        <f>IF(COUNTIF(B:B,B138)&gt;1,_xlfn.CONCAT(A138," (",M138,")"),B138)</f>
        <v>Chóngwén Zhèn</v>
      </c>
      <c r="D138" t="s">
        <v>636</v>
      </c>
      <c r="E138" t="s">
        <v>7</v>
      </c>
      <c r="F138" t="str">
        <f>_xlfn.CONCAT(D138,", ",H138,", ",I138,", ","山西省")</f>
        <v>崇文镇, 陵川县, 晋城市, 山西省</v>
      </c>
      <c r="G138">
        <v>68079</v>
      </c>
      <c r="H138" t="s">
        <v>2909</v>
      </c>
      <c r="I138" t="s">
        <v>2906</v>
      </c>
      <c r="J138">
        <f>VLOOKUP(F138,[1]!china_towns_second__2[[Column1]:[Y]],3,FALSE)</f>
        <v>35.749830095799403</v>
      </c>
      <c r="K138">
        <f>VLOOKUP(F138,[1]!china_towns_second__2[[Column1]:[Y]],2,FALSE)</f>
        <v>113.26106369999999</v>
      </c>
      <c r="L138" t="s">
        <v>3720</v>
      </c>
      <c r="M138" t="str">
        <f>VLOOKUP(H138,CHOOSE({1,2},Table12[Native],Table12[Name]),2,0)</f>
        <v>Língchuān Xiàn</v>
      </c>
      <c r="N138" s="13" t="str">
        <f>VLOOKUP(I138,CHOOSE({1,2},Table12[Native],Table12[Name]),2,0)</f>
        <v>Jìnchéng Shì</v>
      </c>
      <c r="O138" s="13" t="str">
        <f t="shared" si="4"/>
        <v>Chongwen Zhen (Jìnchéng Shì)</v>
      </c>
      <c r="P138" s="13" t="str">
        <f t="shared" si="5"/>
        <v>Chongwen Zhen (Jìnchéng Shì)</v>
      </c>
    </row>
    <row r="139" spans="1:16" hidden="1" x14ac:dyDescent="0.25">
      <c r="A139" t="s">
        <v>638</v>
      </c>
      <c r="B139" t="str">
        <f>IF(COUNTIF(A:A,A139)&gt;1,_xlfn.CONCAT(A139," (",N139,")"),A139)</f>
        <v>Chuāndĭ Xiāng</v>
      </c>
      <c r="C139" t="str">
        <f>IF(COUNTIF(B:B,B139)&gt;1,_xlfn.CONCAT(A139," (",M139,")"),B139)</f>
        <v>Chuāndĭ Xiāng</v>
      </c>
      <c r="D139" t="s">
        <v>639</v>
      </c>
      <c r="E139" t="s">
        <v>17</v>
      </c>
      <c r="F139" t="str">
        <f>_xlfn.CONCAT(D139,", ",H139,", ",I139,", ","山西省")</f>
        <v>川底乡, 泽州县, 晋城市, 山西省</v>
      </c>
      <c r="G139">
        <v>21491</v>
      </c>
      <c r="H139" t="s">
        <v>2912</v>
      </c>
      <c r="I139" t="s">
        <v>2906</v>
      </c>
      <c r="J139" t="e">
        <f>VLOOKUP(F139,[1]!china_towns_second__2[[Column1]:[Y]],3,FALSE)</f>
        <v>#N/A</v>
      </c>
      <c r="K139" t="e">
        <f>VLOOKUP(F139,[1]!china_towns_second__2[[Column1]:[Y]],2,FALSE)</f>
        <v>#N/A</v>
      </c>
      <c r="L139" t="s">
        <v>3721</v>
      </c>
      <c r="M139" t="str">
        <f>VLOOKUP(H139,CHOOSE({1,2},Table12[Native],Table12[Name]),2,0)</f>
        <v>Zézhōu Xiàn</v>
      </c>
      <c r="N139" s="13" t="str">
        <f>VLOOKUP(I139,CHOOSE({1,2},Table12[Native],Table12[Name]),2,0)</f>
        <v>Jìnchéng Shì</v>
      </c>
      <c r="O139" s="13" t="str">
        <f t="shared" si="4"/>
        <v>Chuandi Xiang (Jìnchéng Shì)</v>
      </c>
      <c r="P139" s="13" t="str">
        <f t="shared" si="5"/>
        <v>Chuandi Xiang (Jìnchéng Shì)</v>
      </c>
    </row>
    <row r="140" spans="1:16" hidden="1" x14ac:dyDescent="0.25">
      <c r="A140" t="s">
        <v>2615</v>
      </c>
      <c r="B140" t="str">
        <f>IF(COUNTIF(A:A,A140)&gt;1,_xlfn.CONCAT(A140," (",N140,")"),A140)</f>
        <v>Chŭhòu Xiāng</v>
      </c>
      <c r="C140" t="str">
        <f>IF(COUNTIF(B:B,B140)&gt;1,_xlfn.CONCAT(A140," (",M140,")"),B140)</f>
        <v>Chŭhòu Xiāng</v>
      </c>
      <c r="D140" t="s">
        <v>2616</v>
      </c>
      <c r="E140" t="s">
        <v>17</v>
      </c>
      <c r="F140" t="str">
        <f>_xlfn.CONCAT(D140,", ",H140,", ",I140,", ","山西省")</f>
        <v>楚侯乡, 临猗县, 运城市, 山西省</v>
      </c>
      <c r="G140">
        <v>27967</v>
      </c>
      <c r="H140" t="s">
        <v>3007</v>
      </c>
      <c r="I140" t="s">
        <v>3003</v>
      </c>
      <c r="J140" t="e">
        <f>VLOOKUP(F140,[1]!china_towns_second__2[[Column1]:[Y]],3,FALSE)</f>
        <v>#N/A</v>
      </c>
      <c r="K140" t="e">
        <f>VLOOKUP(F140,[1]!china_towns_second__2[[Column1]:[Y]],2,FALSE)</f>
        <v>#N/A</v>
      </c>
      <c r="L140" t="s">
        <v>3722</v>
      </c>
      <c r="M140" t="str">
        <f>VLOOKUP(H140,CHOOSE({1,2},Table12[Native],Table12[Name]),2,0)</f>
        <v>Línyī Xiàn</v>
      </c>
      <c r="N140" s="13" t="str">
        <f>VLOOKUP(I140,CHOOSE({1,2},Table12[Native],Table12[Name]),2,0)</f>
        <v>Yùnchéng Shì</v>
      </c>
      <c r="O140" s="13" t="str">
        <f t="shared" si="4"/>
        <v>Chuhou Xiang (Yùnchéng Shì)</v>
      </c>
      <c r="P140" s="13" t="str">
        <f t="shared" si="5"/>
        <v>Chuhou Xiang (Yùnchéng Shì)</v>
      </c>
    </row>
    <row r="141" spans="1:16" hidden="1" x14ac:dyDescent="0.25">
      <c r="A141" t="s">
        <v>51</v>
      </c>
      <c r="B141" t="str">
        <f>IF(COUNTIF(A:A,A141)&gt;1,_xlfn.CONCAT(A141," (",N141,")"),A141)</f>
        <v>Cìcūn Xiāng</v>
      </c>
      <c r="C141" t="str">
        <f>IF(COUNTIF(B:B,B141)&gt;1,_xlfn.CONCAT(A141," (",M141,")"),B141)</f>
        <v>Cìcūn Xiāng</v>
      </c>
      <c r="D141" t="s">
        <v>52</v>
      </c>
      <c r="E141" t="s">
        <v>17</v>
      </c>
      <c r="F141" t="str">
        <f>_xlfn.CONCAT(D141,", ",H141,", ",I141,", ","山西省")</f>
        <v>次村乡, 沁县, 长治市, 山西省</v>
      </c>
      <c r="G141">
        <v>3871</v>
      </c>
      <c r="H141" t="s">
        <v>2887</v>
      </c>
      <c r="I141" t="s">
        <v>2878</v>
      </c>
      <c r="J141" t="e">
        <f>VLOOKUP(F141,[1]!china_towns_second__2[[Column1]:[Y]],3,FALSE)</f>
        <v>#N/A</v>
      </c>
      <c r="K141" t="e">
        <f>VLOOKUP(F141,[1]!china_towns_second__2[[Column1]:[Y]],2,FALSE)</f>
        <v>#N/A</v>
      </c>
      <c r="L141" t="s">
        <v>3723</v>
      </c>
      <c r="M141" t="str">
        <f>VLOOKUP(H141,CHOOSE({1,2},Table12[Native],Table12[Name]),2,0)</f>
        <v>Qìn Xiàn</v>
      </c>
      <c r="N141" s="13" t="str">
        <f>VLOOKUP(I141,CHOOSE({1,2},Table12[Native],Table12[Name]),2,0)</f>
        <v>Chángzhì Shì</v>
      </c>
      <c r="O141" s="13" t="str">
        <f t="shared" si="4"/>
        <v>Cicun Xiang (Chángzhì Shì)</v>
      </c>
      <c r="P141" s="13" t="str">
        <f t="shared" si="5"/>
        <v>Cicun Xiang (Chángzhì Shì)</v>
      </c>
    </row>
    <row r="142" spans="1:16" hidden="1" x14ac:dyDescent="0.25">
      <c r="A142" t="s">
        <v>53</v>
      </c>
      <c r="B142" t="str">
        <f>IF(COUNTIF(A:A,A142)&gt;1,_xlfn.CONCAT(A142," (",N142,")"),A142)</f>
        <v>Cílín Zhèn</v>
      </c>
      <c r="C142" t="str">
        <f>IF(COUNTIF(B:B,B142)&gt;1,_xlfn.CONCAT(A142," (",M142,")"),B142)</f>
        <v>Cílín Zhèn</v>
      </c>
      <c r="D142" t="s">
        <v>54</v>
      </c>
      <c r="E142" t="s">
        <v>7</v>
      </c>
      <c r="F142" t="str">
        <f>_xlfn.CONCAT(D142,", ",H142,", ",I142,", ","山西省")</f>
        <v>慈林镇, 长子县, 长治市, 山西省</v>
      </c>
      <c r="G142">
        <v>33227</v>
      </c>
      <c r="H142" t="s">
        <v>2880</v>
      </c>
      <c r="I142" t="s">
        <v>2878</v>
      </c>
      <c r="J142">
        <f>VLOOKUP(F142,[1]!china_towns_second__2[[Column1]:[Y]],3,FALSE)</f>
        <v>35.994954106265098</v>
      </c>
      <c r="K142">
        <f>VLOOKUP(F142,[1]!china_towns_second__2[[Column1]:[Y]],2,FALSE)</f>
        <v>112.9140941</v>
      </c>
      <c r="L142" t="s">
        <v>3724</v>
      </c>
      <c r="M142" t="str">
        <f>VLOOKUP(H142,CHOOSE({1,2},Table12[Native],Table12[Name]),2,0)</f>
        <v>Chángzi Xiàn</v>
      </c>
      <c r="N142" s="13" t="str">
        <f>VLOOKUP(I142,CHOOSE({1,2},Table12[Native],Table12[Name]),2,0)</f>
        <v>Chángzhì Shì</v>
      </c>
      <c r="O142" s="13" t="str">
        <f t="shared" si="4"/>
        <v>Cilin Zhen (Chángzhì Shì)</v>
      </c>
      <c r="P142" s="13" t="str">
        <f t="shared" si="5"/>
        <v>Cilin Zhen (Chángzhì Shì)</v>
      </c>
    </row>
    <row r="143" spans="1:16" hidden="1" x14ac:dyDescent="0.25">
      <c r="A143" t="s">
        <v>640</v>
      </c>
      <c r="B143" t="str">
        <f>IF(COUNTIF(A:A,A143)&gt;1,_xlfn.CONCAT(A143," (",N143,")"),A143)</f>
        <v>Cìyíng Zhèn</v>
      </c>
      <c r="C143" t="str">
        <f>IF(COUNTIF(B:B,B143)&gt;1,_xlfn.CONCAT(A143," (",M143,")"),B143)</f>
        <v>Cìyíng Zhèn</v>
      </c>
      <c r="D143" t="s">
        <v>641</v>
      </c>
      <c r="E143" t="s">
        <v>7</v>
      </c>
      <c r="F143" t="str">
        <f>_xlfn.CONCAT(D143,", ",H143,", ",I143,", ","山西省")</f>
        <v>次营镇, 阳城县, 晋城市, 山西省</v>
      </c>
      <c r="G143">
        <v>12595</v>
      </c>
      <c r="H143" t="s">
        <v>2911</v>
      </c>
      <c r="I143" t="s">
        <v>2906</v>
      </c>
      <c r="J143">
        <f>VLOOKUP(F143,[1]!china_towns_second__2[[Column1]:[Y]],3,FALSE)</f>
        <v>35.492045265347201</v>
      </c>
      <c r="K143">
        <f>VLOOKUP(F143,[1]!china_towns_second__2[[Column1]:[Y]],2,FALSE)</f>
        <v>112.2650123</v>
      </c>
      <c r="L143" t="s">
        <v>3725</v>
      </c>
      <c r="M143" t="str">
        <f>VLOOKUP(H143,CHOOSE({1,2},Table12[Native],Table12[Name]),2,0)</f>
        <v>Yángchéng Xiàn</v>
      </c>
      <c r="N143" s="13" t="str">
        <f>VLOOKUP(I143,CHOOSE({1,2},Table12[Native],Table12[Name]),2,0)</f>
        <v>Jìnchéng Shì</v>
      </c>
      <c r="O143" s="13" t="str">
        <f t="shared" si="4"/>
        <v>Ciying Zhen (Jìnchéng Shì)</v>
      </c>
      <c r="P143" s="13" t="str">
        <f t="shared" si="5"/>
        <v>Ciying Zhen (Jìnchéng Shì)</v>
      </c>
    </row>
    <row r="144" spans="1:16" hidden="1" x14ac:dyDescent="0.25">
      <c r="A144" t="s">
        <v>1452</v>
      </c>
      <c r="B144" t="str">
        <f>IF(COUNTIF(A:A,A144)&gt;1,_xlfn.CONCAT(A144," (",N144,")"),A144)</f>
        <v>Cóngluóyù Zhèn</v>
      </c>
      <c r="C144" t="str">
        <f>IF(COUNTIF(B:B,B144)&gt;1,_xlfn.CONCAT(A144," (",M144,")"),B144)</f>
        <v>Cóngluóyù Zhèn</v>
      </c>
      <c r="D144" t="s">
        <v>1453</v>
      </c>
      <c r="E144" t="s">
        <v>7</v>
      </c>
      <c r="F144" t="str">
        <f>_xlfn.CONCAT(D144,", ",H144,", ",I144,", ","山西省")</f>
        <v>丛罗峪镇, 临县, 吕梁市, 山西省</v>
      </c>
      <c r="G144">
        <v>16790</v>
      </c>
      <c r="H144" t="s">
        <v>2952</v>
      </c>
      <c r="I144" t="s">
        <v>2946</v>
      </c>
      <c r="J144">
        <f>VLOOKUP(F144,[1]!china_towns_second__2[[Column1]:[Y]],3,FALSE)</f>
        <v>37.791195946424502</v>
      </c>
      <c r="K144">
        <f>VLOOKUP(F144,[1]!china_towns_second__2[[Column1]:[Y]],2,FALSE)</f>
        <v>110.7384113</v>
      </c>
      <c r="L144" t="s">
        <v>3726</v>
      </c>
      <c r="M144" t="str">
        <f>VLOOKUP(H144,CHOOSE({1,2},Table12[Native],Table12[Name]),2,0)</f>
        <v>Lín Xiàn</v>
      </c>
      <c r="N144" s="13" t="str">
        <f>VLOOKUP(I144,CHOOSE({1,2},Table12[Native],Table12[Name]),2,0)</f>
        <v>Lǚliáng Shì</v>
      </c>
      <c r="O144" s="13" t="str">
        <f t="shared" si="4"/>
        <v>Congluoyu Zhen (Lǚliáng Shì)</v>
      </c>
      <c r="P144" s="13" t="str">
        <f t="shared" si="5"/>
        <v>Congluoyu Zhen (Lǚliáng Shì)</v>
      </c>
    </row>
    <row r="145" spans="1:16" hidden="1" x14ac:dyDescent="0.25">
      <c r="A145" t="s">
        <v>55</v>
      </c>
      <c r="B145" t="str">
        <f>IF(COUNTIF(A:A,A145)&gt;1,_xlfn.CONCAT(A145," (",N145,")"),A145)</f>
        <v>Cōngziyù Xiāng</v>
      </c>
      <c r="C145" t="str">
        <f>IF(COUNTIF(B:B,B145)&gt;1,_xlfn.CONCAT(A145," (",M145,")"),B145)</f>
        <v>Cōngziyù Xiāng</v>
      </c>
      <c r="D145" t="s">
        <v>56</v>
      </c>
      <c r="E145" t="s">
        <v>17</v>
      </c>
      <c r="F145" t="str">
        <f>_xlfn.CONCAT(D145,", ",H145,", ",I145,", ","山西省")</f>
        <v>聪子峪乡, 沁源县, 长治市, 山西省</v>
      </c>
      <c r="G145">
        <v>6441</v>
      </c>
      <c r="H145" t="s">
        <v>2888</v>
      </c>
      <c r="I145" t="s">
        <v>2878</v>
      </c>
      <c r="J145" t="e">
        <f>VLOOKUP(F145,[1]!china_towns_second__2[[Column1]:[Y]],3,FALSE)</f>
        <v>#N/A</v>
      </c>
      <c r="K145" t="e">
        <f>VLOOKUP(F145,[1]!china_towns_second__2[[Column1]:[Y]],2,FALSE)</f>
        <v>#N/A</v>
      </c>
      <c r="L145" t="s">
        <v>3727</v>
      </c>
      <c r="M145" t="str">
        <f>VLOOKUP(H145,CHOOSE({1,2},Table12[Native],Table12[Name]),2,0)</f>
        <v>Qìnyuán Xiàn</v>
      </c>
      <c r="N145" s="13" t="str">
        <f>VLOOKUP(I145,CHOOSE({1,2},Table12[Native],Table12[Name]),2,0)</f>
        <v>Chángzhì Shì</v>
      </c>
      <c r="O145" s="13" t="str">
        <f t="shared" si="4"/>
        <v>Congziyu Xiang (Chángzhì Shì)</v>
      </c>
      <c r="P145" s="13" t="str">
        <f t="shared" si="5"/>
        <v>Congziyu Xiang (Chángzhì Shì)</v>
      </c>
    </row>
    <row r="146" spans="1:16" hidden="1" x14ac:dyDescent="0.25">
      <c r="A146" t="s">
        <v>818</v>
      </c>
      <c r="B146" t="str">
        <f>IF(COUNTIF(A:A,A146)&gt;1,_xlfn.CONCAT(A146," (",N146,")"),A146)</f>
        <v>Cuìfēng Zhèn</v>
      </c>
      <c r="C146" t="str">
        <f>IF(COUNTIF(B:B,B146)&gt;1,_xlfn.CONCAT(A146," (",M146,")"),B146)</f>
        <v>Cuìfēng Zhèn</v>
      </c>
      <c r="D146" t="s">
        <v>819</v>
      </c>
      <c r="E146" t="s">
        <v>7</v>
      </c>
      <c r="F146" t="str">
        <f>_xlfn.CONCAT(D146,", ",H146,", ",I146,", ","山西省")</f>
        <v>翠峰镇, 灵石县, 晋中市, 山西省</v>
      </c>
      <c r="G146">
        <v>38548</v>
      </c>
      <c r="H146" t="s">
        <v>2917</v>
      </c>
      <c r="I146" t="s">
        <v>2914</v>
      </c>
      <c r="J146">
        <f>VLOOKUP(F146,[1]!china_towns_second__2[[Column1]:[Y]],3,FALSE)</f>
        <v>36.813349674045703</v>
      </c>
      <c r="K146">
        <f>VLOOKUP(F146,[1]!china_towns_second__2[[Column1]:[Y]],2,FALSE)</f>
        <v>111.7995579</v>
      </c>
      <c r="L146" t="s">
        <v>3728</v>
      </c>
      <c r="M146" t="str">
        <f>VLOOKUP(H146,CHOOSE({1,2},Table12[Native],Table12[Name]),2,0)</f>
        <v>Língshí Xiàn</v>
      </c>
      <c r="N146" s="13" t="str">
        <f>VLOOKUP(I146,CHOOSE({1,2},Table12[Native],Table12[Name]),2,0)</f>
        <v>Jìnzhōng Shì</v>
      </c>
      <c r="O146" s="13" t="str">
        <f t="shared" si="4"/>
        <v>Cuifeng Zhen (Jìnzhōng Shì)</v>
      </c>
      <c r="P146" s="13" t="str">
        <f t="shared" si="5"/>
        <v>Cuifeng Zhen (Jìnzhōng Shì)</v>
      </c>
    </row>
    <row r="147" spans="1:16" hidden="1" x14ac:dyDescent="0.25">
      <c r="A147" t="s">
        <v>350</v>
      </c>
      <c r="B147" t="str">
        <f>IF(COUNTIF(A:A,A147)&gt;1,_xlfn.CONCAT(A147," (",N147,")"),A147)</f>
        <v>Dàbáidēng Zhèn</v>
      </c>
      <c r="C147" t="str">
        <f>IF(COUNTIF(B:B,B147)&gt;1,_xlfn.CONCAT(A147," (",M147,")"),B147)</f>
        <v>Dàbáidēng Zhèn</v>
      </c>
      <c r="D147" t="s">
        <v>351</v>
      </c>
      <c r="E147" t="s">
        <v>7</v>
      </c>
      <c r="F147" t="str">
        <f>_xlfn.CONCAT(D147,", ",H147,", ",I147,", ","山西省")</f>
        <v>大白登镇, 阳高县, 大同市, 山西省</v>
      </c>
      <c r="G147">
        <v>18869</v>
      </c>
      <c r="H147" t="s">
        <v>2901</v>
      </c>
      <c r="I147" t="s">
        <v>2894</v>
      </c>
      <c r="J147">
        <f>VLOOKUP(F147,[1]!china_towns_second__2[[Column1]:[Y]],3,FALSE)</f>
        <v>40.245951076553901</v>
      </c>
      <c r="K147">
        <f>VLOOKUP(F147,[1]!china_towns_second__2[[Column1]:[Y]],2,FALSE)</f>
        <v>113.806996</v>
      </c>
      <c r="L147" t="s">
        <v>3729</v>
      </c>
      <c r="M147" t="str">
        <f>VLOOKUP(H147,CHOOSE({1,2},Table12[Native],Table12[Name]),2,0)</f>
        <v>Yánggāo Xiàn</v>
      </c>
      <c r="N147" s="13" t="str">
        <f>VLOOKUP(I147,CHOOSE({1,2},Table12[Native],Table12[Name]),2,0)</f>
        <v>Dàtóng Shì</v>
      </c>
      <c r="O147" s="13" t="str">
        <f t="shared" si="4"/>
        <v>Dabaideng Zhen (Dàtóng Shì)</v>
      </c>
      <c r="P147" s="13" t="str">
        <f t="shared" si="5"/>
        <v>Dabaideng Zhen (Dàtóng Shì)</v>
      </c>
    </row>
    <row r="148" spans="1:16" hidden="1" x14ac:dyDescent="0.25">
      <c r="A148" t="s">
        <v>57</v>
      </c>
      <c r="B148" t="str">
        <f>IF(COUNTIF(A:A,A148)&gt;1,_xlfn.CONCAT(A148," (",N148,")"),A148)</f>
        <v>Dàbăotóu Zhèn</v>
      </c>
      <c r="C148" t="str">
        <f>IF(COUNTIF(B:B,B148)&gt;1,_xlfn.CONCAT(A148," (",M148,")"),B148)</f>
        <v>Dàbăotóu Zhèn</v>
      </c>
      <c r="D148" t="s">
        <v>58</v>
      </c>
      <c r="E148" t="s">
        <v>7</v>
      </c>
      <c r="F148" t="str">
        <f>_xlfn.CONCAT(D148,", ",H148,", ",I148,", ","山西省")</f>
        <v>大堡头镇, 长子县, 长治市, 山西省</v>
      </c>
      <c r="G148">
        <v>36556</v>
      </c>
      <c r="H148" t="s">
        <v>2880</v>
      </c>
      <c r="I148" t="s">
        <v>2878</v>
      </c>
      <c r="J148">
        <f>VLOOKUP(F148,[1]!china_towns_second__2[[Column1]:[Y]],3,FALSE)</f>
        <v>36.055362486885798</v>
      </c>
      <c r="K148">
        <f>VLOOKUP(F148,[1]!china_towns_second__2[[Column1]:[Y]],2,FALSE)</f>
        <v>112.8862494</v>
      </c>
      <c r="L148" t="s">
        <v>3730</v>
      </c>
      <c r="M148" t="str">
        <f>VLOOKUP(H148,CHOOSE({1,2},Table12[Native],Table12[Name]),2,0)</f>
        <v>Chángzi Xiàn</v>
      </c>
      <c r="N148" s="13" t="str">
        <f>VLOOKUP(I148,CHOOSE({1,2},Table12[Native],Table12[Name]),2,0)</f>
        <v>Chángzhì Shì</v>
      </c>
      <c r="O148" s="13" t="str">
        <f t="shared" si="4"/>
        <v>Dabaotou Zhen (Chángzhì Shì)</v>
      </c>
      <c r="P148" s="13" t="str">
        <f t="shared" si="5"/>
        <v>Dabaotou Zhen (Chángzhì Shì)</v>
      </c>
    </row>
    <row r="149" spans="1:16" hidden="1" x14ac:dyDescent="0.25">
      <c r="A149" t="s">
        <v>352</v>
      </c>
      <c r="B149" t="str">
        <f>IF(COUNTIF(A:A,A149)&gt;1,_xlfn.CONCAT(A149," (",N149,")"),A149)</f>
        <v>Dàcíyáo Zhèn</v>
      </c>
      <c r="C149" t="str">
        <f>IF(COUNTIF(B:B,B149)&gt;1,_xlfn.CONCAT(A149," (",M149,")"),B149)</f>
        <v>Dàcíyáo Zhèn</v>
      </c>
      <c r="D149" t="s">
        <v>353</v>
      </c>
      <c r="E149" t="s">
        <v>7</v>
      </c>
      <c r="F149" t="str">
        <f>_xlfn.CONCAT(D149,", ",H149,", ",I149,", ","山西省")</f>
        <v>大磁窑镇, 浑源县, 大同市, 山西省</v>
      </c>
      <c r="G149">
        <v>5849</v>
      </c>
      <c r="H149" t="s">
        <v>2896</v>
      </c>
      <c r="I149" t="s">
        <v>2894</v>
      </c>
      <c r="J149">
        <f>VLOOKUP(F149,[1]!china_towns_second__2[[Column1]:[Y]],3,FALSE)</f>
        <v>39.628905392597602</v>
      </c>
      <c r="K149">
        <f>VLOOKUP(F149,[1]!china_towns_second__2[[Column1]:[Y]],2,FALSE)</f>
        <v>113.71723660000001</v>
      </c>
      <c r="L149" t="s">
        <v>3731</v>
      </c>
      <c r="M149" t="str">
        <f>VLOOKUP(H149,CHOOSE({1,2},Table12[Native],Table12[Name]),2,0)</f>
        <v>Húnyuán Xiàn</v>
      </c>
      <c r="N149" s="13" t="str">
        <f>VLOOKUP(I149,CHOOSE({1,2},Table12[Native],Table12[Name]),2,0)</f>
        <v>Dàtóng Shì</v>
      </c>
      <c r="O149" s="13" t="str">
        <f t="shared" si="4"/>
        <v>Daciyao Zhen (Dàtóng Shì)</v>
      </c>
      <c r="P149" s="13" t="str">
        <f t="shared" si="5"/>
        <v>Daciyao Zhen (Dàtóng Shì)</v>
      </c>
    </row>
    <row r="150" spans="1:16" hidden="1" x14ac:dyDescent="0.25">
      <c r="A150" t="s">
        <v>1098</v>
      </c>
      <c r="B150" t="str">
        <f>IF(COUNTIF(A:A,A150)&gt;1,_xlfn.CONCAT(A150," (",N150,")"),A150)</f>
        <v>Dàdèng Xiāng</v>
      </c>
      <c r="C150" t="str">
        <f>IF(COUNTIF(B:B,B150)&gt;1,_xlfn.CONCAT(A150," (",M150,")"),B150)</f>
        <v>Dàdèng Xiāng</v>
      </c>
      <c r="D150" t="s">
        <v>1099</v>
      </c>
      <c r="E150" t="s">
        <v>17</v>
      </c>
      <c r="F150" t="str">
        <f>_xlfn.CONCAT(D150,", ",H150,", ",I150,", ","山西省")</f>
        <v>大邓乡, 襄汾县, 临汾市, 山西省</v>
      </c>
      <c r="G150">
        <v>16025</v>
      </c>
      <c r="H150" t="s">
        <v>2939</v>
      </c>
      <c r="I150" t="s">
        <v>2927</v>
      </c>
      <c r="J150" t="e">
        <f>VLOOKUP(F150,[1]!china_towns_second__2[[Column1]:[Y]],3,FALSE)</f>
        <v>#N/A</v>
      </c>
      <c r="K150" t="e">
        <f>VLOOKUP(F150,[1]!china_towns_second__2[[Column1]:[Y]],2,FALSE)</f>
        <v>#N/A</v>
      </c>
      <c r="L150" t="s">
        <v>3732</v>
      </c>
      <c r="M150" t="str">
        <f>VLOOKUP(H150,CHOOSE({1,2},Table12[Native],Table12[Name]),2,0)</f>
        <v>Xiāngfén Xiàn</v>
      </c>
      <c r="N150" s="13" t="str">
        <f>VLOOKUP(I150,CHOOSE({1,2},Table12[Native],Table12[Name]),2,0)</f>
        <v>Línfén Shì</v>
      </c>
      <c r="O150" s="13" t="str">
        <f t="shared" si="4"/>
        <v>Dadeng Xiang (Línfén Shì)</v>
      </c>
      <c r="P150" s="13" t="str">
        <f t="shared" si="5"/>
        <v>Dadeng Xiang (Línfén Shì)</v>
      </c>
    </row>
    <row r="151" spans="1:16" hidden="1" x14ac:dyDescent="0.25">
      <c r="A151" t="s">
        <v>642</v>
      </c>
      <c r="B151" t="str">
        <f>IF(COUNTIF(A:A,A151)&gt;1,_xlfn.CONCAT(A151," (",N151,")"),A151)</f>
        <v>Dàdōnggōu Zhèn</v>
      </c>
      <c r="C151" t="str">
        <f>IF(COUNTIF(B:B,B151)&gt;1,_xlfn.CONCAT(A151," (",M151,")"),B151)</f>
        <v>Dàdōnggōu Zhèn</v>
      </c>
      <c r="D151" t="s">
        <v>643</v>
      </c>
      <c r="E151" t="s">
        <v>7</v>
      </c>
      <c r="F151" t="str">
        <f>_xlfn.CONCAT(D151,", ",H151,", ",I151,", ","山西省")</f>
        <v>大东沟镇, 泽州县, 晋城市, 山西省</v>
      </c>
      <c r="G151">
        <v>31732</v>
      </c>
      <c r="H151" t="s">
        <v>2912</v>
      </c>
      <c r="I151" t="s">
        <v>2906</v>
      </c>
      <c r="J151">
        <f>VLOOKUP(F151,[1]!china_towns_second__2[[Column1]:[Y]],3,FALSE)</f>
        <v>35.585080167823797</v>
      </c>
      <c r="K151">
        <f>VLOOKUP(F151,[1]!china_towns_second__2[[Column1]:[Y]],2,FALSE)</f>
        <v>112.71413440000001</v>
      </c>
      <c r="L151" t="s">
        <v>3733</v>
      </c>
      <c r="M151" t="str">
        <f>VLOOKUP(H151,CHOOSE({1,2},Table12[Native],Table12[Name]),2,0)</f>
        <v>Zézhōu Xiàn</v>
      </c>
      <c r="N151" s="13" t="str">
        <f>VLOOKUP(I151,CHOOSE({1,2},Table12[Native],Table12[Name]),2,0)</f>
        <v>Jìnchéng Shì</v>
      </c>
      <c r="O151" s="13" t="str">
        <f t="shared" si="4"/>
        <v>Dadonggou Zhen (Jìnchéng Shì)</v>
      </c>
      <c r="P151" s="13" t="str">
        <f t="shared" si="5"/>
        <v>Dadonggou Zhen (Jìnchéng Shì)</v>
      </c>
    </row>
    <row r="152" spans="1:16" hidden="1" x14ac:dyDescent="0.25">
      <c r="A152" t="s">
        <v>1908</v>
      </c>
      <c r="B152" t="str">
        <f>IF(COUNTIF(A:A,A152)&gt;1,_xlfn.CONCAT(A152," (",N152,")"),A152)</f>
        <v>Dàdōngguān Jiēdào</v>
      </c>
      <c r="C152" t="str">
        <f>IF(COUNTIF(B:B,B152)&gt;1,_xlfn.CONCAT(A152," (",M152,")"),B152)</f>
        <v>Dàdōngguān Jiēdào</v>
      </c>
      <c r="D152" t="s">
        <v>1909</v>
      </c>
      <c r="E152" t="s">
        <v>31</v>
      </c>
      <c r="F152" t="str">
        <f>_xlfn.CONCAT(D152,", ",H152,", ",I152,", ","山西省")</f>
        <v>大东关街道, 杏花岭区, 太原市, 山西省</v>
      </c>
      <c r="G152">
        <v>54955</v>
      </c>
      <c r="H152" t="s">
        <v>2977</v>
      </c>
      <c r="I152" t="s">
        <v>2969</v>
      </c>
      <c r="J152">
        <f>VLOOKUP(F152,[1]!china_towns_second__2[[Column1]:[Y]],3,FALSE)</f>
        <v>37.872128229679497</v>
      </c>
      <c r="K152">
        <f>VLOOKUP(F152,[1]!china_towns_second__2[[Column1]:[Y]],2,FALSE)</f>
        <v>112.5862573</v>
      </c>
      <c r="L152" t="s">
        <v>3734</v>
      </c>
      <c r="M152" t="str">
        <f>VLOOKUP(H152,CHOOSE({1,2},Table12[Native],Table12[Name]),2,0)</f>
        <v>Xìnghuālĭng Qū</v>
      </c>
      <c r="N152" s="13" t="str">
        <f>VLOOKUP(I152,CHOOSE({1,2},Table12[Native],Table12[Name]),2,0)</f>
        <v>Tàiyuán Shì</v>
      </c>
      <c r="O152" s="13" t="str">
        <f t="shared" si="4"/>
        <v>Dadongguan Jiedao (Tàiyuán Shì)</v>
      </c>
      <c r="P152" s="13" t="str">
        <f t="shared" si="5"/>
        <v>Dadongguan Jiedao (Tàiyuán Shì)</v>
      </c>
    </row>
    <row r="153" spans="1:16" hidden="1" x14ac:dyDescent="0.25">
      <c r="A153" t="s">
        <v>354</v>
      </c>
      <c r="B153" t="str">
        <f>IF(COUNTIF(A:A,A153)&gt;1,_xlfn.CONCAT(A153," (",N153,")"),A153)</f>
        <v>Dàdòugōu Jiēdào</v>
      </c>
      <c r="C153" t="str">
        <f>IF(COUNTIF(B:B,B153)&gt;1,_xlfn.CONCAT(A153," (",M153,")"),B153)</f>
        <v>Dàdòugōu Jiēdào</v>
      </c>
      <c r="D153" t="s">
        <v>355</v>
      </c>
      <c r="E153" t="s">
        <v>31</v>
      </c>
      <c r="F153" t="str">
        <f>_xlfn.CONCAT(D153,", ",H153,", ",I153,", ","山西省")</f>
        <v>大斗沟街道, 云冈区, 大同市, 山西省</v>
      </c>
      <c r="G153">
        <v>1490</v>
      </c>
      <c r="H153" t="s">
        <v>2902</v>
      </c>
      <c r="I153" t="s">
        <v>2894</v>
      </c>
      <c r="J153" t="e">
        <f>VLOOKUP(F153,[1]!china_towns_second__2[[Column1]:[Y]],3,FALSE)</f>
        <v>#N/A</v>
      </c>
      <c r="K153" t="e">
        <f>VLOOKUP(F153,[1]!china_towns_second__2[[Column1]:[Y]],2,FALSE)</f>
        <v>#N/A</v>
      </c>
      <c r="L153" t="s">
        <v>3735</v>
      </c>
      <c r="M153" t="str">
        <f>VLOOKUP(H153,CHOOSE({1,2},Table12[Native],Table12[Name]),2,0)</f>
        <v>Yúngāng Qū</v>
      </c>
      <c r="N153" s="13" t="str">
        <f>VLOOKUP(I153,CHOOSE({1,2},Table12[Native],Table12[Name]),2,0)</f>
        <v>Dàtóng Shì</v>
      </c>
      <c r="O153" s="13" t="str">
        <f t="shared" si="4"/>
        <v>Dadougou Jiedao (Dàtóng Shì)</v>
      </c>
      <c r="P153" s="13" t="str">
        <f t="shared" si="5"/>
        <v>Dadougou Jiedao (Dàtóng Shì)</v>
      </c>
    </row>
    <row r="154" spans="1:16" hidden="1" x14ac:dyDescent="0.25">
      <c r="A154" t="s">
        <v>1101</v>
      </c>
      <c r="B154" t="str">
        <f>IF(COUNTIF(A:A,A154)&gt;1,_xlfn.CONCAT(A154," (",N154,")"),A154)</f>
        <v>Dàhuáishù Zhèn</v>
      </c>
      <c r="C154" t="str">
        <f>IF(COUNTIF(B:B,B154)&gt;1,_xlfn.CONCAT(A154," (",M154,")"),B154)</f>
        <v>Dàhuáishù Zhèn</v>
      </c>
      <c r="D154" t="s">
        <v>1102</v>
      </c>
      <c r="E154" t="s">
        <v>7</v>
      </c>
      <c r="F154" t="str">
        <f>_xlfn.CONCAT(D154,", ",H154,", ",I154,", ","山西省")</f>
        <v>大槐树镇, 洪洞县, 临汾市, 山西省</v>
      </c>
      <c r="G154">
        <v>151037</v>
      </c>
      <c r="H154" t="s">
        <v>2933</v>
      </c>
      <c r="I154" t="s">
        <v>2927</v>
      </c>
      <c r="J154">
        <f>VLOOKUP(F154,[1]!china_towns_second__2[[Column1]:[Y]],3,FALSE)</f>
        <v>36.260232337492504</v>
      </c>
      <c r="K154">
        <f>VLOOKUP(F154,[1]!china_towns_second__2[[Column1]:[Y]],2,FALSE)</f>
        <v>111.6797437</v>
      </c>
      <c r="L154" t="s">
        <v>3736</v>
      </c>
      <c r="M154" t="str">
        <f>VLOOKUP(H154,CHOOSE({1,2},Table12[Native],Table12[Name]),2,0)</f>
        <v>Hóngdòng Xiàn</v>
      </c>
      <c r="N154" s="13" t="str">
        <f>VLOOKUP(I154,CHOOSE({1,2},Table12[Native],Table12[Name]),2,0)</f>
        <v>Línfén Shì</v>
      </c>
      <c r="O154" s="13" t="str">
        <f t="shared" si="4"/>
        <v>Dahuaishu Zhen (Línfén Shì)</v>
      </c>
      <c r="P154" s="13" t="str">
        <f t="shared" si="5"/>
        <v>Dahuaishu Zhen (Línfén Shì)</v>
      </c>
    </row>
    <row r="155" spans="1:16" hidden="1" x14ac:dyDescent="0.25">
      <c r="A155" t="s">
        <v>1751</v>
      </c>
      <c r="B155" t="str">
        <f>IF(COUNTIF(A:A,A155)&gt;1,_xlfn.CONCAT(A155," (",N155,")"),A155)</f>
        <v>Dàhuángwēi Xiāng</v>
      </c>
      <c r="C155" t="str">
        <f>IF(COUNTIF(B:B,B155)&gt;1,_xlfn.CONCAT(A155," (",M155,")"),B155)</f>
        <v>Dàhuángwēi Xiāng</v>
      </c>
      <c r="D155" t="s">
        <v>1752</v>
      </c>
      <c r="E155" t="s">
        <v>17</v>
      </c>
      <c r="F155" t="str">
        <f>_xlfn.CONCAT(D155,", ",H155,", ",I155,", ","山西省")</f>
        <v>大黄巍乡, 应县, 朔州市, 山西省</v>
      </c>
      <c r="G155">
        <v>13908</v>
      </c>
      <c r="H155" t="s">
        <v>2966</v>
      </c>
      <c r="I155" t="s">
        <v>2961</v>
      </c>
      <c r="J155" t="e">
        <f>VLOOKUP(F155,[1]!china_towns_second__2[[Column1]:[Y]],3,FALSE)</f>
        <v>#N/A</v>
      </c>
      <c r="K155" t="e">
        <f>VLOOKUP(F155,[1]!china_towns_second__2[[Column1]:[Y]],2,FALSE)</f>
        <v>#N/A</v>
      </c>
      <c r="L155" t="s">
        <v>3737</v>
      </c>
      <c r="M155" t="str">
        <f>VLOOKUP(H155,CHOOSE({1,2},Table12[Native],Table12[Name]),2,0)</f>
        <v>Yīng Xiàn</v>
      </c>
      <c r="N155" s="13" t="str">
        <f>VLOOKUP(I155,CHOOSE({1,2},Table12[Native],Table12[Name]),2,0)</f>
        <v>Shuòzhōu Shì</v>
      </c>
      <c r="O155" s="13" t="str">
        <f t="shared" si="4"/>
        <v>Dahuangwei Xiang (Shuòzhōu Shì)</v>
      </c>
      <c r="P155" s="13" t="str">
        <f t="shared" si="5"/>
        <v>Dahuangwei Xiang (Shuòzhōu Shì)</v>
      </c>
    </row>
    <row r="156" spans="1:16" hidden="1" x14ac:dyDescent="0.25">
      <c r="A156" t="s">
        <v>1753</v>
      </c>
      <c r="B156" t="str">
        <f>IF(COUNTIF(A:A,A156)&gt;1,_xlfn.CONCAT(A156," (",N156,")"),A156)</f>
        <v>Dàiyuè Zhèn</v>
      </c>
      <c r="C156" t="str">
        <f>IF(COUNTIF(B:B,B156)&gt;1,_xlfn.CONCAT(A156," (",M156,")"),B156)</f>
        <v>Dàiyuè Zhèn</v>
      </c>
      <c r="D156" t="s">
        <v>1754</v>
      </c>
      <c r="E156" t="s">
        <v>7</v>
      </c>
      <c r="F156" t="str">
        <f>_xlfn.CONCAT(D156,", ",H156,", ",I156,", ","山西省")</f>
        <v>岱岳镇, 山阴县, 朔州市, 山西省</v>
      </c>
      <c r="G156">
        <v>35894</v>
      </c>
      <c r="H156" t="s">
        <v>2964</v>
      </c>
      <c r="I156" t="s">
        <v>2961</v>
      </c>
      <c r="J156">
        <f>VLOOKUP(F156,[1]!china_towns_second__2[[Column1]:[Y]],3,FALSE)</f>
        <v>39.540217598204698</v>
      </c>
      <c r="K156">
        <f>VLOOKUP(F156,[1]!china_towns_second__2[[Column1]:[Y]],2,FALSE)</f>
        <v>112.770736</v>
      </c>
      <c r="L156" t="s">
        <v>3738</v>
      </c>
      <c r="M156" t="str">
        <f>VLOOKUP(H156,CHOOSE({1,2},Table12[Native],Table12[Name]),2,0)</f>
        <v>Shānyīn Xiàn</v>
      </c>
      <c r="N156" s="13" t="str">
        <f>VLOOKUP(I156,CHOOSE({1,2},Table12[Native],Table12[Name]),2,0)</f>
        <v>Shuòzhōu Shì</v>
      </c>
      <c r="O156" s="13" t="str">
        <f t="shared" si="4"/>
        <v>Daiyue Zhen (Shuòzhōu Shì)</v>
      </c>
      <c r="P156" s="13" t="str">
        <f t="shared" si="5"/>
        <v>Daiyue Zhen (Shuòzhōu Shì)</v>
      </c>
    </row>
    <row r="157" spans="1:16" hidden="1" x14ac:dyDescent="0.25">
      <c r="A157" t="s">
        <v>644</v>
      </c>
      <c r="B157" t="str">
        <f>IF(COUNTIF(A:A,A157)&gt;1,_xlfn.CONCAT(A157," (",N157,")"),A157)</f>
        <v>Dàjī Zhèn</v>
      </c>
      <c r="C157" t="str">
        <f>IF(COUNTIF(B:B,B157)&gt;1,_xlfn.CONCAT(A157," (",M157,")"),B157)</f>
        <v>Dàjī Zhèn</v>
      </c>
      <c r="D157" t="s">
        <v>645</v>
      </c>
      <c r="E157" t="s">
        <v>7</v>
      </c>
      <c r="F157" t="str">
        <f>_xlfn.CONCAT(D157,", ",H157,", ",I157,", ","山西省")</f>
        <v>大箕镇, 泽州县, 晋城市, 山西省</v>
      </c>
      <c r="G157">
        <v>17400</v>
      </c>
      <c r="H157" t="s">
        <v>2912</v>
      </c>
      <c r="I157" t="s">
        <v>2906</v>
      </c>
      <c r="J157">
        <f>VLOOKUP(F157,[1]!china_towns_second__2[[Column1]:[Y]],3,FALSE)</f>
        <v>35.381035491907099</v>
      </c>
      <c r="K157">
        <f>VLOOKUP(F157,[1]!china_towns_second__2[[Column1]:[Y]],2,FALSE)</f>
        <v>112.8781046</v>
      </c>
      <c r="L157" t="s">
        <v>3739</v>
      </c>
      <c r="M157" t="str">
        <f>VLOOKUP(H157,CHOOSE({1,2},Table12[Native],Table12[Name]),2,0)</f>
        <v>Zézhōu Xiàn</v>
      </c>
      <c r="N157" s="13" t="str">
        <f>VLOOKUP(I157,CHOOSE({1,2},Table12[Native],Table12[Name]),2,0)</f>
        <v>Jìnchéng Shì</v>
      </c>
      <c r="O157" s="13" t="str">
        <f t="shared" si="4"/>
        <v>Daji Zhen (Jìnchéng Shì)</v>
      </c>
      <c r="P157" s="13" t="str">
        <f t="shared" si="5"/>
        <v>Daji Zhen (Jìnchéng Shì)</v>
      </c>
    </row>
    <row r="158" spans="1:16" hidden="1" x14ac:dyDescent="0.25">
      <c r="A158" t="s">
        <v>2138</v>
      </c>
      <c r="B158" t="str">
        <f>IF(COUNTIF(A:A,A158)&gt;1,_xlfn.CONCAT(A158," (",N158,")"),A158)</f>
        <v>Dàjiàn Xiāng</v>
      </c>
      <c r="C158" t="str">
        <f>IF(COUNTIF(B:B,B158)&gt;1,_xlfn.CONCAT(A158," (",M158,")"),B158)</f>
        <v>Dàjiàn Xiāng</v>
      </c>
      <c r="D158" t="s">
        <v>2139</v>
      </c>
      <c r="E158" t="s">
        <v>17</v>
      </c>
      <c r="F158" t="str">
        <f>_xlfn.CONCAT(D158,", ",H158,", ",I158,", ","山西省")</f>
        <v>大涧乡, 岢岚县, 忻州市, 山西省</v>
      </c>
      <c r="G158">
        <v>4144</v>
      </c>
      <c r="H158" t="s">
        <v>2988</v>
      </c>
      <c r="I158" t="s">
        <v>2981</v>
      </c>
      <c r="J158" t="e">
        <f>VLOOKUP(F158,[1]!china_towns_second__2[[Column1]:[Y]],3,FALSE)</f>
        <v>#N/A</v>
      </c>
      <c r="K158" t="e">
        <f>VLOOKUP(F158,[1]!china_towns_second__2[[Column1]:[Y]],2,FALSE)</f>
        <v>#N/A</v>
      </c>
      <c r="L158" t="s">
        <v>3740</v>
      </c>
      <c r="M158" t="str">
        <f>VLOOKUP(H158,CHOOSE({1,2},Table12[Native],Table12[Name]),2,0)</f>
        <v>Kĕlán Xiàn</v>
      </c>
      <c r="N158" s="13" t="str">
        <f>VLOOKUP(I158,CHOOSE({1,2},Table12[Native],Table12[Name]),2,0)</f>
        <v>Xīnzhōu Shì</v>
      </c>
      <c r="O158" s="13" t="str">
        <f t="shared" si="4"/>
        <v>Dajian Xiang (Xīnzhōu Shì)</v>
      </c>
      <c r="P158" s="13" t="str">
        <f t="shared" si="5"/>
        <v>Dajian Xiang (Xīnzhōu Shì)</v>
      </c>
    </row>
    <row r="159" spans="1:16" hidden="1" x14ac:dyDescent="0.25">
      <c r="A159" t="s">
        <v>2617</v>
      </c>
      <c r="B159" t="str">
        <f>IF(COUNTIF(A:A,A159)&gt;1,_xlfn.CONCAT(A159," (",N159,")"),A159)</f>
        <v>Dàjiāo Zhèn</v>
      </c>
      <c r="C159" t="str">
        <f>IF(COUNTIF(B:B,B159)&gt;1,_xlfn.CONCAT(A159," (",M159,")"),B159)</f>
        <v>Dàjiāo Zhèn</v>
      </c>
      <c r="D159" t="s">
        <v>2618</v>
      </c>
      <c r="E159" t="s">
        <v>7</v>
      </c>
      <c r="F159" t="str">
        <f>_xlfn.CONCAT(D159,", ",H159,", ",I159,", ","山西省")</f>
        <v>大交镇, 绛县, 运城市, 山西省</v>
      </c>
      <c r="G159">
        <v>28660</v>
      </c>
      <c r="H159" t="s">
        <v>3005</v>
      </c>
      <c r="I159" t="s">
        <v>3003</v>
      </c>
      <c r="J159">
        <f>VLOOKUP(F159,[1]!china_towns_second__2[[Column1]:[Y]],3,FALSE)</f>
        <v>35.599496033841298</v>
      </c>
      <c r="K159">
        <f>VLOOKUP(F159,[1]!china_towns_second__2[[Column1]:[Y]],2,FALSE)</f>
        <v>111.7435641</v>
      </c>
      <c r="L159" t="s">
        <v>3741</v>
      </c>
      <c r="M159" t="str">
        <f>VLOOKUP(H159,CHOOSE({1,2},Table12[Native],Table12[Name]),2,0)</f>
        <v>Jiàng Xiàn</v>
      </c>
      <c r="N159" s="13" t="str">
        <f>VLOOKUP(I159,CHOOSE({1,2},Table12[Native],Table12[Name]),2,0)</f>
        <v>Yùnchéng Shì</v>
      </c>
      <c r="O159" s="13" t="str">
        <f t="shared" si="4"/>
        <v>Dajiao Zhen (Yùnchéng Shì)</v>
      </c>
      <c r="P159" s="13" t="str">
        <f t="shared" si="5"/>
        <v>Dajiao Zhen (Yùnchéng Shì)</v>
      </c>
    </row>
    <row r="160" spans="1:16" hidden="1" x14ac:dyDescent="0.25">
      <c r="A160" t="s">
        <v>2141</v>
      </c>
      <c r="B160" t="str">
        <f>IF(COUNTIF(A:A,A160)&gt;1,_xlfn.CONCAT(A160," (",N160,")"),A160)</f>
        <v>Dàlín Xiāng</v>
      </c>
      <c r="C160" t="str">
        <f>IF(COUNTIF(B:B,B160)&gt;1,_xlfn.CONCAT(A160," (",M160,")"),B160)</f>
        <v>Dàlín Xiāng</v>
      </c>
      <c r="D160" t="s">
        <v>2142</v>
      </c>
      <c r="E160" t="s">
        <v>17</v>
      </c>
      <c r="F160" t="str">
        <f>_xlfn.CONCAT(D160,", ",H160,", ",I160,", ","山西省")</f>
        <v>大林乡, 原平市, 忻州市, 山西省</v>
      </c>
      <c r="G160">
        <v>15129</v>
      </c>
      <c r="H160" t="s">
        <v>2995</v>
      </c>
      <c r="I160" t="s">
        <v>2981</v>
      </c>
      <c r="J160" t="e">
        <f>VLOOKUP(F160,[1]!china_towns_second__2[[Column1]:[Y]],3,FALSE)</f>
        <v>#N/A</v>
      </c>
      <c r="K160" t="e">
        <f>VLOOKUP(F160,[1]!china_towns_second__2[[Column1]:[Y]],2,FALSE)</f>
        <v>#N/A</v>
      </c>
      <c r="L160" t="s">
        <v>3742</v>
      </c>
      <c r="M160" t="str">
        <f>VLOOKUP(H160,CHOOSE({1,2},Table12[Native],Table12[Name]),2,0)</f>
        <v>Yuánpíng Shì</v>
      </c>
      <c r="N160" s="13" t="str">
        <f>VLOOKUP(I160,CHOOSE({1,2},Table12[Native],Table12[Name]),2,0)</f>
        <v>Xīnzhōu Shì</v>
      </c>
      <c r="O160" s="13" t="str">
        <f t="shared" si="4"/>
        <v>Dalin Xiang (Xīnzhōu Shì)</v>
      </c>
      <c r="P160" s="13" t="str">
        <f t="shared" si="5"/>
        <v>Dalin Xiang (Xīnzhōu Shì)</v>
      </c>
    </row>
    <row r="161" spans="1:16" hidden="1" x14ac:dyDescent="0.25">
      <c r="A161" t="s">
        <v>1755</v>
      </c>
      <c r="B161" t="str">
        <f>IF(COUNTIF(A:A,A161)&gt;1,_xlfn.CONCAT(A161," (",N161,")"),A161)</f>
        <v>Dàlínhé Xiāng</v>
      </c>
      <c r="C161" t="str">
        <f>IF(COUNTIF(B:B,B161)&gt;1,_xlfn.CONCAT(A161," (",M161,")"),B161)</f>
        <v>Dàlínhé Xiāng</v>
      </c>
      <c r="D161" t="s">
        <v>1756</v>
      </c>
      <c r="E161" t="s">
        <v>17</v>
      </c>
      <c r="F161" t="str">
        <f>_xlfn.CONCAT(D161,", ",H161,", ",I161,", ","山西省")</f>
        <v>大临河乡, 应县, 朔州市, 山西省</v>
      </c>
      <c r="G161">
        <v>29407</v>
      </c>
      <c r="H161" t="s">
        <v>2966</v>
      </c>
      <c r="I161" t="s">
        <v>2961</v>
      </c>
      <c r="J161" t="e">
        <f>VLOOKUP(F161,[1]!china_towns_second__2[[Column1]:[Y]],3,FALSE)</f>
        <v>#N/A</v>
      </c>
      <c r="K161" t="e">
        <f>VLOOKUP(F161,[1]!china_towns_second__2[[Column1]:[Y]],2,FALSE)</f>
        <v>#N/A</v>
      </c>
      <c r="L161" t="s">
        <v>3743</v>
      </c>
      <c r="M161" t="str">
        <f>VLOOKUP(H161,CHOOSE({1,2},Table12[Native],Table12[Name]),2,0)</f>
        <v>Yīng Xiàn</v>
      </c>
      <c r="N161" s="13" t="str">
        <f>VLOOKUP(I161,CHOOSE({1,2},Table12[Native],Table12[Name]),2,0)</f>
        <v>Shuòzhōu Shì</v>
      </c>
      <c r="O161" s="13" t="str">
        <f t="shared" si="4"/>
        <v>Dalinhe Xiang (Shuòzhōu Shì)</v>
      </c>
      <c r="P161" s="13" t="str">
        <f t="shared" si="5"/>
        <v>Dalinhe Xiang (Shuòzhōu Shì)</v>
      </c>
    </row>
    <row r="162" spans="1:16" hidden="1" x14ac:dyDescent="0.25">
      <c r="A162" t="s">
        <v>820</v>
      </c>
      <c r="B162" t="str">
        <f>IF(COUNTIF(A:A,A162)&gt;1,_xlfn.CONCAT(A162," (",N162,")"),A162)</f>
        <v>Dānfēng Chéngqū</v>
      </c>
      <c r="C162" t="str">
        <f>IF(COUNTIF(B:B,B162)&gt;1,_xlfn.CONCAT(A162," (",M162,")"),B162)</f>
        <v>Dānfēng Chéngqū</v>
      </c>
      <c r="D162" t="s">
        <v>821</v>
      </c>
      <c r="E162" t="s">
        <v>31</v>
      </c>
      <c r="F162" t="str">
        <f>_xlfn.CONCAT(D162,", ",H162,", ",I162,", ","山西省")</f>
        <v>丹枫城区, 祁县, 晋中市, 山西省</v>
      </c>
      <c r="G162">
        <v>20816</v>
      </c>
      <c r="H162" t="s">
        <v>2919</v>
      </c>
      <c r="I162" t="s">
        <v>2914</v>
      </c>
      <c r="J162" t="e">
        <f>VLOOKUP(F162,[1]!china_towns_second__2[[Column1]:[Y]],3,FALSE)</f>
        <v>#N/A</v>
      </c>
      <c r="K162" t="e">
        <f>VLOOKUP(F162,[1]!china_towns_second__2[[Column1]:[Y]],2,FALSE)</f>
        <v>#N/A</v>
      </c>
      <c r="L162" t="s">
        <v>3744</v>
      </c>
      <c r="M162" t="str">
        <f>VLOOKUP(H162,CHOOSE({1,2},Table12[Native],Table12[Name]),2,0)</f>
        <v>Qí Xiàn</v>
      </c>
      <c r="N162" s="13" t="str">
        <f>VLOOKUP(I162,CHOOSE({1,2},Table12[Native],Table12[Name]),2,0)</f>
        <v>Jìnzhōng Shì</v>
      </c>
      <c r="O162" s="13" t="str">
        <f t="shared" si="4"/>
        <v>Danfeng Chengqu (Jìnzhōng Shì)</v>
      </c>
      <c r="P162" s="13" t="str">
        <f t="shared" si="5"/>
        <v>Danfeng Chengqu (Jìnzhōng Shì)</v>
      </c>
    </row>
    <row r="163" spans="1:16" hidden="1" x14ac:dyDescent="0.25">
      <c r="A163" t="s">
        <v>356</v>
      </c>
      <c r="B163" t="str">
        <f>IF(COUNTIF(A:A,A163)&gt;1,_xlfn.CONCAT(A163," (",N163,")"),A163)</f>
        <v>Dăngliúzhuāng Xiāng</v>
      </c>
      <c r="C163" t="str">
        <f>IF(COUNTIF(B:B,B163)&gt;1,_xlfn.CONCAT(A163," (",M163,")"),B163)</f>
        <v>Dăngliúzhuāng Xiāng</v>
      </c>
      <c r="D163" t="s">
        <v>357</v>
      </c>
      <c r="E163" t="s">
        <v>17</v>
      </c>
      <c r="F163" t="str">
        <f>_xlfn.CONCAT(D163,", ",H163,", ",I163,", ","山西省")</f>
        <v>党留庄乡, 云州区, 大同市, 山西省</v>
      </c>
      <c r="G163">
        <v>12956</v>
      </c>
      <c r="H163" t="s">
        <v>2903</v>
      </c>
      <c r="I163" t="s">
        <v>2894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3745</v>
      </c>
      <c r="M163" t="str">
        <f>VLOOKUP(H163,CHOOSE({1,2},Table12[Native],Table12[Name]),2,0)</f>
        <v>Yúnzhōu Qū</v>
      </c>
      <c r="N163" s="13" t="str">
        <f>VLOOKUP(I163,CHOOSE({1,2},Table12[Native],Table12[Name]),2,0)</f>
        <v>Dàtóng Shì</v>
      </c>
      <c r="O163" s="13" t="str">
        <f t="shared" si="4"/>
        <v>Dangliuzhuang Xiang (Dàtóng Shì)</v>
      </c>
      <c r="P163" s="13" t="str">
        <f t="shared" si="5"/>
        <v>Dangliuzhuang Xiang (Dàtóng Shì)</v>
      </c>
    </row>
    <row r="164" spans="1:16" hidden="1" x14ac:dyDescent="0.25">
      <c r="A164" t="s">
        <v>2143</v>
      </c>
      <c r="B164" t="str">
        <f>IF(COUNTIF(A:A,A164)&gt;1,_xlfn.CONCAT(A164," (",N164,")"),A164)</f>
        <v>Dàniúdiàn Zhèn</v>
      </c>
      <c r="C164" t="str">
        <f>IF(COUNTIF(B:B,B164)&gt;1,_xlfn.CONCAT(A164," (",M164,")"),B164)</f>
        <v>Dàniúdiàn Zhèn</v>
      </c>
      <c r="D164" t="s">
        <v>2144</v>
      </c>
      <c r="E164" t="s">
        <v>7</v>
      </c>
      <c r="F164" t="str">
        <f>_xlfn.CONCAT(D164,", ",H164,", ",I164,", ","山西省")</f>
        <v>大牛店镇, 原平市, 忻州市, 山西省</v>
      </c>
      <c r="G164">
        <v>19398</v>
      </c>
      <c r="H164" t="s">
        <v>2995</v>
      </c>
      <c r="I164" t="s">
        <v>2981</v>
      </c>
      <c r="J164">
        <f>VLOOKUP(F164,[1]!china_towns_second__2[[Column1]:[Y]],3,FALSE)</f>
        <v>38.830340499674598</v>
      </c>
      <c r="K164">
        <f>VLOOKUP(F164,[1]!china_towns_second__2[[Column1]:[Y]],2,FALSE)</f>
        <v>112.55585809999999</v>
      </c>
      <c r="L164" t="s">
        <v>3746</v>
      </c>
      <c r="M164" t="str">
        <f>VLOOKUP(H164,CHOOSE({1,2},Table12[Native],Table12[Name]),2,0)</f>
        <v>Yuánpíng Shì</v>
      </c>
      <c r="N164" s="13" t="str">
        <f>VLOOKUP(I164,CHOOSE({1,2},Table12[Native],Table12[Name]),2,0)</f>
        <v>Xīnzhōu Shì</v>
      </c>
      <c r="O164" s="13" t="str">
        <f t="shared" si="4"/>
        <v>Daniudian Zhen (Xīnzhōu Shì)</v>
      </c>
      <c r="P164" s="13" t="str">
        <f t="shared" si="5"/>
        <v>Daniudian Zhen (Xīnzhōu Shì)</v>
      </c>
    </row>
    <row r="165" spans="1:16" hidden="1" x14ac:dyDescent="0.25">
      <c r="A165" t="s">
        <v>2145</v>
      </c>
      <c r="B165" t="str">
        <f>IF(COUNTIF(A:A,A165)&gt;1,_xlfn.CONCAT(A165," (",N165,")"),A165)</f>
        <v>Dānzhài Xiāng</v>
      </c>
      <c r="C165" t="str">
        <f>IF(COUNTIF(B:B,B165)&gt;1,_xlfn.CONCAT(A165," (",M165,")"),B165)</f>
        <v>Dānzhài Xiāng</v>
      </c>
      <c r="D165" t="s">
        <v>2146</v>
      </c>
      <c r="E165" t="s">
        <v>17</v>
      </c>
      <c r="F165" t="str">
        <f>_xlfn.CONCAT(D165,", ",H165,", ",I165,", ","山西省")</f>
        <v>单寨乡, 河曲县, 忻州市, 山西省</v>
      </c>
      <c r="G165">
        <v>3383</v>
      </c>
      <c r="H165" t="s">
        <v>2986</v>
      </c>
      <c r="I165" t="s">
        <v>2981</v>
      </c>
      <c r="J165" t="e">
        <f>VLOOKUP(F165,[1]!china_towns_second__2[[Column1]:[Y]],3,FALSE)</f>
        <v>#N/A</v>
      </c>
      <c r="K165" t="e">
        <f>VLOOKUP(F165,[1]!china_towns_second__2[[Column1]:[Y]],2,FALSE)</f>
        <v>#N/A</v>
      </c>
      <c r="L165" t="s">
        <v>3747</v>
      </c>
      <c r="M165" t="str">
        <f>VLOOKUP(H165,CHOOSE({1,2},Table12[Native],Table12[Name]),2,0)</f>
        <v>Héqŭ Xiàn</v>
      </c>
      <c r="N165" s="13" t="str">
        <f>VLOOKUP(I165,CHOOSE({1,2},Table12[Native],Table12[Name]),2,0)</f>
        <v>Xīnzhōu Shì</v>
      </c>
      <c r="O165" s="13" t="str">
        <f t="shared" si="4"/>
        <v>Danzhai Xiang (Xīnzhōu Shì)</v>
      </c>
      <c r="P165" s="13" t="str">
        <f t="shared" si="5"/>
        <v>Danzhai Xiang (Xīnzhōu Shì)</v>
      </c>
    </row>
    <row r="166" spans="1:16" hidden="1" x14ac:dyDescent="0.25">
      <c r="A166" t="s">
        <v>59</v>
      </c>
      <c r="B166" t="str">
        <f>IF(COUNTIF(A:A,A166)&gt;1,_xlfn.CONCAT(A166," (",N166,")"),A166)</f>
        <v>Dānzhū Zhèn</v>
      </c>
      <c r="C166" t="str">
        <f>IF(COUNTIF(B:B,B166)&gt;1,_xlfn.CONCAT(A166," (",M166,")"),B166)</f>
        <v>Dānzhū Zhèn</v>
      </c>
      <c r="D166" t="s">
        <v>60</v>
      </c>
      <c r="E166" t="s">
        <v>7</v>
      </c>
      <c r="F166" t="str">
        <f>_xlfn.CONCAT(D166,", ",H166,", ",I166,", ","山西省")</f>
        <v>丹朱镇, 长子县, 长治市, 山西省</v>
      </c>
      <c r="G166">
        <v>89543</v>
      </c>
      <c r="H166" t="s">
        <v>2880</v>
      </c>
      <c r="I166" t="s">
        <v>2878</v>
      </c>
      <c r="J166">
        <f>VLOOKUP(F166,[1]!china_towns_second__2[[Column1]:[Y]],3,FALSE)</f>
        <v>36.130816060945101</v>
      </c>
      <c r="K166">
        <f>VLOOKUP(F166,[1]!china_towns_second__2[[Column1]:[Y]],2,FALSE)</f>
        <v>112.8823501</v>
      </c>
      <c r="L166" t="s">
        <v>3748</v>
      </c>
      <c r="M166" t="str">
        <f>VLOOKUP(H166,CHOOSE({1,2},Table12[Native],Table12[Name]),2,0)</f>
        <v>Chángzi Xiàn</v>
      </c>
      <c r="N166" s="13" t="str">
        <f>VLOOKUP(I166,CHOOSE({1,2},Table12[Native],Table12[Name]),2,0)</f>
        <v>Chángzhì Shì</v>
      </c>
      <c r="O166" s="13" t="str">
        <f t="shared" si="4"/>
        <v>Danzhu Zhen (Chángzhì Shì)</v>
      </c>
      <c r="P166" s="13" t="str">
        <f t="shared" si="5"/>
        <v>Danzhu Zhen (Chángzhì Shì)</v>
      </c>
    </row>
    <row r="167" spans="1:16" hidden="1" x14ac:dyDescent="0.25">
      <c r="A167" t="s">
        <v>2619</v>
      </c>
      <c r="B167" t="str">
        <f>IF(COUNTIF(A:A,A167)&gt;1,_xlfn.CONCAT(A167," (",N167,")"),A167)</f>
        <v>Dānzi Zhèn</v>
      </c>
      <c r="C167" t="str">
        <f>IF(COUNTIF(B:B,B167)&gt;1,_xlfn.CONCAT(A167," (",M167,")"),B167)</f>
        <v>Dānzi Zhèn</v>
      </c>
      <c r="D167" t="s">
        <v>2620</v>
      </c>
      <c r="E167" t="s">
        <v>7</v>
      </c>
      <c r="F167" t="str">
        <f>_xlfn.CONCAT(D167,", ",H167,", ",I167,", ","山西省")</f>
        <v>耽子镇, 临猗县, 运城市, 山西省</v>
      </c>
      <c r="G167">
        <v>23227</v>
      </c>
      <c r="H167" t="s">
        <v>3007</v>
      </c>
      <c r="I167" t="s">
        <v>3003</v>
      </c>
      <c r="J167">
        <f>VLOOKUP(F167,[1]!china_towns_second__2[[Column1]:[Y]],3,FALSE)</f>
        <v>35.162387536346102</v>
      </c>
      <c r="K167">
        <f>VLOOKUP(F167,[1]!china_towns_second__2[[Column1]:[Y]],2,FALSE)</f>
        <v>110.5410601</v>
      </c>
      <c r="L167" t="s">
        <v>3749</v>
      </c>
      <c r="M167" t="str">
        <f>VLOOKUP(H167,CHOOSE({1,2},Table12[Native],Table12[Name]),2,0)</f>
        <v>Línyī Xiàn</v>
      </c>
      <c r="N167" s="13" t="str">
        <f>VLOOKUP(I167,CHOOSE({1,2},Table12[Native],Table12[Name]),2,0)</f>
        <v>Yùnchéng Shì</v>
      </c>
      <c r="O167" s="13" t="str">
        <f t="shared" si="4"/>
        <v>Danzi Zhen (Yùnchéng Shì)</v>
      </c>
      <c r="P167" s="13" t="str">
        <f t="shared" si="5"/>
        <v>Danzi Zhen (Yùnchéng Shì)</v>
      </c>
    </row>
    <row r="168" spans="1:16" hidden="1" x14ac:dyDescent="0.25">
      <c r="A168" t="s">
        <v>358</v>
      </c>
      <c r="B168" t="str">
        <f>IF(COUNTIF(A:A,A168)&gt;1,_xlfn.CONCAT(A168," (",N168,")"),A168)</f>
        <v>Dàqìnglù Jiēdào</v>
      </c>
      <c r="C168" t="str">
        <f>IF(COUNTIF(B:B,B168)&gt;1,_xlfn.CONCAT(A168," (",M168,")"),B168)</f>
        <v>Dàqìnglù Jiēdào</v>
      </c>
      <c r="D168" t="s">
        <v>359</v>
      </c>
      <c r="E168" t="s">
        <v>31</v>
      </c>
      <c r="F168" t="str">
        <f>_xlfn.CONCAT(D168,", ",H168,", ",I168,", ","山西省")</f>
        <v>大庆路街道, 平城区, 大同市, 山西省</v>
      </c>
      <c r="G168">
        <v>43101</v>
      </c>
      <c r="H168" t="s">
        <v>2898</v>
      </c>
      <c r="I168" t="s">
        <v>2894</v>
      </c>
      <c r="J168" t="e">
        <f>VLOOKUP(F168,[1]!china_towns_second__2[[Column1]:[Y]],3,FALSE)</f>
        <v>#N/A</v>
      </c>
      <c r="K168" t="e">
        <f>VLOOKUP(F168,[1]!china_towns_second__2[[Column1]:[Y]],2,FALSE)</f>
        <v>#N/A</v>
      </c>
      <c r="L168" t="s">
        <v>3750</v>
      </c>
      <c r="M168" t="str">
        <f>VLOOKUP(H168,CHOOSE({1,2},Table12[Native],Table12[Name]),2,0)</f>
        <v>Píngchéng Qū</v>
      </c>
      <c r="N168" s="13" t="str">
        <f>VLOOKUP(I168,CHOOSE({1,2},Table12[Native],Table12[Name]),2,0)</f>
        <v>Dàtóng Shì</v>
      </c>
      <c r="O168" s="13" t="str">
        <f t="shared" si="4"/>
        <v>Daqinglu Jiedao (Dàtóng Shì)</v>
      </c>
      <c r="P168" s="13" t="str">
        <f t="shared" si="5"/>
        <v>Daqinglu Jiedao (Dàtóng Shì)</v>
      </c>
    </row>
    <row r="169" spans="1:16" hidden="1" x14ac:dyDescent="0.25">
      <c r="A169" t="s">
        <v>2621</v>
      </c>
      <c r="B169" t="str">
        <f>IF(COUNTIF(A:A,A169)&gt;1,_xlfn.CONCAT(A169," (",N169,")"),A169)</f>
        <v>Dàqú Jiēdào</v>
      </c>
      <c r="C169" t="str">
        <f>IF(COUNTIF(B:B,B169)&gt;1,_xlfn.CONCAT(A169," (",M169,")"),B169)</f>
        <v>Dàqú Jiēdào</v>
      </c>
      <c r="D169" t="s">
        <v>2622</v>
      </c>
      <c r="E169" t="s">
        <v>31</v>
      </c>
      <c r="F169" t="str">
        <f>_xlfn.CONCAT(D169,", ",H169,", ",I169,", ","山西省")</f>
        <v>大渠街道, 盐湖区, 运城市, 山西省</v>
      </c>
      <c r="G169">
        <v>14149</v>
      </c>
      <c r="H169" t="s">
        <v>3014</v>
      </c>
      <c r="I169" t="s">
        <v>3003</v>
      </c>
      <c r="J169">
        <f>VLOOKUP(F169,[1]!china_towns_second__2[[Column1]:[Y]],3,FALSE)</f>
        <v>35.0566413211439</v>
      </c>
      <c r="K169">
        <f>VLOOKUP(F169,[1]!china_towns_second__2[[Column1]:[Y]],2,FALSE)</f>
        <v>110.9283745</v>
      </c>
      <c r="L169" t="s">
        <v>3751</v>
      </c>
      <c r="M169" t="str">
        <f>VLOOKUP(H169,CHOOSE({1,2},Table12[Native],Table12[Name]),2,0)</f>
        <v>Yánhú Qū</v>
      </c>
      <c r="N169" s="13" t="str">
        <f>VLOOKUP(I169,CHOOSE({1,2},Table12[Native],Table12[Name]),2,0)</f>
        <v>Yùnchéng Shì</v>
      </c>
      <c r="O169" s="13" t="str">
        <f t="shared" si="4"/>
        <v>Daqu Jiedao (Yùnchéng Shì)</v>
      </c>
      <c r="P169" s="13" t="str">
        <f t="shared" si="5"/>
        <v>Daqu Jiedao (Yùnchéng Shì)</v>
      </c>
    </row>
    <row r="170" spans="1:16" hidden="1" x14ac:dyDescent="0.25">
      <c r="A170" t="s">
        <v>360</v>
      </c>
      <c r="B170" t="str">
        <f>IF(COUNTIF(A:A,A170)&gt;1,_xlfn.CONCAT(A170," (",N170,")"),A170)</f>
        <v>Dàrénzhuāng Xiāng</v>
      </c>
      <c r="C170" t="str">
        <f>IF(COUNTIF(B:B,B170)&gt;1,_xlfn.CONCAT(A170," (",M170,")"),B170)</f>
        <v>Dàrénzhuāng Xiāng</v>
      </c>
      <c r="D170" t="s">
        <v>361</v>
      </c>
      <c r="E170" t="s">
        <v>17</v>
      </c>
      <c r="F170" t="str">
        <f>_xlfn.CONCAT(D170,", ",H170,", ",I170,", ","山西省")</f>
        <v>大仁庄乡, 浑源县, 大同市, 山西省</v>
      </c>
      <c r="G170">
        <v>7316</v>
      </c>
      <c r="H170" t="s">
        <v>2896</v>
      </c>
      <c r="I170" t="s">
        <v>2894</v>
      </c>
      <c r="J170" t="e">
        <f>VLOOKUP(F170,[1]!china_towns_second__2[[Column1]:[Y]],3,FALSE)</f>
        <v>#N/A</v>
      </c>
      <c r="K170" t="e">
        <f>VLOOKUP(F170,[1]!china_towns_second__2[[Column1]:[Y]],2,FALSE)</f>
        <v>#N/A</v>
      </c>
      <c r="L170" t="s">
        <v>3752</v>
      </c>
      <c r="M170" t="str">
        <f>VLOOKUP(H170,CHOOSE({1,2},Table12[Native],Table12[Name]),2,0)</f>
        <v>Húnyuán Xiàn</v>
      </c>
      <c r="N170" s="13" t="str">
        <f>VLOOKUP(I170,CHOOSE({1,2},Table12[Native],Table12[Name]),2,0)</f>
        <v>Dàtóng Shì</v>
      </c>
      <c r="O170" s="13" t="str">
        <f t="shared" si="4"/>
        <v>Darenzhuang Xiang (Dàtóng Shì)</v>
      </c>
      <c r="P170" s="13" t="str">
        <f t="shared" si="5"/>
        <v>Darenzhuang Xiang (Dàtóng Shì)</v>
      </c>
    </row>
    <row r="171" spans="1:16" hidden="1" x14ac:dyDescent="0.25">
      <c r="A171" t="s">
        <v>1454</v>
      </c>
      <c r="B171" t="str">
        <f>IF(COUNTIF(A:A,A171)&gt;1,_xlfn.CONCAT(A171," (",N171,")"),A171)</f>
        <v>Dàshétóu Xiāng</v>
      </c>
      <c r="C171" t="str">
        <f>IF(COUNTIF(B:B,B171)&gt;1,_xlfn.CONCAT(A171," (",M171,")"),B171)</f>
        <v>Dàshétóu Xiāng</v>
      </c>
      <c r="D171" t="s">
        <v>1455</v>
      </c>
      <c r="E171" t="s">
        <v>17</v>
      </c>
      <c r="F171" t="str">
        <f>_xlfn.CONCAT(D171,", ",H171,", ",I171,", ","山西省")</f>
        <v>大蛇头乡, 岚县, 吕梁市, 山西省</v>
      </c>
      <c r="G171">
        <v>6383</v>
      </c>
      <c r="H171" t="s">
        <v>2951</v>
      </c>
      <c r="I171" t="s">
        <v>2946</v>
      </c>
      <c r="J171" t="e">
        <f>VLOOKUP(F171,[1]!china_towns_second__2[[Column1]:[Y]],3,FALSE)</f>
        <v>#N/A</v>
      </c>
      <c r="K171" t="e">
        <f>VLOOKUP(F171,[1]!china_towns_second__2[[Column1]:[Y]],2,FALSE)</f>
        <v>#N/A</v>
      </c>
      <c r="L171" t="s">
        <v>3753</v>
      </c>
      <c r="M171" t="str">
        <f>VLOOKUP(H171,CHOOSE({1,2},Table12[Native],Table12[Name]),2,0)</f>
        <v>Lán Xiàn</v>
      </c>
      <c r="N171" s="13" t="str">
        <f>VLOOKUP(I171,CHOOSE({1,2},Table12[Native],Table12[Name]),2,0)</f>
        <v>Lǚliáng Shì</v>
      </c>
      <c r="O171" s="13" t="str">
        <f t="shared" si="4"/>
        <v>Dashetou Xiang (Lǚliáng Shì)</v>
      </c>
      <c r="P171" s="13" t="str">
        <f t="shared" si="5"/>
        <v>Dashetou Xiang (Lǚliáng Shì)</v>
      </c>
    </row>
    <row r="172" spans="1:16" hidden="1" x14ac:dyDescent="0.25">
      <c r="A172" t="s">
        <v>1104</v>
      </c>
      <c r="B172" t="str">
        <f>IF(COUNTIF(A:A,A172)&gt;1,_xlfn.CONCAT(A172," (",N172,")"),A172)</f>
        <v>Dăshíyāo Xiāng</v>
      </c>
      <c r="C172" t="str">
        <f>IF(COUNTIF(B:B,B172)&gt;1,_xlfn.CONCAT(A172," (",M172,")"),B172)</f>
        <v>Dăshíyāo Xiāng</v>
      </c>
      <c r="D172" t="s">
        <v>1105</v>
      </c>
      <c r="E172" t="s">
        <v>17</v>
      </c>
      <c r="F172" t="str">
        <f>_xlfn.CONCAT(D172,", ",H172,", ",I172,", ","山西省")</f>
        <v>打石腰乡, 永和县, 临汾市, 山西省</v>
      </c>
      <c r="G172">
        <v>5315</v>
      </c>
      <c r="H172" t="s">
        <v>2944</v>
      </c>
      <c r="I172" t="s">
        <v>2927</v>
      </c>
      <c r="J172" t="e">
        <f>VLOOKUP(F172,[1]!china_towns_second__2[[Column1]:[Y]],3,FALSE)</f>
        <v>#N/A</v>
      </c>
      <c r="K172" t="e">
        <f>VLOOKUP(F172,[1]!china_towns_second__2[[Column1]:[Y]],2,FALSE)</f>
        <v>#N/A</v>
      </c>
      <c r="L172" t="s">
        <v>3754</v>
      </c>
      <c r="M172" t="str">
        <f>VLOOKUP(H172,CHOOSE({1,2},Table12[Native],Table12[Name]),2,0)</f>
        <v>Yŏnghé Xiàn</v>
      </c>
      <c r="N172" s="13" t="str">
        <f>VLOOKUP(I172,CHOOSE({1,2},Table12[Native],Table12[Name]),2,0)</f>
        <v>Línfén Shì</v>
      </c>
      <c r="O172" s="13" t="str">
        <f t="shared" si="4"/>
        <v>Dashiyao Xiang (Línfén Shì)</v>
      </c>
      <c r="P172" s="13" t="str">
        <f t="shared" si="5"/>
        <v>Dashiyao Xiang (Línfén Shì)</v>
      </c>
    </row>
    <row r="173" spans="1:16" hidden="1" x14ac:dyDescent="0.25">
      <c r="A173" t="s">
        <v>2623</v>
      </c>
      <c r="B173" t="str">
        <f>IF(COUNTIF(A:A,A173)&gt;1,_xlfn.CONCAT(A173," (",N173,")"),A173)</f>
        <v>Dàwáng Zhèn</v>
      </c>
      <c r="C173" t="str">
        <f>IF(COUNTIF(B:B,B173)&gt;1,_xlfn.CONCAT(A173," (",M173,")"),B173)</f>
        <v>Dàwáng Zhèn</v>
      </c>
      <c r="D173" t="s">
        <v>2624</v>
      </c>
      <c r="E173" t="s">
        <v>7</v>
      </c>
      <c r="F173" t="str">
        <f>_xlfn.CONCAT(D173,", ",H173,", ",I173,", ","山西省")</f>
        <v>大王镇, 芮城县, 运城市, 山西省</v>
      </c>
      <c r="G173">
        <v>29237</v>
      </c>
      <c r="H173" t="s">
        <v>3009</v>
      </c>
      <c r="I173" t="s">
        <v>3003</v>
      </c>
      <c r="J173">
        <f>VLOOKUP(F173,[1]!china_towns_second__2[[Column1]:[Y]],3,FALSE)</f>
        <v>34.718932972725497</v>
      </c>
      <c r="K173">
        <f>VLOOKUP(F173,[1]!china_towns_second__2[[Column1]:[Y]],2,FALSE)</f>
        <v>110.5401018</v>
      </c>
      <c r="L173" t="s">
        <v>3755</v>
      </c>
      <c r="M173" t="str">
        <f>VLOOKUP(H173,CHOOSE({1,2},Table12[Native],Table12[Name]),2,0)</f>
        <v>Ruìchéng Xiàn</v>
      </c>
      <c r="N173" s="13" t="str">
        <f>VLOOKUP(I173,CHOOSE({1,2},Table12[Native],Table12[Name]),2,0)</f>
        <v>Yùnchéng Shì</v>
      </c>
      <c r="O173" s="13" t="str">
        <f t="shared" si="4"/>
        <v>Dawang Zhen (Yùnchéng Shì)</v>
      </c>
      <c r="P173" s="13" t="str">
        <f t="shared" si="5"/>
        <v>Dawang Zhen (Yùnchéng Shì)</v>
      </c>
    </row>
    <row r="174" spans="1:16" hidden="1" x14ac:dyDescent="0.25">
      <c r="A174" t="s">
        <v>1457</v>
      </c>
      <c r="B174" t="str">
        <f>IF(COUNTIF(A:A,A174)&gt;1,_xlfn.CONCAT(A174," (",N174,")"),A174)</f>
        <v>Dàwŭ Zhèn</v>
      </c>
      <c r="C174" t="str">
        <f>IF(COUNTIF(B:B,B174)&gt;1,_xlfn.CONCAT(A174," (",M174,")"),B174)</f>
        <v>Dàwŭ Zhèn</v>
      </c>
      <c r="D174" t="s">
        <v>1458</v>
      </c>
      <c r="E174" t="s">
        <v>7</v>
      </c>
      <c r="F174" t="str">
        <f>_xlfn.CONCAT(D174,", ",H174,", ",I174,", ","山西省")</f>
        <v>大武镇, 方山县, 吕梁市, 山西省</v>
      </c>
      <c r="G174">
        <v>34315</v>
      </c>
      <c r="H174" t="s">
        <v>2947</v>
      </c>
      <c r="I174" t="s">
        <v>2946</v>
      </c>
      <c r="J174">
        <f>VLOOKUP(F174,[1]!china_towns_second__2[[Column1]:[Y]],3,FALSE)</f>
        <v>37.672187033018702</v>
      </c>
      <c r="K174">
        <f>VLOOKUP(F174,[1]!china_towns_second__2[[Column1]:[Y]],2,FALSE)</f>
        <v>111.15440599999999</v>
      </c>
      <c r="L174" t="s">
        <v>3756</v>
      </c>
      <c r="M174" t="str">
        <f>VLOOKUP(H174,CHOOSE({1,2},Table12[Native],Table12[Name]),2,0)</f>
        <v>Fāngshān Xiàn</v>
      </c>
      <c r="N174" s="13" t="str">
        <f>VLOOKUP(I174,CHOOSE({1,2},Table12[Native],Table12[Name]),2,0)</f>
        <v>Lǚliáng Shì</v>
      </c>
      <c r="O174" s="13" t="str">
        <f t="shared" si="4"/>
        <v>Dawu Zhen (Lǚliáng Shì)</v>
      </c>
      <c r="P174" s="13" t="str">
        <f t="shared" si="5"/>
        <v>Dawu Zhen (Lǚliáng Shì)</v>
      </c>
    </row>
    <row r="175" spans="1:16" hidden="1" x14ac:dyDescent="0.25">
      <c r="A175" t="s">
        <v>1459</v>
      </c>
      <c r="B175" t="str">
        <f>IF(COUNTIF(A:A,A175)&gt;1,_xlfn.CONCAT(A175," (",N175,")"),A175)</f>
        <v>Dàxiàobăo Xiāng</v>
      </c>
      <c r="C175" t="str">
        <f>IF(COUNTIF(B:B,B175)&gt;1,_xlfn.CONCAT(A175," (",M175,")"),B175)</f>
        <v>Dàxiàobăo Xiāng</v>
      </c>
      <c r="D175" t="s">
        <v>1460</v>
      </c>
      <c r="E175" t="s">
        <v>17</v>
      </c>
      <c r="F175" t="str">
        <f>_xlfn.CONCAT(D175,", ",H175,", ",I175,", ","山西省")</f>
        <v>大孝堡乡, 孝义市, 吕梁市, 山西省</v>
      </c>
      <c r="G175">
        <v>32374</v>
      </c>
      <c r="H175" t="s">
        <v>2957</v>
      </c>
      <c r="I175" t="s">
        <v>2946</v>
      </c>
      <c r="J175" t="e">
        <f>VLOOKUP(F175,[1]!china_towns_second__2[[Column1]:[Y]],3,FALSE)</f>
        <v>#N/A</v>
      </c>
      <c r="K175" t="e">
        <f>VLOOKUP(F175,[1]!china_towns_second__2[[Column1]:[Y]],2,FALSE)</f>
        <v>#N/A</v>
      </c>
      <c r="L175" t="s">
        <v>3757</v>
      </c>
      <c r="M175" t="str">
        <f>VLOOKUP(H175,CHOOSE({1,2},Table12[Native],Table12[Name]),2,0)</f>
        <v>Xiàoyì Shì</v>
      </c>
      <c r="N175" s="13" t="str">
        <f>VLOOKUP(I175,CHOOSE({1,2},Table12[Native],Table12[Name]),2,0)</f>
        <v>Lǚliáng Shì</v>
      </c>
      <c r="O175" s="13" t="str">
        <f t="shared" si="4"/>
        <v>Daxiaobao Xiang (Lǚliáng Shì)</v>
      </c>
      <c r="P175" s="13" t="str">
        <f t="shared" si="5"/>
        <v>Daxiaobao Xiang (Lǚliáng Shì)</v>
      </c>
    </row>
    <row r="176" spans="1:16" hidden="1" x14ac:dyDescent="0.25">
      <c r="A176" t="s">
        <v>61</v>
      </c>
      <c r="B176" t="str">
        <f>IF(COUNTIF(A:A,A176)&gt;1,_xlfn.CONCAT(A176," (",N176,")"),A176)</f>
        <v>Dàxīnzhuāng Zhèn</v>
      </c>
      <c r="C176" t="str">
        <f>IF(COUNTIF(B:B,B176)&gt;1,_xlfn.CONCAT(A176," (",M176,")"),B176)</f>
        <v>Dàxīnzhuāng Zhèn</v>
      </c>
      <c r="D176" t="s">
        <v>62</v>
      </c>
      <c r="E176" t="s">
        <v>7</v>
      </c>
      <c r="F176" t="str">
        <f>_xlfn.CONCAT(D176,", ",H176,", ",I176,", ","山西省")</f>
        <v>大辛庄镇, 潞州区, 长治市, 山西省</v>
      </c>
      <c r="G176">
        <v>30039</v>
      </c>
      <c r="H176" t="s">
        <v>2885</v>
      </c>
      <c r="I176" t="s">
        <v>2878</v>
      </c>
      <c r="J176">
        <f>VLOOKUP(F176,[1]!china_towns_second__2[[Column1]:[Y]],3,FALSE)</f>
        <v>36.240783103337797</v>
      </c>
      <c r="K176">
        <f>VLOOKUP(F176,[1]!china_towns_second__2[[Column1]:[Y]],2,FALSE)</f>
        <v>113.090228</v>
      </c>
      <c r="L176" t="s">
        <v>3758</v>
      </c>
      <c r="M176" t="str">
        <f>VLOOKUP(H176,CHOOSE({1,2},Table12[Native],Table12[Name]),2,0)</f>
        <v>Lùzhōu Qū</v>
      </c>
      <c r="N176" s="13" t="str">
        <f>VLOOKUP(I176,CHOOSE({1,2},Table12[Native],Table12[Name]),2,0)</f>
        <v>Chángzhì Shì</v>
      </c>
      <c r="O176" s="13" t="str">
        <f t="shared" si="4"/>
        <v>Daxinzhuang Zhen (Chángzhì Shì)</v>
      </c>
      <c r="P176" s="13" t="str">
        <f t="shared" si="5"/>
        <v>Daxinzhuang Zhen (Chángzhì Shì)</v>
      </c>
    </row>
    <row r="177" spans="1:16" hidden="1" x14ac:dyDescent="0.25">
      <c r="A177" t="s">
        <v>2148</v>
      </c>
      <c r="B177" t="str">
        <f>IF(COUNTIF(A:A,A177)&gt;1,_xlfn.CONCAT(A177," (",N177,")"),A177)</f>
        <v>Dàyánbèi Xiāng</v>
      </c>
      <c r="C177" t="str">
        <f>IF(COUNTIF(B:B,B177)&gt;1,_xlfn.CONCAT(A177," (",M177,")"),B177)</f>
        <v>Dàyánbèi Xiāng</v>
      </c>
      <c r="D177" t="s">
        <v>2149</v>
      </c>
      <c r="E177" t="s">
        <v>17</v>
      </c>
      <c r="F177" t="str">
        <f>_xlfn.CONCAT(D177,", ",H177,", ",I177,", ","山西省")</f>
        <v>大严备乡, 神池县, 忻州市, 山西省</v>
      </c>
      <c r="G177">
        <v>5189</v>
      </c>
      <c r="H177" t="s">
        <v>2991</v>
      </c>
      <c r="I177" t="s">
        <v>2981</v>
      </c>
      <c r="J177" t="e">
        <f>VLOOKUP(F177,[1]!china_towns_second__2[[Column1]:[Y]],3,FALSE)</f>
        <v>#N/A</v>
      </c>
      <c r="K177" t="e">
        <f>VLOOKUP(F177,[1]!china_towns_second__2[[Column1]:[Y]],2,FALSE)</f>
        <v>#N/A</v>
      </c>
      <c r="L177" t="s">
        <v>3759</v>
      </c>
      <c r="M177" t="str">
        <f>VLOOKUP(H177,CHOOSE({1,2},Table12[Native],Table12[Name]),2,0)</f>
        <v>Shénchí Xiàn</v>
      </c>
      <c r="N177" s="13" t="str">
        <f>VLOOKUP(I177,CHOOSE({1,2},Table12[Native],Table12[Name]),2,0)</f>
        <v>Xīnzhōu Shì</v>
      </c>
      <c r="O177" s="13" t="str">
        <f t="shared" si="4"/>
        <v>Dayanbei Xiang (Xīnzhōu Shì)</v>
      </c>
      <c r="P177" s="13" t="str">
        <f t="shared" si="5"/>
        <v>Dayanbei Xiang (Xīnzhōu Shì)</v>
      </c>
    </row>
    <row r="178" spans="1:16" hidden="1" x14ac:dyDescent="0.25">
      <c r="A178" t="s">
        <v>646</v>
      </c>
      <c r="B178" t="str">
        <f>IF(COUNTIF(A:A,A178)&gt;1,_xlfn.CONCAT(A178," (",N178,")"),A178)</f>
        <v>Dàyáng Zhèn (Jìnchéng Shì)</v>
      </c>
      <c r="C178" t="str">
        <f>IF(COUNTIF(B:B,B178)&gt;1,_xlfn.CONCAT(A178," (",M178,")"),B178)</f>
        <v>Dàyáng Zhèn (Jìnchéng Shì)</v>
      </c>
      <c r="D178" t="s">
        <v>647</v>
      </c>
      <c r="E178" t="s">
        <v>7</v>
      </c>
      <c r="F178" t="str">
        <f>_xlfn.CONCAT(D178,", ",H178,", ",I178,", ","山西省")</f>
        <v>大阳镇, 泽州县, 晋城市, 山西省</v>
      </c>
      <c r="G178">
        <v>26285</v>
      </c>
      <c r="H178" t="s">
        <v>2912</v>
      </c>
      <c r="I178" t="s">
        <v>2906</v>
      </c>
      <c r="J178">
        <f>VLOOKUP(F178,[1]!china_towns_second__2[[Column1]:[Y]],3,FALSE)</f>
        <v>35.650696843258501</v>
      </c>
      <c r="K178">
        <f>VLOOKUP(F178,[1]!china_towns_second__2[[Column1]:[Y]],2,FALSE)</f>
        <v>112.7989455</v>
      </c>
      <c r="L178" t="s">
        <v>3760</v>
      </c>
      <c r="M178" t="str">
        <f>VLOOKUP(H178,CHOOSE({1,2},Table12[Native],Table12[Name]),2,0)</f>
        <v>Zézhōu Xiàn</v>
      </c>
      <c r="N178" s="13" t="str">
        <f>VLOOKUP(I178,CHOOSE({1,2},Table12[Native],Table12[Name]),2,0)</f>
        <v>Jìnchéng Shì</v>
      </c>
      <c r="O178" s="13" t="str">
        <f t="shared" si="4"/>
        <v>Dayang Zhen (Jincheng Shi) (Jìnchéng Shì)</v>
      </c>
      <c r="P178" s="13" t="str">
        <f t="shared" si="5"/>
        <v>Dayang Zhen (Jincheng Shi) (Jìnchéng Shì)</v>
      </c>
    </row>
    <row r="179" spans="1:16" hidden="1" x14ac:dyDescent="0.25">
      <c r="A179" t="s">
        <v>646</v>
      </c>
      <c r="B179" t="str">
        <f>IF(COUNTIF(A:A,A179)&gt;1,_xlfn.CONCAT(A179," (",N179,")"),A179)</f>
        <v>Dàyáng Zhèn (Línfén Shì)</v>
      </c>
      <c r="C179" t="str">
        <f>IF(COUNTIF(B:B,B179)&gt;1,_xlfn.CONCAT(A179," (",M179,")"),B179)</f>
        <v>Dàyáng Zhèn (Línfén Shì)</v>
      </c>
      <c r="D179" t="s">
        <v>647</v>
      </c>
      <c r="E179" t="s">
        <v>7</v>
      </c>
      <c r="F179" t="str">
        <f>_xlfn.CONCAT(D179,", ",H179,", ",I179,", ","山西省")</f>
        <v>大阳镇, 尧都区, 临汾市, 山西省</v>
      </c>
      <c r="G179">
        <v>22428</v>
      </c>
      <c r="H179" t="s">
        <v>2942</v>
      </c>
      <c r="I179" t="s">
        <v>2927</v>
      </c>
      <c r="J179">
        <f>VLOOKUP(F179,[1]!china_towns_second__2[[Column1]:[Y]],3,FALSE)</f>
        <v>36.067390233607398</v>
      </c>
      <c r="K179">
        <f>VLOOKUP(F179,[1]!china_towns_second__2[[Column1]:[Y]],2,FALSE)</f>
        <v>111.7314945</v>
      </c>
      <c r="L179" t="s">
        <v>3761</v>
      </c>
      <c r="M179" t="str">
        <f>VLOOKUP(H179,CHOOSE({1,2},Table12[Native],Table12[Name]),2,0)</f>
        <v>Yáodū Qū</v>
      </c>
      <c r="N179" s="13" t="str">
        <f>VLOOKUP(I179,CHOOSE({1,2},Table12[Native],Table12[Name]),2,0)</f>
        <v>Línfén Shì</v>
      </c>
      <c r="O179" s="13" t="str">
        <f t="shared" si="4"/>
        <v>Dayang Zhen (Linfen Shi) (Línfén Shì)</v>
      </c>
      <c r="P179" s="13" t="str">
        <f t="shared" si="5"/>
        <v>Dayang Zhen (Linfen Shi) (Línfén Shì)</v>
      </c>
    </row>
    <row r="180" spans="1:16" hidden="1" x14ac:dyDescent="0.25">
      <c r="A180" t="s">
        <v>2150</v>
      </c>
      <c r="B180" t="str">
        <f>IF(COUNTIF(A:A,A180)&gt;1,_xlfn.CONCAT(A180," (",N180,")"),A180)</f>
        <v>Dàyíng Zhèn</v>
      </c>
      <c r="C180" t="str">
        <f>IF(COUNTIF(B:B,B180)&gt;1,_xlfn.CONCAT(A180," (",M180,")"),B180)</f>
        <v>Dàyíng Zhèn</v>
      </c>
      <c r="D180" t="s">
        <v>2151</v>
      </c>
      <c r="E180" t="s">
        <v>7</v>
      </c>
      <c r="F180" t="str">
        <f>_xlfn.CONCAT(D180,", ",H180,", ",I180,", ","山西省")</f>
        <v>大营镇, 繁峙县, 忻州市, 山西省</v>
      </c>
      <c r="G180">
        <v>17261</v>
      </c>
      <c r="H180" t="s">
        <v>2985</v>
      </c>
      <c r="I180" t="s">
        <v>2981</v>
      </c>
      <c r="J180">
        <f>VLOOKUP(F180,[1]!china_towns_second__2[[Column1]:[Y]],3,FALSE)</f>
        <v>39.323226600265002</v>
      </c>
      <c r="K180">
        <f>VLOOKUP(F180,[1]!china_towns_second__2[[Column1]:[Y]],2,FALSE)</f>
        <v>113.7879777</v>
      </c>
      <c r="L180" t="s">
        <v>3762</v>
      </c>
      <c r="M180" t="str">
        <f>VLOOKUP(H180,CHOOSE({1,2},Table12[Native],Table12[Name]),2,0)</f>
        <v>Fánshì Xiàn</v>
      </c>
      <c r="N180" s="13" t="str">
        <f>VLOOKUP(I180,CHOOSE({1,2},Table12[Native],Table12[Name]),2,0)</f>
        <v>Xīnzhōu Shì</v>
      </c>
      <c r="O180" s="13" t="str">
        <f t="shared" si="4"/>
        <v>Daying Zhen (Xīnzhōu Shì)</v>
      </c>
      <c r="P180" s="13" t="str">
        <f t="shared" si="5"/>
        <v>Daying Zhen (Xīnzhōu Shì)</v>
      </c>
    </row>
    <row r="181" spans="1:16" hidden="1" x14ac:dyDescent="0.25">
      <c r="A181" t="s">
        <v>63</v>
      </c>
      <c r="B181" t="str">
        <f>IF(COUNTIF(A:A,A181)&gt;1,_xlfn.CONCAT(A181," (",N181,")"),A181)</f>
        <v>Dàyŏu Xiāng</v>
      </c>
      <c r="C181" t="str">
        <f>IF(COUNTIF(B:B,B181)&gt;1,_xlfn.CONCAT(A181," (",M181,")"),B181)</f>
        <v>Dàyŏu Xiāng</v>
      </c>
      <c r="D181" t="s">
        <v>64</v>
      </c>
      <c r="E181" t="s">
        <v>17</v>
      </c>
      <c r="F181" t="str">
        <f>_xlfn.CONCAT(D181,", ",H181,", ",I181,", ","山西省")</f>
        <v>大有乡, 武乡县, 长治市, 山西省</v>
      </c>
      <c r="G181">
        <v>10917</v>
      </c>
      <c r="H181" t="s">
        <v>2891</v>
      </c>
      <c r="I181" t="s">
        <v>2878</v>
      </c>
      <c r="J181" t="e">
        <f>VLOOKUP(F181,[1]!china_towns_second__2[[Column1]:[Y]],3,FALSE)</f>
        <v>#N/A</v>
      </c>
      <c r="K181" t="e">
        <f>VLOOKUP(F181,[1]!china_towns_second__2[[Column1]:[Y]],2,FALSE)</f>
        <v>#N/A</v>
      </c>
      <c r="L181" t="s">
        <v>3763</v>
      </c>
      <c r="M181" t="str">
        <f>VLOOKUP(H181,CHOOSE({1,2},Table12[Native],Table12[Name]),2,0)</f>
        <v>Wŭxiāng Xiàn</v>
      </c>
      <c r="N181" s="13" t="str">
        <f>VLOOKUP(I181,CHOOSE({1,2},Table12[Native],Table12[Name]),2,0)</f>
        <v>Chángzhì Shì</v>
      </c>
      <c r="O181" s="13" t="str">
        <f t="shared" si="4"/>
        <v>Dayou Xiang (Chángzhì Shì)</v>
      </c>
      <c r="P181" s="13" t="str">
        <f t="shared" si="5"/>
        <v>Dayou Xiang (Chángzhì Shì)</v>
      </c>
    </row>
    <row r="182" spans="1:16" hidden="1" x14ac:dyDescent="0.25">
      <c r="A182" t="s">
        <v>1461</v>
      </c>
      <c r="B182" t="str">
        <f>IF(COUNTIF(A:A,A182)&gt;1,_xlfn.CONCAT(A182," (",N182,")"),A182)</f>
        <v>Dàyŭ Xiāng</v>
      </c>
      <c r="C182" t="str">
        <f>IF(COUNTIF(B:B,B182)&gt;1,_xlfn.CONCAT(A182," (",M182,")"),B182)</f>
        <v>Dàyŭ Xiāng</v>
      </c>
      <c r="D182" t="s">
        <v>1462</v>
      </c>
      <c r="E182" t="s">
        <v>17</v>
      </c>
      <c r="F182" t="str">
        <f>_xlfn.CONCAT(D182,", ",H182,", ",I182,", ","山西省")</f>
        <v>大禹乡, 临县, 吕梁市, 山西省</v>
      </c>
      <c r="G182">
        <v>36409</v>
      </c>
      <c r="H182" t="s">
        <v>2952</v>
      </c>
      <c r="I182" t="s">
        <v>2946</v>
      </c>
      <c r="J182" t="e">
        <f>VLOOKUP(F182,[1]!china_towns_second__2[[Column1]:[Y]],3,FALSE)</f>
        <v>#N/A</v>
      </c>
      <c r="K182" t="e">
        <f>VLOOKUP(F182,[1]!china_towns_second__2[[Column1]:[Y]],2,FALSE)</f>
        <v>#N/A</v>
      </c>
      <c r="L182" t="s">
        <v>3764</v>
      </c>
      <c r="M182" t="str">
        <f>VLOOKUP(H182,CHOOSE({1,2},Table12[Native],Table12[Name]),2,0)</f>
        <v>Lín Xiàn</v>
      </c>
      <c r="N182" s="13" t="str">
        <f>VLOOKUP(I182,CHOOSE({1,2},Table12[Native],Table12[Name]),2,0)</f>
        <v>Lǚliáng Shì</v>
      </c>
      <c r="O182" s="13" t="str">
        <f t="shared" si="4"/>
        <v>Dayu Xiang (Lǚliáng Shì)</v>
      </c>
      <c r="P182" s="13" t="str">
        <f t="shared" si="5"/>
        <v>Dayu Xiang (Lǚliáng Shì)</v>
      </c>
    </row>
    <row r="183" spans="1:16" hidden="1" x14ac:dyDescent="0.25">
      <c r="A183" t="s">
        <v>1910</v>
      </c>
      <c r="B183" t="str">
        <f>IF(COUNTIF(A:A,A183)&gt;1,_xlfn.CONCAT(A183," (",N183,")"),A183)</f>
        <v>Dàyú Zhèn</v>
      </c>
      <c r="C183" t="str">
        <f>IF(COUNTIF(B:B,B183)&gt;1,_xlfn.CONCAT(A183," (",M183,")"),B183)</f>
        <v>Dàyú Zhèn</v>
      </c>
      <c r="D183" t="s">
        <v>1911</v>
      </c>
      <c r="E183" t="s">
        <v>7</v>
      </c>
      <c r="F183" t="str">
        <f>_xlfn.CONCAT(D183,", ",H183,", ",I183,", ","山西省")</f>
        <v>大盂镇, 阳曲县, 太原市, 山西省</v>
      </c>
      <c r="G183">
        <v>10959</v>
      </c>
      <c r="H183" t="s">
        <v>2978</v>
      </c>
      <c r="I183" t="s">
        <v>2969</v>
      </c>
      <c r="J183">
        <f>VLOOKUP(F183,[1]!china_towns_second__2[[Column1]:[Y]],3,FALSE)</f>
        <v>38.174968724929499</v>
      </c>
      <c r="K183">
        <f>VLOOKUP(F183,[1]!china_towns_second__2[[Column1]:[Y]],2,FALSE)</f>
        <v>112.76018070000001</v>
      </c>
      <c r="L183" t="s">
        <v>3765</v>
      </c>
      <c r="M183" t="str">
        <f>VLOOKUP(H183,CHOOSE({1,2},Table12[Native],Table12[Name]),2,0)</f>
        <v>Yángqŭ Xiàn</v>
      </c>
      <c r="N183" s="13" t="str">
        <f>VLOOKUP(I183,CHOOSE({1,2},Table12[Native],Table12[Name]),2,0)</f>
        <v>Tàiyuán Shì</v>
      </c>
      <c r="O183" s="13" t="str">
        <f t="shared" si="4"/>
        <v>Dayu Zhen (Tàiyuán Shì)</v>
      </c>
      <c r="P183" s="13" t="str">
        <f t="shared" si="5"/>
        <v>Dayu Zhen (Tàiyuán Shì)</v>
      </c>
    </row>
    <row r="184" spans="1:16" hidden="1" x14ac:dyDescent="0.25">
      <c r="A184" t="s">
        <v>822</v>
      </c>
      <c r="B184" t="str">
        <f>IF(COUNTIF(A:A,A184)&gt;1,_xlfn.CONCAT(A184," (",N184,")"),A184)</f>
        <v>Dàzhài Zhèn</v>
      </c>
      <c r="C184" t="str">
        <f>IF(COUNTIF(B:B,B184)&gt;1,_xlfn.CONCAT(A184," (",M184,")"),B184)</f>
        <v>Dàzhài Zhèn</v>
      </c>
      <c r="D184" t="s">
        <v>823</v>
      </c>
      <c r="E184" t="s">
        <v>7</v>
      </c>
      <c r="F184" t="str">
        <f>_xlfn.CONCAT(D184,", ",H184,", ",I184,", ","山西省")</f>
        <v>大寨镇, 昔阳县, 晋中市, 山西省</v>
      </c>
      <c r="G184">
        <v>32104</v>
      </c>
      <c r="H184" t="s">
        <v>2922</v>
      </c>
      <c r="I184" t="s">
        <v>2914</v>
      </c>
      <c r="J184">
        <f>VLOOKUP(F184,[1]!china_towns_second__2[[Column1]:[Y]],3,FALSE)</f>
        <v>37.538793506833002</v>
      </c>
      <c r="K184">
        <f>VLOOKUP(F184,[1]!china_towns_second__2[[Column1]:[Y]],2,FALSE)</f>
        <v>113.6723484</v>
      </c>
      <c r="L184" t="s">
        <v>3766</v>
      </c>
      <c r="M184" t="str">
        <f>VLOOKUP(H184,CHOOSE({1,2},Table12[Native],Table12[Name]),2,0)</f>
        <v>Xīyáng Xiàn</v>
      </c>
      <c r="N184" s="13" t="str">
        <f>VLOOKUP(I184,CHOOSE({1,2},Table12[Native],Table12[Name]),2,0)</f>
        <v>Jìnzhōng Shì</v>
      </c>
      <c r="O184" s="13" t="str">
        <f t="shared" si="4"/>
        <v>Dazhai Zhen (Jìnzhōng Shì)</v>
      </c>
      <c r="P184" s="13" t="str">
        <f t="shared" si="5"/>
        <v>Dazhai Zhen (Jìnzhōng Shì)</v>
      </c>
    </row>
    <row r="185" spans="1:16" hidden="1" x14ac:dyDescent="0.25">
      <c r="A185" t="s">
        <v>1107</v>
      </c>
      <c r="B185" t="str">
        <f>IF(COUNTIF(A:A,A185)&gt;1,_xlfn.CONCAT(A185," (",N185,")"),A185)</f>
        <v>Dàzhāng Zhèn</v>
      </c>
      <c r="C185" t="str">
        <f>IF(COUNTIF(B:B,B185)&gt;1,_xlfn.CONCAT(A185," (",M185,")"),B185)</f>
        <v>Dàzhāng Zhèn</v>
      </c>
      <c r="D185" t="s">
        <v>1108</v>
      </c>
      <c r="E185" t="s">
        <v>7</v>
      </c>
      <c r="F185" t="str">
        <f>_xlfn.CONCAT(D185,", ",H185,", ",I185,", ","山西省")</f>
        <v>大张镇, 霍州市, 临汾市, 山西省</v>
      </c>
      <c r="G185">
        <v>29498</v>
      </c>
      <c r="H185" t="s">
        <v>2935</v>
      </c>
      <c r="I185" t="s">
        <v>2927</v>
      </c>
      <c r="J185">
        <f>VLOOKUP(F185,[1]!china_towns_second__2[[Column1]:[Y]],3,FALSE)</f>
        <v>36.588878357390001</v>
      </c>
      <c r="K185">
        <f>VLOOKUP(F185,[1]!china_towns_second__2[[Column1]:[Y]],2,FALSE)</f>
        <v>111.7729508</v>
      </c>
      <c r="L185" t="s">
        <v>3767</v>
      </c>
      <c r="M185" t="str">
        <f>VLOOKUP(H185,CHOOSE({1,2},Table12[Native],Table12[Name]),2,0)</f>
        <v>Huòzhōu Shì</v>
      </c>
      <c r="N185" s="13" t="str">
        <f>VLOOKUP(I185,CHOOSE({1,2},Table12[Native],Table12[Name]),2,0)</f>
        <v>Línfén Shì</v>
      </c>
      <c r="O185" s="13" t="str">
        <f t="shared" si="4"/>
        <v>Dazhang Zhen (Línfén Shì)</v>
      </c>
      <c r="P185" s="13" t="str">
        <f t="shared" si="5"/>
        <v>Dazhang Zhen (Línfén Shì)</v>
      </c>
    </row>
    <row r="186" spans="1:16" hidden="1" x14ac:dyDescent="0.25">
      <c r="A186" t="s">
        <v>1109</v>
      </c>
      <c r="B186" t="str">
        <f>IF(COUNTIF(A:A,A186)&gt;1,_xlfn.CONCAT(A186," (",N186,")"),A186)</f>
        <v>Dèngzhuāng Zhèn</v>
      </c>
      <c r="C186" t="str">
        <f>IF(COUNTIF(B:B,B186)&gt;1,_xlfn.CONCAT(A186," (",M186,")"),B186)</f>
        <v>Dèngzhuāng Zhèn</v>
      </c>
      <c r="D186" t="s">
        <v>1110</v>
      </c>
      <c r="E186" t="s">
        <v>7</v>
      </c>
      <c r="F186" t="str">
        <f>_xlfn.CONCAT(D186,", ",H186,", ",I186,", ","山西省")</f>
        <v>邓庄镇, 襄汾县, 临汾市, 山西省</v>
      </c>
      <c r="G186">
        <v>41741</v>
      </c>
      <c r="H186" t="s">
        <v>2939</v>
      </c>
      <c r="I186" t="s">
        <v>2927</v>
      </c>
      <c r="J186">
        <f>VLOOKUP(F186,[1]!china_towns_second__2[[Column1]:[Y]],3,FALSE)</f>
        <v>35.975327078464197</v>
      </c>
      <c r="K186">
        <f>VLOOKUP(F186,[1]!china_towns_second__2[[Column1]:[Y]],2,FALSE)</f>
        <v>111.4735019</v>
      </c>
      <c r="L186" t="s">
        <v>3768</v>
      </c>
      <c r="M186" t="str">
        <f>VLOOKUP(H186,CHOOSE({1,2},Table12[Native],Table12[Name]),2,0)</f>
        <v>Xiāngfén Xiàn</v>
      </c>
      <c r="N186" s="13" t="str">
        <f>VLOOKUP(I186,CHOOSE({1,2},Table12[Native],Table12[Name]),2,0)</f>
        <v>Línfén Shì</v>
      </c>
      <c r="O186" s="13" t="str">
        <f t="shared" si="4"/>
        <v>Dengzhuang Zhen (Línfén Shì)</v>
      </c>
      <c r="P186" s="13" t="str">
        <f t="shared" si="5"/>
        <v>Dengzhuang Zhen (Línfén Shì)</v>
      </c>
    </row>
    <row r="187" spans="1:16" hidden="1" x14ac:dyDescent="0.25">
      <c r="A187" t="s">
        <v>1111</v>
      </c>
      <c r="B187" t="str">
        <f>IF(COUNTIF(A:A,A187)&gt;1,_xlfn.CONCAT(A187," (",N187,")"),A187)</f>
        <v>Diànpíng Xiāng</v>
      </c>
      <c r="C187" t="str">
        <f>IF(COUNTIF(B:B,B187)&gt;1,_xlfn.CONCAT(A187," (",M187,")"),B187)</f>
        <v>Diànpíng Xiāng</v>
      </c>
      <c r="D187" t="s">
        <v>1112</v>
      </c>
      <c r="E187" t="s">
        <v>17</v>
      </c>
      <c r="F187" t="str">
        <f>_xlfn.CONCAT(D187,", ",H187,", ",I187,", ","山西省")</f>
        <v>佃坪乡, 汾西县, 临汾市, 山西省</v>
      </c>
      <c r="G187">
        <v>10396</v>
      </c>
      <c r="H187" t="s">
        <v>2930</v>
      </c>
      <c r="I187" t="s">
        <v>2927</v>
      </c>
      <c r="J187" t="e">
        <f>VLOOKUP(F187,[1]!china_towns_second__2[[Column1]:[Y]],3,FALSE)</f>
        <v>#N/A</v>
      </c>
      <c r="K187" t="e">
        <f>VLOOKUP(F187,[1]!china_towns_second__2[[Column1]:[Y]],2,FALSE)</f>
        <v>#N/A</v>
      </c>
      <c r="L187" t="s">
        <v>3769</v>
      </c>
      <c r="M187" t="str">
        <f>VLOOKUP(H187,CHOOSE({1,2},Table12[Native],Table12[Name]),2,0)</f>
        <v>Fénxī Xiàn</v>
      </c>
      <c r="N187" s="13" t="str">
        <f>VLOOKUP(I187,CHOOSE({1,2},Table12[Native],Table12[Name]),2,0)</f>
        <v>Línfén Shì</v>
      </c>
      <c r="O187" s="13" t="str">
        <f t="shared" si="4"/>
        <v>Dianping Xiang (Línfén Shì)</v>
      </c>
      <c r="P187" s="13" t="str">
        <f t="shared" si="5"/>
        <v>Dianping Xiang (Línfén Shì)</v>
      </c>
    </row>
    <row r="188" spans="1:16" hidden="1" x14ac:dyDescent="0.25">
      <c r="A188" t="s">
        <v>66</v>
      </c>
      <c r="B188" t="str">
        <f>IF(COUNTIF(A:A,A188)&gt;1,_xlfn.CONCAT(A188," (",N188,")"),A188)</f>
        <v>Diànshàng Zhèn (Chángzhì Shì)</v>
      </c>
      <c r="C188" t="str">
        <f>IF(COUNTIF(B:B,B188)&gt;1,_xlfn.CONCAT(A188," (",M188,")"),B188)</f>
        <v>Diànshàng Zhèn (Húguān Xiàn)</v>
      </c>
      <c r="D188" t="s">
        <v>67</v>
      </c>
      <c r="E188" t="s">
        <v>7</v>
      </c>
      <c r="F188" t="str">
        <f>_xlfn.CONCAT(D188,", ",H188,", ",I188,", ","山西省")</f>
        <v>店上镇, 壶关县, 长治市, 山西省</v>
      </c>
      <c r="G188">
        <v>28843</v>
      </c>
      <c r="H188" t="s">
        <v>2881</v>
      </c>
      <c r="I188" t="s">
        <v>2878</v>
      </c>
      <c r="J188">
        <f>VLOOKUP(F188,[1]!china_towns_second__2[[Column1]:[Y]],3,FALSE)</f>
        <v>35.997718507087598</v>
      </c>
      <c r="K188">
        <f>VLOOKUP(F188,[1]!china_towns_second__2[[Column1]:[Y]],2,FALSE)</f>
        <v>113.2867564</v>
      </c>
      <c r="L188" t="s">
        <v>3770</v>
      </c>
      <c r="M188" t="str">
        <f>VLOOKUP(H188,CHOOSE({1,2},Table12[Native],Table12[Name]),2,0)</f>
        <v>Húguān Xiàn</v>
      </c>
      <c r="N188" s="13" t="str">
        <f>VLOOKUP(I188,CHOOSE({1,2},Table12[Native],Table12[Name]),2,0)</f>
        <v>Chángzhì Shì</v>
      </c>
      <c r="O188" s="13" t="str">
        <f t="shared" si="4"/>
        <v>Dianshang Zhen (Huguan Xian) (Chángzhì Shì)</v>
      </c>
      <c r="P188" s="13" t="str">
        <f t="shared" si="5"/>
        <v>Dianshang Zhen (Huguan Xian) (Chángzhì Shì)</v>
      </c>
    </row>
    <row r="189" spans="1:16" hidden="1" x14ac:dyDescent="0.25">
      <c r="A189" t="s">
        <v>66</v>
      </c>
      <c r="B189" t="str">
        <f>IF(COUNTIF(A:A,A189)&gt;1,_xlfn.CONCAT(A189," (",N189,")"),A189)</f>
        <v>Diànshàng Zhèn (Chángzhì Shì)</v>
      </c>
      <c r="C189" t="str">
        <f>IF(COUNTIF(B:B,B189)&gt;1,_xlfn.CONCAT(A189," (",M189,")"),B189)</f>
        <v>Diànshàng Zhèn (Lùchéng Qū)</v>
      </c>
      <c r="D189" t="s">
        <v>67</v>
      </c>
      <c r="E189" t="s">
        <v>7</v>
      </c>
      <c r="F189" t="str">
        <f>_xlfn.CONCAT(D189,", ",H189,", ",I189,", ","山西省")</f>
        <v>店上镇, 潞城区, 长治市, 山西省</v>
      </c>
      <c r="G189">
        <v>31314</v>
      </c>
      <c r="H189" t="s">
        <v>2884</v>
      </c>
      <c r="I189" t="s">
        <v>2878</v>
      </c>
      <c r="J189">
        <f>VLOOKUP(F189,[1]!china_towns_second__2[[Column1]:[Y]],3,FALSE)</f>
        <v>36.434191856118098</v>
      </c>
      <c r="K189">
        <f>VLOOKUP(F189,[1]!china_towns_second__2[[Column1]:[Y]],2,FALSE)</f>
        <v>113.0899639</v>
      </c>
      <c r="L189" t="s">
        <v>3771</v>
      </c>
      <c r="M189" t="str">
        <f>VLOOKUP(H189,CHOOSE({1,2},Table12[Native],Table12[Name]),2,0)</f>
        <v>Lùchéng Qū</v>
      </c>
      <c r="N189" s="13" t="str">
        <f>VLOOKUP(I189,CHOOSE({1,2},Table12[Native],Table12[Name]),2,0)</f>
        <v>Chángzhì Shì</v>
      </c>
      <c r="O189" s="13" t="str">
        <f t="shared" si="4"/>
        <v>Dianshang Zhen (Lucheng Qu) (Chángzhì Shì)</v>
      </c>
      <c r="P189" s="13" t="str">
        <f t="shared" si="5"/>
        <v>Dianshang Zhen (Lucheng Qu) (Chángzhì Shì)</v>
      </c>
    </row>
    <row r="190" spans="1:16" hidden="1" x14ac:dyDescent="0.25">
      <c r="A190" t="s">
        <v>362</v>
      </c>
      <c r="B190" t="str">
        <f>IF(COUNTIF(A:A,A190)&gt;1,_xlfn.CONCAT(A190," (",N190,")"),A190)</f>
        <v>Diànwān Zhèn</v>
      </c>
      <c r="C190" t="str">
        <f>IF(COUNTIF(B:B,B190)&gt;1,_xlfn.CONCAT(A190," (",M190,")"),B190)</f>
        <v>Diànwān Zhèn</v>
      </c>
      <c r="D190" t="s">
        <v>363</v>
      </c>
      <c r="E190" t="s">
        <v>7</v>
      </c>
      <c r="F190" t="str">
        <f>_xlfn.CONCAT(D190,", ",H190,", ",I190,", ","山西省")</f>
        <v>店湾镇, 左云县, 大同市, 山西省</v>
      </c>
      <c r="G190">
        <v>12779</v>
      </c>
      <c r="H190" t="s">
        <v>2904</v>
      </c>
      <c r="I190" t="s">
        <v>2894</v>
      </c>
      <c r="J190">
        <f>VLOOKUP(F190,[1]!china_towns_second__2[[Column1]:[Y]],3,FALSE)</f>
        <v>39.982468762790099</v>
      </c>
      <c r="K190">
        <f>VLOOKUP(F190,[1]!china_towns_second__2[[Column1]:[Y]],2,FALSE)</f>
        <v>112.884889</v>
      </c>
      <c r="L190" t="s">
        <v>3772</v>
      </c>
      <c r="M190" t="str">
        <f>VLOOKUP(H190,CHOOSE({1,2},Table12[Native],Table12[Name]),2,0)</f>
        <v>Zuǒyún Xiàn</v>
      </c>
      <c r="N190" s="13" t="str">
        <f>VLOOKUP(I190,CHOOSE({1,2},Table12[Native],Table12[Name]),2,0)</f>
        <v>Dàtóng Shì</v>
      </c>
      <c r="O190" s="13" t="str">
        <f t="shared" si="4"/>
        <v>Dianwan Zhen (Dàtóng Shì)</v>
      </c>
      <c r="P190" s="13" t="str">
        <f t="shared" si="5"/>
        <v>Dianwan Zhen (Dàtóng Shì)</v>
      </c>
    </row>
    <row r="191" spans="1:16" hidden="1" x14ac:dyDescent="0.25">
      <c r="A191" t="s">
        <v>1114</v>
      </c>
      <c r="B191" t="str">
        <f>IF(COUNTIF(A:A,A191)&gt;1,_xlfn.CONCAT(A191," (",N191,")"),A191)</f>
        <v>Dīcūn Xiāng</v>
      </c>
      <c r="C191" t="str">
        <f>IF(COUNTIF(B:B,B191)&gt;1,_xlfn.CONCAT(A191," (",M191,")"),B191)</f>
        <v>Dīcūn Xiāng</v>
      </c>
      <c r="D191" t="s">
        <v>1115</v>
      </c>
      <c r="E191" t="s">
        <v>17</v>
      </c>
      <c r="F191" t="str">
        <f>_xlfn.CONCAT(D191,", ",H191,", ",I191,", ","山西省")</f>
        <v>堤村乡, 洪洞县, 临汾市, 山西省</v>
      </c>
      <c r="G191">
        <v>50751</v>
      </c>
      <c r="H191" t="s">
        <v>2933</v>
      </c>
      <c r="I191" t="s">
        <v>2927</v>
      </c>
      <c r="J191" t="e">
        <f>VLOOKUP(F191,[1]!china_towns_second__2[[Column1]:[Y]],3,FALSE)</f>
        <v>#N/A</v>
      </c>
      <c r="K191" t="e">
        <f>VLOOKUP(F191,[1]!china_towns_second__2[[Column1]:[Y]],2,FALSE)</f>
        <v>#N/A</v>
      </c>
      <c r="L191" t="s">
        <v>3773</v>
      </c>
      <c r="M191" t="str">
        <f>VLOOKUP(H191,CHOOSE({1,2},Table12[Native],Table12[Name]),2,0)</f>
        <v>Hóngdòng Xiàn</v>
      </c>
      <c r="N191" s="13" t="str">
        <f>VLOOKUP(I191,CHOOSE({1,2},Table12[Native],Table12[Name]),2,0)</f>
        <v>Línfén Shì</v>
      </c>
      <c r="O191" s="13" t="str">
        <f t="shared" si="4"/>
        <v>Dicun Xiang (Línfén Shì)</v>
      </c>
      <c r="P191" s="13" t="str">
        <f t="shared" si="5"/>
        <v>Dicun Xiang (Línfén Shì)</v>
      </c>
    </row>
    <row r="192" spans="1:16" hidden="1" x14ac:dyDescent="0.25">
      <c r="A192" t="s">
        <v>2152</v>
      </c>
      <c r="B192" t="str">
        <f>IF(COUNTIF(A:A,A192)&gt;1,_xlfn.CONCAT(A192," (",N192,")"),A192)</f>
        <v>Diétáisì Xiāng</v>
      </c>
      <c r="C192" t="str">
        <f>IF(COUNTIF(B:B,B192)&gt;1,_xlfn.CONCAT(A192," (",M192,")"),B192)</f>
        <v>Diétáisì Xiāng</v>
      </c>
      <c r="D192" t="s">
        <v>2153</v>
      </c>
      <c r="E192" t="s">
        <v>17</v>
      </c>
      <c r="F192" t="str">
        <f>_xlfn.CONCAT(D192,", ",H192,", ",I192,", ","山西省")</f>
        <v>迭台寺乡, 宁武县, 忻州市, 山西省</v>
      </c>
      <c r="G192">
        <v>3305</v>
      </c>
      <c r="H192" t="s">
        <v>2989</v>
      </c>
      <c r="I192" t="s">
        <v>2981</v>
      </c>
      <c r="J192" t="e">
        <f>VLOOKUP(F192,[1]!china_towns_second__2[[Column1]:[Y]],3,FALSE)</f>
        <v>#N/A</v>
      </c>
      <c r="K192" t="e">
        <f>VLOOKUP(F192,[1]!china_towns_second__2[[Column1]:[Y]],2,FALSE)</f>
        <v>#N/A</v>
      </c>
      <c r="L192" t="s">
        <v>3774</v>
      </c>
      <c r="M192" t="str">
        <f>VLOOKUP(H192,CHOOSE({1,2},Table12[Native],Table12[Name]),2,0)</f>
        <v>Níngwŭ Xiàn</v>
      </c>
      <c r="N192" s="13" t="str">
        <f>VLOOKUP(I192,CHOOSE({1,2},Table12[Native],Table12[Name]),2,0)</f>
        <v>Xīnzhōu Shì</v>
      </c>
      <c r="O192" s="13" t="str">
        <f t="shared" si="4"/>
        <v>Dietaisi Xiang (Xīnzhōu Shì)</v>
      </c>
      <c r="P192" s="13" t="str">
        <f t="shared" si="5"/>
        <v>Dietaisi Xiang (Xīnzhōu Shì)</v>
      </c>
    </row>
    <row r="193" spans="1:16" hidden="1" x14ac:dyDescent="0.25">
      <c r="A193" t="s">
        <v>68</v>
      </c>
      <c r="B193" t="str">
        <f>IF(COUNTIF(A:A,A193)&gt;1,_xlfn.CONCAT(A193," (",N193,")"),A193)</f>
        <v>Dìngchāng Zhèn</v>
      </c>
      <c r="C193" t="str">
        <f>IF(COUNTIF(B:B,B193)&gt;1,_xlfn.CONCAT(A193," (",M193,")"),B193)</f>
        <v>Dìngchāng Zhèn</v>
      </c>
      <c r="D193" t="s">
        <v>69</v>
      </c>
      <c r="E193" t="s">
        <v>7</v>
      </c>
      <c r="F193" t="str">
        <f>_xlfn.CONCAT(D193,", ",H193,", ",I193,", ","山西省")</f>
        <v>定昌镇, 沁县, 长治市, 山西省</v>
      </c>
      <c r="G193">
        <v>57064</v>
      </c>
      <c r="H193" t="s">
        <v>2887</v>
      </c>
      <c r="I193" t="s">
        <v>2878</v>
      </c>
      <c r="J193">
        <f>VLOOKUP(F193,[1]!china_towns_second__2[[Column1]:[Y]],3,FALSE)</f>
        <v>36.768592803608399</v>
      </c>
      <c r="K193">
        <f>VLOOKUP(F193,[1]!china_towns_second__2[[Column1]:[Y]],2,FALSE)</f>
        <v>112.6778989</v>
      </c>
      <c r="L193" t="s">
        <v>3775</v>
      </c>
      <c r="M193" t="str">
        <f>VLOOKUP(H193,CHOOSE({1,2},Table12[Native],Table12[Name]),2,0)</f>
        <v>Qìn Xiàn</v>
      </c>
      <c r="N193" s="13" t="str">
        <f>VLOOKUP(I193,CHOOSE({1,2},Table12[Native],Table12[Name]),2,0)</f>
        <v>Chángzhì Shì</v>
      </c>
      <c r="O193" s="13" t="str">
        <f t="shared" si="4"/>
        <v>Dingchang Zhen (Chángzhì Shì)</v>
      </c>
      <c r="P193" s="13" t="str">
        <f t="shared" si="5"/>
        <v>Dingchang Zhen (Chángzhì Shì)</v>
      </c>
    </row>
    <row r="194" spans="1:16" hidden="1" x14ac:dyDescent="0.25">
      <c r="A194" t="s">
        <v>648</v>
      </c>
      <c r="B194" t="str">
        <f>IF(COUNTIF(A:A,A194)&gt;1,_xlfn.CONCAT(A194," (",N194,")"),A194)</f>
        <v>Dīngdiàn Zhèn</v>
      </c>
      <c r="C194" t="str">
        <f>IF(COUNTIF(B:B,B194)&gt;1,_xlfn.CONCAT(A194," (",M194,")"),B194)</f>
        <v>Dīngdiàn Zhèn</v>
      </c>
      <c r="D194" t="s">
        <v>649</v>
      </c>
      <c r="E194" t="s">
        <v>7</v>
      </c>
      <c r="F194" t="str">
        <f>_xlfn.CONCAT(D194,", ",H194,", ",I194,", ","山西省")</f>
        <v>町店镇, 阳城县, 晋城市, 山西省</v>
      </c>
      <c r="G194">
        <v>15725</v>
      </c>
      <c r="H194" t="s">
        <v>2911</v>
      </c>
      <c r="I194" t="s">
        <v>2906</v>
      </c>
      <c r="J194">
        <f>VLOOKUP(F194,[1]!china_towns_second__2[[Column1]:[Y]],3,FALSE)</f>
        <v>35.571834158402197</v>
      </c>
      <c r="K194">
        <f>VLOOKUP(F194,[1]!china_towns_second__2[[Column1]:[Y]],2,FALSE)</f>
        <v>112.43475960000001</v>
      </c>
      <c r="L194" t="s">
        <v>3776</v>
      </c>
      <c r="M194" t="str">
        <f>VLOOKUP(H194,CHOOSE({1,2},Table12[Native],Table12[Name]),2,0)</f>
        <v>Yángchéng Xiàn</v>
      </c>
      <c r="N194" s="13" t="str">
        <f>VLOOKUP(I194,CHOOSE({1,2},Table12[Native],Table12[Name]),2,0)</f>
        <v>Jìnchéng Shì</v>
      </c>
      <c r="O194" s="13" t="str">
        <f t="shared" ref="O194:O257" si="6">_xlfn.CONCAT(L194," (",N194,")")</f>
        <v>Dingdian Zhen (Jìnchéng Shì)</v>
      </c>
      <c r="P194" s="13" t="str">
        <f t="shared" ref="P194:P257" si="7">IF(COUNTIF(O:O,O194)&gt;1,_xlfn.CONCAT(L194," (",M194,")"),O194)</f>
        <v>Dingdian Zhen (Jìnchéng Shì)</v>
      </c>
    </row>
    <row r="195" spans="1:16" hidden="1" x14ac:dyDescent="0.25">
      <c r="A195" t="s">
        <v>1757</v>
      </c>
      <c r="B195" t="str">
        <f>IF(COUNTIF(A:A,A195)&gt;1,_xlfn.CONCAT(A195," (",N195,")"),A195)</f>
        <v>Dīngjiāyáo Xiāng</v>
      </c>
      <c r="C195" t="str">
        <f>IF(COUNTIF(B:B,B195)&gt;1,_xlfn.CONCAT(A195," (",M195,")"),B195)</f>
        <v>Dīngjiāyáo Xiāng</v>
      </c>
      <c r="D195" t="s">
        <v>1758</v>
      </c>
      <c r="E195" t="s">
        <v>17</v>
      </c>
      <c r="F195" t="str">
        <f>_xlfn.CONCAT(D195,", ",H195,", ",I195,", ","山西省")</f>
        <v>丁家窑乡, 右玉县, 朔州市, 山西省</v>
      </c>
      <c r="G195">
        <v>2335</v>
      </c>
      <c r="H195" t="s">
        <v>2967</v>
      </c>
      <c r="I195" t="s">
        <v>2961</v>
      </c>
      <c r="J195" t="e">
        <f>VLOOKUP(F195,[1]!china_towns_second__2[[Column1]:[Y]],3,FALSE)</f>
        <v>#N/A</v>
      </c>
      <c r="K195" t="e">
        <f>VLOOKUP(F195,[1]!china_towns_second__2[[Column1]:[Y]],2,FALSE)</f>
        <v>#N/A</v>
      </c>
      <c r="L195" t="s">
        <v>3777</v>
      </c>
      <c r="M195" t="str">
        <f>VLOOKUP(H195,CHOOSE({1,2},Table12[Native],Table12[Name]),2,0)</f>
        <v>Yòuyù Xiàn</v>
      </c>
      <c r="N195" s="13" t="str">
        <f>VLOOKUP(I195,CHOOSE({1,2},Table12[Native],Table12[Name]),2,0)</f>
        <v>Shuòzhōu Shì</v>
      </c>
      <c r="O195" s="13" t="str">
        <f t="shared" si="6"/>
        <v>Dingjiayao Xiang (Shuòzhōu Shì)</v>
      </c>
      <c r="P195" s="13" t="str">
        <f t="shared" si="7"/>
        <v>Dingjiayao Xiang (Shuòzhōu Shì)</v>
      </c>
    </row>
    <row r="196" spans="1:16" hidden="1" x14ac:dyDescent="0.25">
      <c r="A196" t="s">
        <v>1759</v>
      </c>
      <c r="B196" t="str">
        <f>IF(COUNTIF(A:A,A196)&gt;1,_xlfn.CONCAT(A196," (",N196,")"),A196)</f>
        <v>Dōngchéng</v>
      </c>
      <c r="C196" t="str">
        <f>IF(COUNTIF(B:B,B196)&gt;1,_xlfn.CONCAT(A196," (",M196,")"),B196)</f>
        <v>Dōngchéng</v>
      </c>
      <c r="D196" t="s">
        <v>1760</v>
      </c>
      <c r="E196" t="s">
        <v>31</v>
      </c>
      <c r="F196" t="str">
        <f>_xlfn.CONCAT(D196,", ",H196,", ",I196,", ","山西省")</f>
        <v>东城, 山阴县, 朔州市, 山西省</v>
      </c>
      <c r="G196">
        <v>23593</v>
      </c>
      <c r="H196" t="s">
        <v>2964</v>
      </c>
      <c r="I196" t="s">
        <v>2961</v>
      </c>
      <c r="J196" t="e">
        <f>VLOOKUP(F196,[1]!china_towns_second__2[[Column1]:[Y]],3,FALSE)</f>
        <v>#N/A</v>
      </c>
      <c r="K196" t="e">
        <f>VLOOKUP(F196,[1]!china_towns_second__2[[Column1]:[Y]],2,FALSE)</f>
        <v>#N/A</v>
      </c>
      <c r="L196" t="s">
        <v>3778</v>
      </c>
      <c r="M196" t="str">
        <f>VLOOKUP(H196,CHOOSE({1,2},Table12[Native],Table12[Name]),2,0)</f>
        <v>Shānyīn Xiàn</v>
      </c>
      <c r="N196" s="13" t="str">
        <f>VLOOKUP(I196,CHOOSE({1,2},Table12[Native],Table12[Name]),2,0)</f>
        <v>Shuòzhōu Shì</v>
      </c>
      <c r="O196" s="13" t="str">
        <f t="shared" si="6"/>
        <v>Dongcheng (Shuòzhōu Shì)</v>
      </c>
      <c r="P196" s="13" t="str">
        <f t="shared" si="7"/>
        <v>Dongcheng (Shuòzhōu Shì)</v>
      </c>
    </row>
    <row r="197" spans="1:16" hidden="1" x14ac:dyDescent="0.25">
      <c r="A197" t="s">
        <v>825</v>
      </c>
      <c r="B197" t="str">
        <f>IF(COUNTIF(A:A,A197)&gt;1,_xlfn.CONCAT(A197," (",N197,")"),A197)</f>
        <v>Dōngchéng Guănlĭ Wĕiyuánhuì</v>
      </c>
      <c r="C197" t="str">
        <f>IF(COUNTIF(B:B,B197)&gt;1,_xlfn.CONCAT(A197," (",M197,")"),B197)</f>
        <v>Dōngchéng Guănlĭ Wĕiyuánhuì</v>
      </c>
      <c r="D197" t="s">
        <v>826</v>
      </c>
      <c r="E197" t="s">
        <v>31</v>
      </c>
      <c r="F197" t="str">
        <f>_xlfn.CONCAT(D197,", ",H197,", ",I197,", ","山西省")</f>
        <v>东城管理委员会, 灵石县, 晋中市, 山西省</v>
      </c>
      <c r="G197">
        <v>24910</v>
      </c>
      <c r="H197" t="s">
        <v>2917</v>
      </c>
      <c r="I197" t="s">
        <v>2914</v>
      </c>
      <c r="J197">
        <f>VLOOKUP(F197,[1]!china_towns_second__2[[Column1]:[Y]],3,FALSE)</f>
        <v>36.849760293179003</v>
      </c>
      <c r="K197">
        <f>VLOOKUP(F197,[1]!china_towns_second__2[[Column1]:[Y]],2,FALSE)</f>
        <v>111.7807691</v>
      </c>
      <c r="L197" t="s">
        <v>3779</v>
      </c>
      <c r="M197" t="str">
        <f>VLOOKUP(H197,CHOOSE({1,2},Table12[Native],Table12[Name]),2,0)</f>
        <v>Língshí Xiàn</v>
      </c>
      <c r="N197" s="13" t="str">
        <f>VLOOKUP(I197,CHOOSE({1,2},Table12[Native],Table12[Name]),2,0)</f>
        <v>Jìnzhōng Shì</v>
      </c>
      <c r="O197" s="13" t="str">
        <f t="shared" si="6"/>
        <v>Dongcheng Guanli Weiyuanhui (Jìnzhōng Shì)</v>
      </c>
      <c r="P197" s="13" t="str">
        <f t="shared" si="7"/>
        <v>Dongcheng Guanli Weiyuanhui (Jìnzhōng Shì)</v>
      </c>
    </row>
    <row r="198" spans="1:16" hidden="1" x14ac:dyDescent="0.25">
      <c r="A198" t="s">
        <v>650</v>
      </c>
      <c r="B198" t="str">
        <f>IF(COUNTIF(A:A,A198)&gt;1,_xlfn.CONCAT(A198," (",N198,")"),A198)</f>
        <v>Dōngchéng Jiēdào (Jìnchéng Shì)</v>
      </c>
      <c r="C198" t="str">
        <f>IF(COUNTIF(B:B,B198)&gt;1,_xlfn.CONCAT(A198," (",M198,")"),B198)</f>
        <v>Dōngchéng Jiēdào (Yángchéng Xiàn)</v>
      </c>
      <c r="D198" t="s">
        <v>651</v>
      </c>
      <c r="E198" t="s">
        <v>35</v>
      </c>
      <c r="F198" t="str">
        <f>_xlfn.CONCAT(D198,", ",H198,", ",I198,", ","山西省")</f>
        <v>东城街道办事处, 阳城县, 晋城市, 山西省</v>
      </c>
      <c r="G198">
        <v>16418</v>
      </c>
      <c r="H198" t="s">
        <v>2911</v>
      </c>
      <c r="I198" t="s">
        <v>2906</v>
      </c>
      <c r="J198" t="e">
        <f>VLOOKUP(F198,[1]!china_towns_second__2[[Column1]:[Y]],3,FALSE)</f>
        <v>#N/A</v>
      </c>
      <c r="K198" t="e">
        <f>VLOOKUP(F198,[1]!china_towns_second__2[[Column1]:[Y]],2,FALSE)</f>
        <v>#N/A</v>
      </c>
      <c r="L198" t="s">
        <v>3780</v>
      </c>
      <c r="M198" t="str">
        <f>VLOOKUP(H198,CHOOSE({1,2},Table12[Native],Table12[Name]),2,0)</f>
        <v>Yángchéng Xiàn</v>
      </c>
      <c r="N198" s="13" t="str">
        <f>VLOOKUP(I198,CHOOSE({1,2},Table12[Native],Table12[Name]),2,0)</f>
        <v>Jìnchéng Shì</v>
      </c>
      <c r="O198" s="13" t="str">
        <f t="shared" si="6"/>
        <v>Dongcheng Jiedao (Yangcheng Xian) (Jìnchéng Shì)</v>
      </c>
      <c r="P198" s="13" t="str">
        <f t="shared" si="7"/>
        <v>Dongcheng Jiedao (Yangcheng Xian) (Jìnchéng Shì)</v>
      </c>
    </row>
    <row r="199" spans="1:16" hidden="1" x14ac:dyDescent="0.25">
      <c r="A199" t="s">
        <v>650</v>
      </c>
      <c r="B199" t="str">
        <f>IF(COUNTIF(A:A,A199)&gt;1,_xlfn.CONCAT(A199," (",N199,")"),A199)</f>
        <v>Dōngchéng Jiēdào (Jìnchéng Shì)</v>
      </c>
      <c r="C199" t="str">
        <f>IF(COUNTIF(B:B,B199)&gt;1,_xlfn.CONCAT(A199," (",M199,")"),B199)</f>
        <v>Dōngchéng Jiēdào (Gāopíng Shì)</v>
      </c>
      <c r="D199" t="s">
        <v>652</v>
      </c>
      <c r="E199" t="s">
        <v>31</v>
      </c>
      <c r="F199" t="str">
        <f>_xlfn.CONCAT(D199,", ",H199,", ",I199,", ","山西省")</f>
        <v>东城街道, 高平市, 晋城市, 山西省</v>
      </c>
      <c r="G199">
        <v>41948</v>
      </c>
      <c r="H199" t="s">
        <v>2908</v>
      </c>
      <c r="I199" t="s">
        <v>2906</v>
      </c>
      <c r="J199">
        <f>VLOOKUP(F199,[1]!china_towns_second__2[[Column1]:[Y]],3,FALSE)</f>
        <v>35.802163009123198</v>
      </c>
      <c r="K199">
        <f>VLOOKUP(F199,[1]!china_towns_second__2[[Column1]:[Y]],2,FALSE)</f>
        <v>112.9461934</v>
      </c>
      <c r="L199" t="s">
        <v>3781</v>
      </c>
      <c r="M199" t="str">
        <f>VLOOKUP(H199,CHOOSE({1,2},Table12[Native],Table12[Name]),2,0)</f>
        <v>Gāopíng Shì</v>
      </c>
      <c r="N199" s="13" t="str">
        <f>VLOOKUP(I199,CHOOSE({1,2},Table12[Native],Table12[Name]),2,0)</f>
        <v>Jìnchéng Shì</v>
      </c>
      <c r="O199" s="13" t="str">
        <f t="shared" si="6"/>
        <v>Dongcheng Jiedao (Gaoping Shi) (Jìnchéng Shì)</v>
      </c>
      <c r="P199" s="13" t="str">
        <f t="shared" si="7"/>
        <v>Dongcheng Jiedao (Gaoping Shi) (Jìnchéng Shì)</v>
      </c>
    </row>
    <row r="200" spans="1:16" hidden="1" x14ac:dyDescent="0.25">
      <c r="A200" t="s">
        <v>650</v>
      </c>
      <c r="B200" t="str">
        <f>IF(COUNTIF(A:A,A200)&gt;1,_xlfn.CONCAT(A200," (",N200,")"),A200)</f>
        <v>Dōngchéng Jiēdào (Yùnchéng Shì)</v>
      </c>
      <c r="C200" t="str">
        <f>IF(COUNTIF(B:B,B200)&gt;1,_xlfn.CONCAT(A200," (",M200,")"),B200)</f>
        <v>Dōngchéng Jiēdào (Yùnchéng Shì)</v>
      </c>
      <c r="D200" t="s">
        <v>652</v>
      </c>
      <c r="E200" t="s">
        <v>31</v>
      </c>
      <c r="F200" t="str">
        <f>_xlfn.CONCAT(D200,", ",H200,", ",I200,", ","山西省")</f>
        <v>东城街道, 盐湖区, 运城市, 山西省</v>
      </c>
      <c r="G200">
        <v>107880</v>
      </c>
      <c r="H200" t="s">
        <v>3014</v>
      </c>
      <c r="I200" t="s">
        <v>3003</v>
      </c>
      <c r="J200">
        <f>VLOOKUP(F200,[1]!china_towns_second__2[[Column1]:[Y]],3,FALSE)</f>
        <v>35.022081742625602</v>
      </c>
      <c r="K200">
        <f>VLOOKUP(F200,[1]!china_towns_second__2[[Column1]:[Y]],2,FALSE)</f>
        <v>111.035995</v>
      </c>
      <c r="L200" t="s">
        <v>3782</v>
      </c>
      <c r="M200" t="str">
        <f>VLOOKUP(H200,CHOOSE({1,2},Table12[Native],Table12[Name]),2,0)</f>
        <v>Yánhú Qū</v>
      </c>
      <c r="N200" s="13" t="str">
        <f>VLOOKUP(I200,CHOOSE({1,2},Table12[Native],Table12[Name]),2,0)</f>
        <v>Yùnchéng Shì</v>
      </c>
      <c r="O200" s="13" t="str">
        <f t="shared" si="6"/>
        <v>Dongcheng Jiedao (Yuncheng Shi) (Yùnchéng Shì)</v>
      </c>
      <c r="P200" s="13" t="str">
        <f t="shared" si="7"/>
        <v>Dongcheng Jiedao (Yuncheng Shi) (Yùnchéng Shì)</v>
      </c>
    </row>
    <row r="201" spans="1:16" hidden="1" x14ac:dyDescent="0.25">
      <c r="A201" t="s">
        <v>1116</v>
      </c>
      <c r="B201" t="str">
        <f>IF(COUNTIF(A:A,A201)&gt;1,_xlfn.CONCAT(A201," (",N201,")"),A201)</f>
        <v>Dōngchéng Xiāng</v>
      </c>
      <c r="C201" t="str">
        <f>IF(COUNTIF(B:B,B201)&gt;1,_xlfn.CONCAT(A201," (",M201,")"),B201)</f>
        <v>Dōngchéng Xiāng</v>
      </c>
      <c r="D201" t="s">
        <v>1117</v>
      </c>
      <c r="E201" t="s">
        <v>17</v>
      </c>
      <c r="F201" t="str">
        <f>_xlfn.CONCAT(D201,", ",H201,", ",I201,", ","山西省")</f>
        <v>东城乡, 吉县, 临汾市, 山西省</v>
      </c>
      <c r="G201">
        <v>6212</v>
      </c>
      <c r="H201" t="s">
        <v>2936</v>
      </c>
      <c r="I201" t="s">
        <v>2927</v>
      </c>
      <c r="J201" t="e">
        <f>VLOOKUP(F201,[1]!china_towns_second__2[[Column1]:[Y]],3,FALSE)</f>
        <v>#N/A</v>
      </c>
      <c r="K201" t="e">
        <f>VLOOKUP(F201,[1]!china_towns_second__2[[Column1]:[Y]],2,FALSE)</f>
        <v>#N/A</v>
      </c>
      <c r="L201" t="s">
        <v>3783</v>
      </c>
      <c r="M201" t="str">
        <f>VLOOKUP(H201,CHOOSE({1,2},Table12[Native],Table12[Name]),2,0)</f>
        <v>Jí Xiàn</v>
      </c>
      <c r="N201" s="13" t="str">
        <f>VLOOKUP(I201,CHOOSE({1,2},Table12[Native],Table12[Name]),2,0)</f>
        <v>Línfén Shì</v>
      </c>
      <c r="O201" s="13" t="str">
        <f t="shared" si="6"/>
        <v>Dongcheng Xiang (Línfén Shì)</v>
      </c>
      <c r="P201" s="13" t="str">
        <f t="shared" si="7"/>
        <v>Dongcheng Xiang (Línfén Shì)</v>
      </c>
    </row>
    <row r="202" spans="1:16" hidden="1" x14ac:dyDescent="0.25">
      <c r="A202" t="s">
        <v>2626</v>
      </c>
      <c r="B202" t="str">
        <f>IF(COUNTIF(A:A,A202)&gt;1,_xlfn.CONCAT(A202," (",N202,")"),A202)</f>
        <v>Dŏngcūn Nóngchăng</v>
      </c>
      <c r="C202" t="str">
        <f>IF(COUNTIF(B:B,B202)&gt;1,_xlfn.CONCAT(A202," (",M202,")"),B202)</f>
        <v>Dŏngcūn Nóngchăng</v>
      </c>
      <c r="D202" t="s">
        <v>2627</v>
      </c>
      <c r="E202" t="s">
        <v>35</v>
      </c>
      <c r="F202" t="str">
        <f>_xlfn.CONCAT(D202,", ",H202,", ",I202,", ","山西省")</f>
        <v>董村农场, 永济市, 运城市, 山西省</v>
      </c>
      <c r="G202">
        <v>1107</v>
      </c>
      <c r="H202" t="s">
        <v>3015</v>
      </c>
      <c r="I202" t="s">
        <v>3003</v>
      </c>
      <c r="J202">
        <f>VLOOKUP(F202,[1]!china_towns_second__2[[Column1]:[Y]],3,FALSE)</f>
        <v>34.923939947856198</v>
      </c>
      <c r="K202">
        <f>VLOOKUP(F202,[1]!china_towns_second__2[[Column1]:[Y]],2,FALSE)</f>
        <v>110.7407542</v>
      </c>
      <c r="L202" t="s">
        <v>3784</v>
      </c>
      <c r="M202" t="str">
        <f>VLOOKUP(H202,CHOOSE({1,2},Table12[Native],Table12[Name]),2,0)</f>
        <v>Yŏngjì Shì</v>
      </c>
      <c r="N202" s="13" t="str">
        <f>VLOOKUP(I202,CHOOSE({1,2},Table12[Native],Table12[Name]),2,0)</f>
        <v>Yùnchéng Shì</v>
      </c>
      <c r="O202" s="13" t="str">
        <f t="shared" si="6"/>
        <v>Dongcun Nongchang (Yùnchéng Shì)</v>
      </c>
      <c r="P202" s="13" t="str">
        <f t="shared" si="7"/>
        <v>Dongcun Nongchang (Yùnchéng Shì)</v>
      </c>
    </row>
    <row r="203" spans="1:16" x14ac:dyDescent="0.25">
      <c r="A203" t="s">
        <v>2154</v>
      </c>
      <c r="B203" t="str">
        <f>IF(COUNTIF(A:A,A203)&gt;1,_xlfn.CONCAT(A203," (",N203,")"),A203)</f>
        <v>Dŏngcūn Zhèn</v>
      </c>
      <c r="C203" t="str">
        <f>IF(COUNTIF(B:B,B203)&gt;1,_xlfn.CONCAT(A203," (",M203,")"),B203)</f>
        <v>Dŏngcūn Zhèn</v>
      </c>
      <c r="D203" t="s">
        <v>2155</v>
      </c>
      <c r="E203" t="s">
        <v>7</v>
      </c>
      <c r="F203" t="str">
        <f>_xlfn.CONCAT(D203,", ",H203,", ",I203,", ","山西省")</f>
        <v>董村镇, 忻府区, 忻州市, 山西省</v>
      </c>
      <c r="G203">
        <v>21995</v>
      </c>
      <c r="H203" t="s">
        <v>2994</v>
      </c>
      <c r="I203" t="s">
        <v>2981</v>
      </c>
      <c r="J203">
        <f>VLOOKUP(F203,[1]!china_towns_second__2[[Column1]:[Y]],3,FALSE)</f>
        <v>38.372639524793499</v>
      </c>
      <c r="K203">
        <f>VLOOKUP(F203,[1]!china_towns_second__2[[Column1]:[Y]],2,FALSE)</f>
        <v>112.8823678</v>
      </c>
      <c r="L203" t="s">
        <v>3785</v>
      </c>
      <c r="M203" t="str">
        <f>VLOOKUP(H203,CHOOSE({1,2},Table12[Native],Table12[Name]),2,0)</f>
        <v>Xīnfŭ Qū</v>
      </c>
      <c r="N203" s="13" t="str">
        <f>VLOOKUP(I203,CHOOSE({1,2},Table12[Native],Table12[Name]),2,0)</f>
        <v>Xīnzhōu Shì</v>
      </c>
      <c r="O203" s="13" t="str">
        <f t="shared" si="6"/>
        <v>Dongcun Zhen (Xīnzhōu Shì)</v>
      </c>
      <c r="P203" s="13" t="str">
        <f t="shared" si="7"/>
        <v>Dongcun Zhen (Xīnzhōu Shì)</v>
      </c>
    </row>
    <row r="204" spans="1:16" x14ac:dyDescent="0.25">
      <c r="A204" t="s">
        <v>1463</v>
      </c>
      <c r="B204" t="str">
        <f>IF(COUNTIF(A:A,A204)&gt;1,_xlfn.CONCAT(A204," (",N204,")"),A204)</f>
        <v>Dōngcūn Zhèn</v>
      </c>
      <c r="C204" t="str">
        <f>IF(COUNTIF(B:B,B204)&gt;1,_xlfn.CONCAT(A204," (",M204,")"),B204)</f>
        <v>Dōngcūn Zhèn</v>
      </c>
      <c r="D204" t="s">
        <v>1464</v>
      </c>
      <c r="E204" t="s">
        <v>7</v>
      </c>
      <c r="F204" t="str">
        <f>_xlfn.CONCAT(D204,", ",H204,", ",I204,", ","山西省")</f>
        <v>东村镇, 岚县, 吕梁市, 山西省</v>
      </c>
      <c r="G204">
        <v>59772</v>
      </c>
      <c r="H204" t="s">
        <v>2951</v>
      </c>
      <c r="I204" t="s">
        <v>2946</v>
      </c>
      <c r="J204">
        <f>VLOOKUP(F204,[1]!china_towns_second__2[[Column1]:[Y]],3,FALSE)</f>
        <v>38.2644745630625</v>
      </c>
      <c r="K204">
        <f>VLOOKUP(F204,[1]!china_towns_second__2[[Column1]:[Y]],2,FALSE)</f>
        <v>111.666157</v>
      </c>
      <c r="L204" t="s">
        <v>3785</v>
      </c>
      <c r="M204" t="str">
        <f>VLOOKUP(H204,CHOOSE({1,2},Table12[Native],Table12[Name]),2,0)</f>
        <v>Lán Xiàn</v>
      </c>
      <c r="N204" s="13" t="str">
        <f>VLOOKUP(I204,CHOOSE({1,2},Table12[Native],Table12[Name]),2,0)</f>
        <v>Lǚliáng Shì</v>
      </c>
      <c r="O204" s="13" t="str">
        <f t="shared" si="6"/>
        <v>Dongcun Zhen (Lǚliáng Shì)</v>
      </c>
      <c r="P204" s="13" t="str">
        <f t="shared" si="7"/>
        <v>Dongcun Zhen (Lǚliáng Shì)</v>
      </c>
    </row>
    <row r="205" spans="1:16" hidden="1" x14ac:dyDescent="0.25">
      <c r="A205" t="s">
        <v>365</v>
      </c>
      <c r="B205" t="str">
        <f>IF(COUNTIF(A:A,A205)&gt;1,_xlfn.CONCAT(A205," (",N205,")"),A205)</f>
        <v>Dōngfāngchéng Xiāng</v>
      </c>
      <c r="C205" t="str">
        <f>IF(COUNTIF(B:B,B205)&gt;1,_xlfn.CONCAT(A205," (",M205,")"),B205)</f>
        <v>Dōngfāngchéng Xiāng</v>
      </c>
      <c r="D205" t="s">
        <v>366</v>
      </c>
      <c r="E205" t="s">
        <v>17</v>
      </c>
      <c r="F205" t="str">
        <f>_xlfn.CONCAT(D205,", ",H205,", ",I205,", ","山西省")</f>
        <v>东坊城乡, 浑源县, 大同市, 山西省</v>
      </c>
      <c r="G205">
        <v>27945</v>
      </c>
      <c r="H205" t="s">
        <v>2896</v>
      </c>
      <c r="I205" t="s">
        <v>2894</v>
      </c>
      <c r="J205" t="e">
        <f>VLOOKUP(F205,[1]!china_towns_second__2[[Column1]:[Y]],3,FALSE)</f>
        <v>#N/A</v>
      </c>
      <c r="K205" t="e">
        <f>VLOOKUP(F205,[1]!china_towns_second__2[[Column1]:[Y]],2,FALSE)</f>
        <v>#N/A</v>
      </c>
      <c r="L205" t="s">
        <v>3786</v>
      </c>
      <c r="M205" t="str">
        <f>VLOOKUP(H205,CHOOSE({1,2},Table12[Native],Table12[Name]),2,0)</f>
        <v>Húnyuán Xiàn</v>
      </c>
      <c r="N205" s="13" t="str">
        <f>VLOOKUP(I205,CHOOSE({1,2},Table12[Native],Table12[Name]),2,0)</f>
        <v>Dàtóng Shì</v>
      </c>
      <c r="O205" s="13" t="str">
        <f t="shared" si="6"/>
        <v>Dongfangcheng Xiang (Dàtóng Shì)</v>
      </c>
      <c r="P205" s="13" t="str">
        <f t="shared" si="7"/>
        <v>Dongfangcheng Xiang (Dàtóng Shì)</v>
      </c>
    </row>
    <row r="206" spans="1:16" hidden="1" x14ac:dyDescent="0.25">
      <c r="A206" t="s">
        <v>653</v>
      </c>
      <c r="B206" t="str">
        <f>IF(COUNTIF(A:A,A206)&gt;1,_xlfn.CONCAT(A206," (",N206,")"),A206)</f>
        <v>Dŏngfēng Xiāng</v>
      </c>
      <c r="C206" t="str">
        <f>IF(COUNTIF(B:B,B206)&gt;1,_xlfn.CONCAT(A206," (",M206,")"),B206)</f>
        <v>Dŏngfēng Xiāng</v>
      </c>
      <c r="D206" t="s">
        <v>654</v>
      </c>
      <c r="E206" t="s">
        <v>17</v>
      </c>
      <c r="F206" t="str">
        <f>_xlfn.CONCAT(D206,", ",H206,", ",I206,", ","山西省")</f>
        <v>董封乡, 阳城县, 晋城市, 山西省</v>
      </c>
      <c r="G206">
        <v>6717</v>
      </c>
      <c r="H206" t="s">
        <v>2911</v>
      </c>
      <c r="I206" t="s">
        <v>2906</v>
      </c>
      <c r="J206" t="e">
        <f>VLOOKUP(F206,[1]!china_towns_second__2[[Column1]:[Y]],3,FALSE)</f>
        <v>#N/A</v>
      </c>
      <c r="K206" t="e">
        <f>VLOOKUP(F206,[1]!china_towns_second__2[[Column1]:[Y]],2,FALSE)</f>
        <v>#N/A</v>
      </c>
      <c r="L206" t="s">
        <v>3787</v>
      </c>
      <c r="M206" t="str">
        <f>VLOOKUP(H206,CHOOSE({1,2},Table12[Native],Table12[Name]),2,0)</f>
        <v>Yángchéng Xiàn</v>
      </c>
      <c r="N206" s="13" t="str">
        <f>VLOOKUP(I206,CHOOSE({1,2},Table12[Native],Table12[Name]),2,0)</f>
        <v>Jìnchéng Shì</v>
      </c>
      <c r="O206" s="13" t="str">
        <f t="shared" si="6"/>
        <v>Dongfeng Xiang (Jìnchéng Shì)</v>
      </c>
      <c r="P206" s="13" t="str">
        <f t="shared" si="7"/>
        <v>Dongfeng Xiang (Jìnchéng Shì)</v>
      </c>
    </row>
    <row r="207" spans="1:16" hidden="1" x14ac:dyDescent="0.25">
      <c r="A207" t="s">
        <v>2156</v>
      </c>
      <c r="B207" t="str">
        <f>IF(COUNTIF(A:A,A207)&gt;1,_xlfn.CONCAT(A207," (",N207,")"),A207)</f>
        <v>Dōngguān Zhèn</v>
      </c>
      <c r="C207" t="str">
        <f>IF(COUNTIF(B:B,B207)&gt;1,_xlfn.CONCAT(A207," (",M207,")"),B207)</f>
        <v>Dōngguān Zhèn</v>
      </c>
      <c r="D207" t="s">
        <v>2157</v>
      </c>
      <c r="E207" t="s">
        <v>7</v>
      </c>
      <c r="F207" t="str">
        <f>_xlfn.CONCAT(D207,", ",H207,", ",I207,", ","山西省")</f>
        <v>东关镇, 保德县, 忻州市, 山西省</v>
      </c>
      <c r="G207">
        <v>75135</v>
      </c>
      <c r="H207" t="s">
        <v>2982</v>
      </c>
      <c r="I207" t="s">
        <v>2981</v>
      </c>
      <c r="J207">
        <f>VLOOKUP(F207,[1]!china_towns_second__2[[Column1]:[Y]],3,FALSE)</f>
        <v>39.013464607239499</v>
      </c>
      <c r="K207">
        <f>VLOOKUP(F207,[1]!china_towns_second__2[[Column1]:[Y]],2,FALSE)</f>
        <v>111.09740650000001</v>
      </c>
      <c r="L207" t="s">
        <v>3788</v>
      </c>
      <c r="M207" t="str">
        <f>VLOOKUP(H207,CHOOSE({1,2},Table12[Native],Table12[Name]),2,0)</f>
        <v>Băodé Xiàn</v>
      </c>
      <c r="N207" s="13" t="str">
        <f>VLOOKUP(I207,CHOOSE({1,2},Table12[Native],Table12[Name]),2,0)</f>
        <v>Xīnzhōu Shì</v>
      </c>
      <c r="O207" s="13" t="str">
        <f t="shared" si="6"/>
        <v>Dongguan Zhen (Xīnzhōu Shì)</v>
      </c>
      <c r="P207" s="13" t="str">
        <f t="shared" si="7"/>
        <v>Dongguan Zhen (Xīnzhōu Shì)</v>
      </c>
    </row>
    <row r="208" spans="1:16" hidden="1" x14ac:dyDescent="0.25">
      <c r="A208" t="s">
        <v>827</v>
      </c>
      <c r="B208" t="str">
        <f>IF(COUNTIF(A:A,A208)&gt;1,_xlfn.CONCAT(A208," (",N208,")"),A208)</f>
        <v>Dōngguān Zhèn [incl. Qíxiàn Jīngjì Kāifāqū]</v>
      </c>
      <c r="C208" t="str">
        <f>IF(COUNTIF(B:B,B208)&gt;1,_xlfn.CONCAT(A208," (",M208,")"),B208)</f>
        <v>Dōngguān Zhèn [incl. Qíxiàn Jīngjì Kāifāqū]</v>
      </c>
      <c r="D208" t="s">
        <v>828</v>
      </c>
      <c r="E208" t="s">
        <v>7</v>
      </c>
      <c r="F208" t="str">
        <f>_xlfn.CONCAT(D208,", ",H208,", ",I208,", ","山西省")</f>
        <v>东观镇, 祁县, 晋中市, 山西省</v>
      </c>
      <c r="G208">
        <v>51558</v>
      </c>
      <c r="H208" t="s">
        <v>2919</v>
      </c>
      <c r="I208" t="s">
        <v>2914</v>
      </c>
      <c r="J208">
        <f>VLOOKUP(F208,[1]!china_towns_second__2[[Column1]:[Y]],3,FALSE)</f>
        <v>37.398131761895399</v>
      </c>
      <c r="K208">
        <f>VLOOKUP(F208,[1]!china_towns_second__2[[Column1]:[Y]],2,FALSE)</f>
        <v>112.4412349</v>
      </c>
      <c r="L208" t="s">
        <v>3789</v>
      </c>
      <c r="M208" t="str">
        <f>VLOOKUP(H208,CHOOSE({1,2},Table12[Native],Table12[Name]),2,0)</f>
        <v>Qí Xiàn</v>
      </c>
      <c r="N208" s="13" t="str">
        <f>VLOOKUP(I208,CHOOSE({1,2},Table12[Native],Table12[Name]),2,0)</f>
        <v>Jìnzhōng Shì</v>
      </c>
      <c r="O208" s="13" t="str">
        <f t="shared" si="6"/>
        <v>Dongguan Zhen [incl. Qixian Jingji Kaifaqu] (Jìnzhōng Shì)</v>
      </c>
      <c r="P208" s="13" t="str">
        <f t="shared" si="7"/>
        <v>Dongguan Zhen [incl. Qixian Jingji Kaifaqu] (Jìnzhōng Shì)</v>
      </c>
    </row>
    <row r="209" spans="1:16" hidden="1" x14ac:dyDescent="0.25">
      <c r="A209" t="s">
        <v>2628</v>
      </c>
      <c r="B209" t="str">
        <f>IF(COUNTIF(A:A,A209)&gt;1,_xlfn.CONCAT(A209," (",N209,")"),A209)</f>
        <v>Dōngguō Zhèn</v>
      </c>
      <c r="C209" t="str">
        <f>IF(COUNTIF(B:B,B209)&gt;1,_xlfn.CONCAT(A209," (",M209,")"),B209)</f>
        <v>Dōngguō Zhèn</v>
      </c>
      <c r="D209" t="s">
        <v>2629</v>
      </c>
      <c r="E209" t="s">
        <v>7</v>
      </c>
      <c r="F209" t="str">
        <f>_xlfn.CONCAT(D209,", ",H209,", ",I209,", ","山西省")</f>
        <v>东郭镇, 盐湖区, 运城市, 山西省</v>
      </c>
      <c r="G209">
        <v>14320</v>
      </c>
      <c r="H209" t="s">
        <v>3014</v>
      </c>
      <c r="I209" t="s">
        <v>3003</v>
      </c>
      <c r="J209">
        <f>VLOOKUP(F209,[1]!china_towns_second__2[[Column1]:[Y]],3,FALSE)</f>
        <v>35.011062528520803</v>
      </c>
      <c r="K209">
        <f>VLOOKUP(F209,[1]!china_towns_second__2[[Column1]:[Y]],2,FALSE)</f>
        <v>111.1202826</v>
      </c>
      <c r="L209" t="s">
        <v>3790</v>
      </c>
      <c r="M209" t="str">
        <f>VLOOKUP(H209,CHOOSE({1,2},Table12[Native],Table12[Name]),2,0)</f>
        <v>Yánhú Qū</v>
      </c>
      <c r="N209" s="13" t="str">
        <f>VLOOKUP(I209,CHOOSE({1,2},Table12[Native],Table12[Name]),2,0)</f>
        <v>Yùnchéng Shì</v>
      </c>
      <c r="O209" s="13" t="str">
        <f t="shared" si="6"/>
        <v>Dongguo Zhen (Yùnchéng Shì)</v>
      </c>
      <c r="P209" s="13" t="str">
        <f t="shared" si="7"/>
        <v>Dongguo Zhen (Yùnchéng Shì)</v>
      </c>
    </row>
    <row r="210" spans="1:16" hidden="1" x14ac:dyDescent="0.25">
      <c r="A210" t="s">
        <v>70</v>
      </c>
      <c r="B210" t="str">
        <f>IF(COUNTIF(A:A,A210)&gt;1,_xlfn.CONCAT(A210," (",N210,")"),A210)</f>
        <v>Dōnghé Xiāng</v>
      </c>
      <c r="C210" t="str">
        <f>IF(COUNTIF(B:B,B210)&gt;1,_xlfn.CONCAT(A210," (",M210,")"),B210)</f>
        <v>Dōnghé Xiāng</v>
      </c>
      <c r="D210" t="s">
        <v>71</v>
      </c>
      <c r="E210" t="s">
        <v>17</v>
      </c>
      <c r="F210" t="str">
        <f>_xlfn.CONCAT(D210,", ",H210,", ",I210,", ","山西省")</f>
        <v>东和乡, 上党区, 长治市, 山西省</v>
      </c>
      <c r="G210">
        <v>19590</v>
      </c>
      <c r="H210" t="s">
        <v>2889</v>
      </c>
      <c r="I210" t="s">
        <v>2878</v>
      </c>
      <c r="J210" t="e">
        <f>VLOOKUP(F210,[1]!china_towns_second__2[[Column1]:[Y]],3,FALSE)</f>
        <v>#N/A</v>
      </c>
      <c r="K210" t="e">
        <f>VLOOKUP(F210,[1]!china_towns_second__2[[Column1]:[Y]],2,FALSE)</f>
        <v>#N/A</v>
      </c>
      <c r="L210" t="s">
        <v>3791</v>
      </c>
      <c r="M210" t="str">
        <f>VLOOKUP(H210,CHOOSE({1,2},Table12[Native],Table12[Name]),2,0)</f>
        <v>Shàngdăng Qū</v>
      </c>
      <c r="N210" s="13" t="str">
        <f>VLOOKUP(I210,CHOOSE({1,2},Table12[Native],Table12[Name]),2,0)</f>
        <v>Chángzhì Shì</v>
      </c>
      <c r="O210" s="13" t="str">
        <f t="shared" si="6"/>
        <v>Donghe Xiang (Chángzhì Shì)</v>
      </c>
      <c r="P210" s="13" t="str">
        <f t="shared" si="7"/>
        <v>Donghe Xiang (Chángzhì Shì)</v>
      </c>
    </row>
    <row r="211" spans="1:16" hidden="1" x14ac:dyDescent="0.25">
      <c r="A211" t="s">
        <v>367</v>
      </c>
      <c r="B211" t="str">
        <f>IF(COUNTIF(A:A,A211)&gt;1,_xlfn.CONCAT(A211," (",N211,")"),A211)</f>
        <v>Dōnghénán Zhèn</v>
      </c>
      <c r="C211" t="str">
        <f>IF(COUNTIF(B:B,B211)&gt;1,_xlfn.CONCAT(A211," (",M211,")"),B211)</f>
        <v>Dōnghénán Zhèn</v>
      </c>
      <c r="D211" t="s">
        <v>368</v>
      </c>
      <c r="E211" t="s">
        <v>7</v>
      </c>
      <c r="F211" t="str">
        <f>_xlfn.CONCAT(D211,", ",H211,", ",I211,", ","山西省")</f>
        <v>东河南镇, 灵丘县, 大同市, 山西省</v>
      </c>
      <c r="G211">
        <v>26083</v>
      </c>
      <c r="H211" t="s">
        <v>2897</v>
      </c>
      <c r="I211" t="s">
        <v>2894</v>
      </c>
      <c r="J211">
        <f>VLOOKUP(F211,[1]!china_towns_second__2[[Column1]:[Y]],3,FALSE)</f>
        <v>39.367570034033101</v>
      </c>
      <c r="K211">
        <f>VLOOKUP(F211,[1]!china_towns_second__2[[Column1]:[Y]],2,FALSE)</f>
        <v>114.07672580000001</v>
      </c>
      <c r="L211" t="s">
        <v>3792</v>
      </c>
      <c r="M211" t="str">
        <f>VLOOKUP(H211,CHOOSE({1,2},Table12[Native],Table12[Name]),2,0)</f>
        <v>Língqiū Xiàn</v>
      </c>
      <c r="N211" s="13" t="str">
        <f>VLOOKUP(I211,CHOOSE({1,2},Table12[Native],Table12[Name]),2,0)</f>
        <v>Dàtóng Shì</v>
      </c>
      <c r="O211" s="13" t="str">
        <f t="shared" si="6"/>
        <v>Donghenan Zhen (Dàtóng Shì)</v>
      </c>
      <c r="P211" s="13" t="str">
        <f t="shared" si="7"/>
        <v>Donghenan Zhen (Dàtóng Shì)</v>
      </c>
    </row>
    <row r="212" spans="1:16" hidden="1" x14ac:dyDescent="0.25">
      <c r="A212" t="s">
        <v>2159</v>
      </c>
      <c r="B212" t="str">
        <f>IF(COUNTIF(A:A,A212)&gt;1,_xlfn.CONCAT(A212," (",N212,")"),A212)</f>
        <v>Dōnghú Xiāng</v>
      </c>
      <c r="C212" t="str">
        <f>IF(COUNTIF(B:B,B212)&gt;1,_xlfn.CONCAT(A212," (",M212,")"),B212)</f>
        <v>Dōnghú Xiāng</v>
      </c>
      <c r="D212" t="s">
        <v>2160</v>
      </c>
      <c r="E212" t="s">
        <v>17</v>
      </c>
      <c r="F212" t="str">
        <f>_xlfn.CONCAT(D212,", ",H212,", ",I212,", ","山西省")</f>
        <v>东湖乡, 神池县, 忻州市, 山西省</v>
      </c>
      <c r="G212">
        <v>9597</v>
      </c>
      <c r="H212" t="s">
        <v>2991</v>
      </c>
      <c r="I212" t="s">
        <v>2981</v>
      </c>
      <c r="J212" t="e">
        <f>VLOOKUP(F212,[1]!china_towns_second__2[[Column1]:[Y]],3,FALSE)</f>
        <v>#N/A</v>
      </c>
      <c r="K212" t="e">
        <f>VLOOKUP(F212,[1]!china_towns_second__2[[Column1]:[Y]],2,FALSE)</f>
        <v>#N/A</v>
      </c>
      <c r="L212" t="s">
        <v>3793</v>
      </c>
      <c r="M212" t="str">
        <f>VLOOKUP(H212,CHOOSE({1,2},Table12[Native],Table12[Name]),2,0)</f>
        <v>Shénchí Xiàn</v>
      </c>
      <c r="N212" s="13" t="str">
        <f>VLOOKUP(I212,CHOOSE({1,2},Table12[Native],Table12[Name]),2,0)</f>
        <v>Xīnzhōu Shì</v>
      </c>
      <c r="O212" s="13" t="str">
        <f t="shared" si="6"/>
        <v>Donghu Xiang (Xīnzhōu Shì)</v>
      </c>
      <c r="P212" s="13" t="str">
        <f t="shared" si="7"/>
        <v>Donghu Xiang (Xīnzhōu Shì)</v>
      </c>
    </row>
    <row r="213" spans="1:16" hidden="1" x14ac:dyDescent="0.25">
      <c r="A213" t="s">
        <v>1912</v>
      </c>
      <c r="B213" t="str">
        <f>IF(COUNTIF(A:A,A213)&gt;1,_xlfn.CONCAT(A213," (",N213,")"),A213)</f>
        <v>Dōnghuángshuĭ Zhèn</v>
      </c>
      <c r="C213" t="str">
        <f>IF(COUNTIF(B:B,B213)&gt;1,_xlfn.CONCAT(A213," (",M213,")"),B213)</f>
        <v>Dōnghuángshuĭ Zhèn</v>
      </c>
      <c r="D213" t="s">
        <v>1913</v>
      </c>
      <c r="E213" t="s">
        <v>7</v>
      </c>
      <c r="F213" t="str">
        <f>_xlfn.CONCAT(D213,", ",H213,", ",I213,", ","山西省")</f>
        <v>东黄水镇, 阳曲县, 太原市, 山西省</v>
      </c>
      <c r="G213">
        <v>9722</v>
      </c>
      <c r="H213" t="s">
        <v>2978</v>
      </c>
      <c r="I213" t="s">
        <v>2969</v>
      </c>
      <c r="J213">
        <f>VLOOKUP(F213,[1]!china_towns_second__2[[Column1]:[Y]],3,FALSE)</f>
        <v>38.063881431113003</v>
      </c>
      <c r="K213">
        <f>VLOOKUP(F213,[1]!china_towns_second__2[[Column1]:[Y]],2,FALSE)</f>
        <v>112.7985795</v>
      </c>
      <c r="L213" t="s">
        <v>3794</v>
      </c>
      <c r="M213" t="str">
        <f>VLOOKUP(H213,CHOOSE({1,2},Table12[Native],Table12[Name]),2,0)</f>
        <v>Yángqŭ Xiàn</v>
      </c>
      <c r="N213" s="13" t="str">
        <f>VLOOKUP(I213,CHOOSE({1,2},Table12[Native],Table12[Name]),2,0)</f>
        <v>Tàiyuán Shì</v>
      </c>
      <c r="O213" s="13" t="str">
        <f t="shared" si="6"/>
        <v>Donghuangshui Zhen (Tàiyuán Shì)</v>
      </c>
      <c r="P213" s="13" t="str">
        <f t="shared" si="7"/>
        <v>Donghuangshui Zhen (Tàiyuán Shì)</v>
      </c>
    </row>
    <row r="214" spans="1:16" hidden="1" x14ac:dyDescent="0.25">
      <c r="A214" t="s">
        <v>1465</v>
      </c>
      <c r="B214" t="str">
        <f>IF(COUNTIF(A:A,A214)&gt;1,_xlfn.CONCAT(A214," (",N214,")"),A214)</f>
        <v>Dōnghuì Xiāng</v>
      </c>
      <c r="C214" t="str">
        <f>IF(COUNTIF(B:B,B214)&gt;1,_xlfn.CONCAT(A214," (",M214,")"),B214)</f>
        <v>Dōnghuì Xiāng</v>
      </c>
      <c r="D214" t="s">
        <v>1466</v>
      </c>
      <c r="E214" t="s">
        <v>17</v>
      </c>
      <c r="F214" t="str">
        <f>_xlfn.CONCAT(D214,", ",H214,", ",I214,", ","山西省")</f>
        <v>东会乡, 兴县, 吕梁市, 山西省</v>
      </c>
      <c r="G214">
        <v>6704</v>
      </c>
      <c r="H214" t="s">
        <v>2958</v>
      </c>
      <c r="I214" t="s">
        <v>2946</v>
      </c>
      <c r="J214" t="e">
        <f>VLOOKUP(F214,[1]!china_towns_second__2[[Column1]:[Y]],3,FALSE)</f>
        <v>#N/A</v>
      </c>
      <c r="K214" t="e">
        <f>VLOOKUP(F214,[1]!china_towns_second__2[[Column1]:[Y]],2,FALSE)</f>
        <v>#N/A</v>
      </c>
      <c r="L214" t="s">
        <v>3795</v>
      </c>
      <c r="M214" t="str">
        <f>VLOOKUP(H214,CHOOSE({1,2},Table12[Native],Table12[Name]),2,0)</f>
        <v>Xīng Xiàn</v>
      </c>
      <c r="N214" s="13" t="str">
        <f>VLOOKUP(I214,CHOOSE({1,2},Table12[Native],Table12[Name]),2,0)</f>
        <v>Lǚliáng Shì</v>
      </c>
      <c r="O214" s="13" t="str">
        <f t="shared" si="6"/>
        <v>Donghui Xiang (Lǚliáng Shì)</v>
      </c>
      <c r="P214" s="13" t="str">
        <f t="shared" si="7"/>
        <v>Donghui Xiang (Lǚliáng Shì)</v>
      </c>
    </row>
    <row r="215" spans="1:16" hidden="1" x14ac:dyDescent="0.25">
      <c r="A215" t="s">
        <v>2503</v>
      </c>
      <c r="B215" t="str">
        <f>IF(COUNTIF(A:A,A215)&gt;1,_xlfn.CONCAT(A215," (",N215,")"),A215)</f>
        <v>Dōnghuí Zhèn</v>
      </c>
      <c r="C215" t="str">
        <f>IF(COUNTIF(B:B,B215)&gt;1,_xlfn.CONCAT(A215," (",M215,")"),B215)</f>
        <v>Dōnghuí Zhèn</v>
      </c>
      <c r="D215" t="s">
        <v>2504</v>
      </c>
      <c r="E215" t="s">
        <v>7</v>
      </c>
      <c r="F215" t="str">
        <f>_xlfn.CONCAT(D215,", ",H215,", ",I215,", ","山西省")</f>
        <v>东回镇, 平定县, 阳泉市, 山西省</v>
      </c>
      <c r="G215">
        <v>27735</v>
      </c>
      <c r="H215" t="s">
        <v>3000</v>
      </c>
      <c r="I215" t="s">
        <v>2997</v>
      </c>
      <c r="J215">
        <f>VLOOKUP(F215,[1]!china_towns_second__2[[Column1]:[Y]],3,FALSE)</f>
        <v>37.760299614757898</v>
      </c>
      <c r="K215">
        <f>VLOOKUP(F215,[1]!china_towns_second__2[[Column1]:[Y]],2,FALSE)</f>
        <v>113.91678760000001</v>
      </c>
      <c r="L215" t="s">
        <v>3796</v>
      </c>
      <c r="M215" t="str">
        <f>VLOOKUP(H215,CHOOSE({1,2},Table12[Native],Table12[Name]),2,0)</f>
        <v>Píngdìng Xiàn</v>
      </c>
      <c r="N215" s="13" t="str">
        <f>VLOOKUP(I215,CHOOSE({1,2},Table12[Native],Table12[Name]),2,0)</f>
        <v>Yángquán Shì</v>
      </c>
      <c r="O215" s="13" t="str">
        <f t="shared" si="6"/>
        <v>Donghui Zhen (Yángquán Shì)</v>
      </c>
      <c r="P215" s="13" t="str">
        <f t="shared" si="7"/>
        <v>Donghui Zhen (Yángquán Shì)</v>
      </c>
    </row>
    <row r="216" spans="1:16" hidden="1" x14ac:dyDescent="0.25">
      <c r="A216" t="s">
        <v>369</v>
      </c>
      <c r="B216" t="str">
        <f>IF(COUNTIF(A:A,A216)&gt;1,_xlfn.CONCAT(A216," (",N216,")"),A216)</f>
        <v>Dōngjiē</v>
      </c>
      <c r="C216" t="str">
        <f>IF(COUNTIF(B:B,B216)&gt;1,_xlfn.CONCAT(A216," (",M216,")"),B216)</f>
        <v>Dōngjiē</v>
      </c>
      <c r="D216" t="s">
        <v>370</v>
      </c>
      <c r="E216" t="s">
        <v>35</v>
      </c>
      <c r="F216" t="str">
        <f>_xlfn.CONCAT(D216,", ",H216,", ",I216,", ","山西省")</f>
        <v>东街办事处, 云州区, 大同市, 山西省</v>
      </c>
      <c r="G216">
        <v>22535</v>
      </c>
      <c r="H216" t="s">
        <v>2903</v>
      </c>
      <c r="I216" t="s">
        <v>2894</v>
      </c>
      <c r="J216" t="e">
        <f>VLOOKUP(F216,[1]!china_towns_second__2[[Column1]:[Y]],3,FALSE)</f>
        <v>#N/A</v>
      </c>
      <c r="K216" t="e">
        <f>VLOOKUP(F216,[1]!china_towns_second__2[[Column1]:[Y]],2,FALSE)</f>
        <v>#N/A</v>
      </c>
      <c r="L216" t="s">
        <v>3797</v>
      </c>
      <c r="M216" t="str">
        <f>VLOOKUP(H216,CHOOSE({1,2},Table12[Native],Table12[Name]),2,0)</f>
        <v>Yúnzhōu Qū</v>
      </c>
      <c r="N216" s="13" t="str">
        <f>VLOOKUP(I216,CHOOSE({1,2},Table12[Native],Table12[Name]),2,0)</f>
        <v>Dàtóng Shì</v>
      </c>
      <c r="O216" s="13" t="str">
        <f t="shared" si="6"/>
        <v>Dongjie (Dàtóng Shì)</v>
      </c>
      <c r="P216" s="13" t="str">
        <f t="shared" si="7"/>
        <v>Dongjie (Dàtóng Shì)</v>
      </c>
    </row>
    <row r="217" spans="1:16" hidden="1" x14ac:dyDescent="0.25">
      <c r="A217" t="s">
        <v>72</v>
      </c>
      <c r="B217" t="str">
        <f>IF(COUNTIF(A:A,A217)&gt;1,_xlfn.CONCAT(A217," (",N217,")"),A217)</f>
        <v>Dōngjiē Jiēdào (Chángzhì Shì)</v>
      </c>
      <c r="C217" t="str">
        <f>IF(COUNTIF(B:B,B217)&gt;1,_xlfn.CONCAT(A217," (",M217,")"),B217)</f>
        <v>Dōngjiē Jiēdào (Chángzhì Shì)</v>
      </c>
      <c r="D217" t="s">
        <v>73</v>
      </c>
      <c r="E217" t="s">
        <v>31</v>
      </c>
      <c r="F217" t="str">
        <f>_xlfn.CONCAT(D217,", ",H217,", ",I217,", ","山西省")</f>
        <v>东街街道, 潞州区, 长治市, 山西省</v>
      </c>
      <c r="G217">
        <v>51599</v>
      </c>
      <c r="H217" t="s">
        <v>2885</v>
      </c>
      <c r="I217" t="s">
        <v>2878</v>
      </c>
      <c r="J217" t="e">
        <f>VLOOKUP(F217,[1]!china_towns_second__2[[Column1]:[Y]],3,FALSE)</f>
        <v>#N/A</v>
      </c>
      <c r="K217" t="e">
        <f>VLOOKUP(F217,[1]!china_towns_second__2[[Column1]:[Y]],2,FALSE)</f>
        <v>#N/A</v>
      </c>
      <c r="L217" t="s">
        <v>3798</v>
      </c>
      <c r="M217" t="str">
        <f>VLOOKUP(H217,CHOOSE({1,2},Table12[Native],Table12[Name]),2,0)</f>
        <v>Lùzhōu Qū</v>
      </c>
      <c r="N217" s="13" t="str">
        <f>VLOOKUP(I217,CHOOSE({1,2},Table12[Native],Table12[Name]),2,0)</f>
        <v>Chángzhì Shì</v>
      </c>
      <c r="O217" s="13" t="str">
        <f t="shared" si="6"/>
        <v>Dongjie Jiedao (Changzhi Shi) (Chángzhì Shì)</v>
      </c>
      <c r="P217" s="13" t="str">
        <f t="shared" si="7"/>
        <v>Dongjie Jiedao (Changzhi Shi) (Chángzhì Shì)</v>
      </c>
    </row>
    <row r="218" spans="1:16" hidden="1" x14ac:dyDescent="0.25">
      <c r="A218" t="s">
        <v>72</v>
      </c>
      <c r="B218" t="str">
        <f>IF(COUNTIF(A:A,A218)&gt;1,_xlfn.CONCAT(A218," (",N218,")"),A218)</f>
        <v>Dōngjiē Jiēdào (Dàtóng Shì)</v>
      </c>
      <c r="C218" t="str">
        <f>IF(COUNTIF(B:B,B218)&gt;1,_xlfn.CONCAT(A218," (",M218,")"),B218)</f>
        <v>Dōngjiē Jiēdào (Dàtóng Shì)</v>
      </c>
      <c r="D218" t="s">
        <v>73</v>
      </c>
      <c r="E218" t="s">
        <v>31</v>
      </c>
      <c r="F218" t="str">
        <f>_xlfn.CONCAT(D218,", ",H218,", ",I218,", ","山西省")</f>
        <v>东街街道, 平城区, 大同市, 山西省</v>
      </c>
      <c r="G218">
        <v>27660</v>
      </c>
      <c r="H218" t="s">
        <v>2898</v>
      </c>
      <c r="I218" t="s">
        <v>2894</v>
      </c>
      <c r="J218" t="e">
        <f>VLOOKUP(F218,[1]!china_towns_second__2[[Column1]:[Y]],3,FALSE)</f>
        <v>#N/A</v>
      </c>
      <c r="K218" t="e">
        <f>VLOOKUP(F218,[1]!china_towns_second__2[[Column1]:[Y]],2,FALSE)</f>
        <v>#N/A</v>
      </c>
      <c r="L218" t="s">
        <v>3799</v>
      </c>
      <c r="M218" t="str">
        <f>VLOOKUP(H218,CHOOSE({1,2},Table12[Native],Table12[Name]),2,0)</f>
        <v>Píngchéng Qū</v>
      </c>
      <c r="N218" s="13" t="str">
        <f>VLOOKUP(I218,CHOOSE({1,2},Table12[Native],Table12[Name]),2,0)</f>
        <v>Dàtóng Shì</v>
      </c>
      <c r="O218" s="13" t="str">
        <f t="shared" si="6"/>
        <v>Dongjie Jiedao (Datong Shi) (Dàtóng Shì)</v>
      </c>
      <c r="P218" s="13" t="str">
        <f t="shared" si="7"/>
        <v>Dongjie Jiedao (Datong Shi) (Dàtóng Shì)</v>
      </c>
    </row>
    <row r="219" spans="1:16" hidden="1" x14ac:dyDescent="0.25">
      <c r="A219" t="s">
        <v>72</v>
      </c>
      <c r="B219" t="str">
        <f>IF(COUNTIF(A:A,A219)&gt;1,_xlfn.CONCAT(A219," (",N219,")"),A219)</f>
        <v>Dōngjiē Jiēdào (Jìnchéng Shì)</v>
      </c>
      <c r="C219" t="str">
        <f>IF(COUNTIF(B:B,B219)&gt;1,_xlfn.CONCAT(A219," (",M219,")"),B219)</f>
        <v>Dōngjiē Jiēdào (Jìnchéng Shì)</v>
      </c>
      <c r="D219" t="s">
        <v>73</v>
      </c>
      <c r="E219" t="s">
        <v>31</v>
      </c>
      <c r="F219" t="str">
        <f>_xlfn.CONCAT(D219,", ",H219,", ",I219,", ","山西省")</f>
        <v>东街街道, 城区, 晋城市, 山西省</v>
      </c>
      <c r="G219">
        <v>54671</v>
      </c>
      <c r="H219" t="s">
        <v>814</v>
      </c>
      <c r="I219" t="s">
        <v>2906</v>
      </c>
      <c r="J219">
        <f>VLOOKUP(F219,[1]!china_towns_second__2[[Column1]:[Y]],3,FALSE)</f>
        <v>35.499109156473402</v>
      </c>
      <c r="K219">
        <f>VLOOKUP(F219,[1]!china_towns_second__2[[Column1]:[Y]],2,FALSE)</f>
        <v>112.8461837</v>
      </c>
      <c r="L219" t="s">
        <v>3800</v>
      </c>
      <c r="M219" t="str">
        <f>VLOOKUP(H219,CHOOSE({1,2},Table12[Native],Table12[Name]),2,0)</f>
        <v>Chéng Qū</v>
      </c>
      <c r="N219" s="13" t="str">
        <f>VLOOKUP(I219,CHOOSE({1,2},Table12[Native],Table12[Name]),2,0)</f>
        <v>Jìnchéng Shì</v>
      </c>
      <c r="O219" s="13" t="str">
        <f t="shared" si="6"/>
        <v>Dongjie Jiedao (Jincheng Shi) (Jìnchéng Shì)</v>
      </c>
      <c r="P219" s="13" t="str">
        <f t="shared" si="7"/>
        <v>Dongjie Jiedao (Jincheng Shi) (Jìnchéng Shì)</v>
      </c>
    </row>
    <row r="220" spans="1:16" hidden="1" x14ac:dyDescent="0.25">
      <c r="A220" t="s">
        <v>74</v>
      </c>
      <c r="B220" t="str">
        <f>IF(COUNTIF(A:A,A220)&gt;1,_xlfn.CONCAT(A220," (",N220,")"),A220)</f>
        <v>Dōngjĭnglĭng Xiāng</v>
      </c>
      <c r="C220" t="str">
        <f>IF(COUNTIF(B:B,B220)&gt;1,_xlfn.CONCAT(A220," (",M220,")"),B220)</f>
        <v>Dōngjĭnglĭng Xiāng</v>
      </c>
      <c r="D220" t="s">
        <v>75</v>
      </c>
      <c r="E220" t="s">
        <v>17</v>
      </c>
      <c r="F220" t="str">
        <f>_xlfn.CONCAT(D220,", ",H220,", ",I220,", ","山西省")</f>
        <v>东井岭乡, 壶关县, 长治市, 山西省</v>
      </c>
      <c r="G220">
        <v>17600</v>
      </c>
      <c r="H220" t="s">
        <v>2881</v>
      </c>
      <c r="I220" t="s">
        <v>2878</v>
      </c>
      <c r="J220" t="e">
        <f>VLOOKUP(F220,[1]!china_towns_second__2[[Column1]:[Y]],3,FALSE)</f>
        <v>#N/A</v>
      </c>
      <c r="K220" t="e">
        <f>VLOOKUP(F220,[1]!china_towns_second__2[[Column1]:[Y]],2,FALSE)</f>
        <v>#N/A</v>
      </c>
      <c r="L220" t="s">
        <v>3801</v>
      </c>
      <c r="M220" t="str">
        <f>VLOOKUP(H220,CHOOSE({1,2},Table12[Native],Table12[Name]),2,0)</f>
        <v>Húguān Xiàn</v>
      </c>
      <c r="N220" s="13" t="str">
        <f>VLOOKUP(I220,CHOOSE({1,2},Table12[Native],Table12[Name]),2,0)</f>
        <v>Chángzhì Shì</v>
      </c>
      <c r="O220" s="13" t="str">
        <f t="shared" si="6"/>
        <v>Dongjingling Xiang (Chángzhì Shì)</v>
      </c>
      <c r="P220" s="13" t="str">
        <f t="shared" si="7"/>
        <v>Dongjingling Xiang (Chángzhì Shì)</v>
      </c>
    </row>
    <row r="221" spans="1:16" hidden="1" x14ac:dyDescent="0.25">
      <c r="A221" t="s">
        <v>2161</v>
      </c>
      <c r="B221" t="str">
        <f>IF(COUNTIF(A:A,A221)&gt;1,_xlfn.CONCAT(A221," (",N221,")"),A221)</f>
        <v>Dōngléi Xiāng</v>
      </c>
      <c r="C221" t="str">
        <f>IF(COUNTIF(B:B,B221)&gt;1,_xlfn.CONCAT(A221," (",M221,")"),B221)</f>
        <v>Dōngléi Xiāng</v>
      </c>
      <c r="D221" t="s">
        <v>2162</v>
      </c>
      <c r="E221" t="s">
        <v>17</v>
      </c>
      <c r="F221" t="str">
        <f>_xlfn.CONCAT(D221,", ",H221,", ",I221,", ","山西省")</f>
        <v>东雷乡, 五台县, 忻州市, 山西省</v>
      </c>
      <c r="G221">
        <v>10311</v>
      </c>
      <c r="H221" t="s">
        <v>2992</v>
      </c>
      <c r="I221" t="s">
        <v>2981</v>
      </c>
      <c r="J221" t="e">
        <f>VLOOKUP(F221,[1]!china_towns_second__2[[Column1]:[Y]],3,FALSE)</f>
        <v>#N/A</v>
      </c>
      <c r="K221" t="e">
        <f>VLOOKUP(F221,[1]!china_towns_second__2[[Column1]:[Y]],2,FALSE)</f>
        <v>#N/A</v>
      </c>
      <c r="L221" t="s">
        <v>3802</v>
      </c>
      <c r="M221" t="str">
        <f>VLOOKUP(H221,CHOOSE({1,2},Table12[Native],Table12[Name]),2,0)</f>
        <v>Wŭtái Xiàn</v>
      </c>
      <c r="N221" s="13" t="str">
        <f>VLOOKUP(I221,CHOOSE({1,2},Table12[Native],Table12[Name]),2,0)</f>
        <v>Xīnzhōu Shì</v>
      </c>
      <c r="O221" s="13" t="str">
        <f t="shared" si="6"/>
        <v>Donglei Xiang (Xīnzhōu Shì)</v>
      </c>
      <c r="P221" s="13" t="str">
        <f t="shared" si="7"/>
        <v>Donglei Xiang (Xīnzhōu Shì)</v>
      </c>
    </row>
    <row r="222" spans="1:16" hidden="1" x14ac:dyDescent="0.25">
      <c r="A222" t="s">
        <v>2505</v>
      </c>
      <c r="B222" t="str">
        <f>IF(COUNTIF(A:A,A222)&gt;1,_xlfn.CONCAT(A222," (",N222,")"),A222)</f>
        <v>Dōngliáng Xiāng</v>
      </c>
      <c r="C222" t="str">
        <f>IF(COUNTIF(B:B,B222)&gt;1,_xlfn.CONCAT(A222," (",M222,")"),B222)</f>
        <v>Dōngliáng Xiāng</v>
      </c>
      <c r="D222" t="s">
        <v>2506</v>
      </c>
      <c r="E222" t="s">
        <v>17</v>
      </c>
      <c r="F222" t="str">
        <f>_xlfn.CONCAT(D222,", ",H222,", ",I222,", ","山西省")</f>
        <v>东梁乡, 盂县, 阳泉市, 山西省</v>
      </c>
      <c r="G222">
        <v>9769</v>
      </c>
      <c r="H222" t="s">
        <v>3001</v>
      </c>
      <c r="I222" t="s">
        <v>2997</v>
      </c>
      <c r="J222" t="e">
        <f>VLOOKUP(F222,[1]!china_towns_second__2[[Column1]:[Y]],3,FALSE)</f>
        <v>#N/A</v>
      </c>
      <c r="K222" t="e">
        <f>VLOOKUP(F222,[1]!china_towns_second__2[[Column1]:[Y]],2,FALSE)</f>
        <v>#N/A</v>
      </c>
      <c r="L222" t="s">
        <v>3803</v>
      </c>
      <c r="M222" t="str">
        <f>VLOOKUP(H222,CHOOSE({1,2},Table12[Native],Table12[Name]),2,0)</f>
        <v>Yú Xiàn</v>
      </c>
      <c r="N222" s="13" t="str">
        <f>VLOOKUP(I222,CHOOSE({1,2},Table12[Native],Table12[Name]),2,0)</f>
        <v>Yángquán Shì</v>
      </c>
      <c r="O222" s="13" t="str">
        <f t="shared" si="6"/>
        <v>Dongliang Xiang (Yángquán Shì)</v>
      </c>
      <c r="P222" s="13" t="str">
        <f t="shared" si="7"/>
        <v>Dongliang Xiang (Yángquán Shì)</v>
      </c>
    </row>
    <row r="223" spans="1:16" hidden="1" x14ac:dyDescent="0.25">
      <c r="A223" t="s">
        <v>2163</v>
      </c>
      <c r="B223" t="str">
        <f>IF(COUNTIF(A:A,A223)&gt;1,_xlfn.CONCAT(A223," (",N223,")"),A223)</f>
        <v>Dōnglóu Xiāng</v>
      </c>
      <c r="C223" t="str">
        <f>IF(COUNTIF(B:B,B223)&gt;1,_xlfn.CONCAT(A223," (",M223,")"),B223)</f>
        <v>Dōnglóu Xiāng</v>
      </c>
      <c r="D223" t="s">
        <v>2164</v>
      </c>
      <c r="E223" t="s">
        <v>17</v>
      </c>
      <c r="F223" t="str">
        <f>_xlfn.CONCAT(D223,", ",H223,", ",I223,", ","山西省")</f>
        <v>东楼乡, 忻府区, 忻州市, 山西省</v>
      </c>
      <c r="G223">
        <v>18204</v>
      </c>
      <c r="H223" t="s">
        <v>2994</v>
      </c>
      <c r="I223" t="s">
        <v>2981</v>
      </c>
      <c r="J223" t="e">
        <f>VLOOKUP(F223,[1]!china_towns_second__2[[Column1]:[Y]],3,FALSE)</f>
        <v>#N/A</v>
      </c>
      <c r="K223" t="e">
        <f>VLOOKUP(F223,[1]!china_towns_second__2[[Column1]:[Y]],2,FALSE)</f>
        <v>#N/A</v>
      </c>
      <c r="L223" t="s">
        <v>3804</v>
      </c>
      <c r="M223" t="str">
        <f>VLOOKUP(H223,CHOOSE({1,2},Table12[Native],Table12[Name]),2,0)</f>
        <v>Xīnfŭ Qū</v>
      </c>
      <c r="N223" s="13" t="str">
        <f>VLOOKUP(I223,CHOOSE({1,2},Table12[Native],Table12[Name]),2,0)</f>
        <v>Xīnzhōu Shì</v>
      </c>
      <c r="O223" s="13" t="str">
        <f t="shared" si="6"/>
        <v>Donglou Xiang (Xīnzhōu Shì)</v>
      </c>
      <c r="P223" s="13" t="str">
        <f t="shared" si="7"/>
        <v>Donglou Xiang (Xīnzhōu Shì)</v>
      </c>
    </row>
    <row r="224" spans="1:16" hidden="1" x14ac:dyDescent="0.25">
      <c r="A224" t="s">
        <v>2630</v>
      </c>
      <c r="B224" t="str">
        <f>IF(COUNTIF(A:A,A224)&gt;1,_xlfn.CONCAT(A224," (",N224,")"),A224)</f>
        <v>Dōnglú Xiāng</v>
      </c>
      <c r="C224" t="str">
        <f>IF(COUNTIF(B:B,B224)&gt;1,_xlfn.CONCAT(A224," (",M224,")"),B224)</f>
        <v>Dōnglú Xiāng</v>
      </c>
      <c r="D224" t="s">
        <v>2631</v>
      </c>
      <c r="E224" t="s">
        <v>17</v>
      </c>
      <c r="F224" t="str">
        <f>_xlfn.CONCAT(D224,", ",H224,", ",I224,", ","山西省")</f>
        <v>东垆乡, 芮城县, 运城市, 山西省</v>
      </c>
      <c r="G224">
        <v>20001</v>
      </c>
      <c r="H224" t="s">
        <v>3009</v>
      </c>
      <c r="I224" t="s">
        <v>3003</v>
      </c>
      <c r="J224" t="e">
        <f>VLOOKUP(F224,[1]!china_towns_second__2[[Column1]:[Y]],3,FALSE)</f>
        <v>#N/A</v>
      </c>
      <c r="K224" t="e">
        <f>VLOOKUP(F224,[1]!china_towns_second__2[[Column1]:[Y]],2,FALSE)</f>
        <v>#N/A</v>
      </c>
      <c r="L224" t="s">
        <v>3805</v>
      </c>
      <c r="M224" t="str">
        <f>VLOOKUP(H224,CHOOSE({1,2},Table12[Native],Table12[Name]),2,0)</f>
        <v>Ruìchéng Xiàn</v>
      </c>
      <c r="N224" s="13" t="str">
        <f>VLOOKUP(I224,CHOOSE({1,2},Table12[Native],Table12[Name]),2,0)</f>
        <v>Yùnchéng Shì</v>
      </c>
      <c r="O224" s="13" t="str">
        <f t="shared" si="6"/>
        <v>Donglu Xiang (Yùnchéng Shì)</v>
      </c>
      <c r="P224" s="13" t="str">
        <f t="shared" si="7"/>
        <v>Donglu Xiang (Yùnchéng Shì)</v>
      </c>
    </row>
    <row r="225" spans="1:16" hidden="1" x14ac:dyDescent="0.25">
      <c r="A225" t="s">
        <v>2165</v>
      </c>
      <c r="B225" t="str">
        <f>IF(COUNTIF(A:A,A225)&gt;1,_xlfn.CONCAT(A225," (",N225,")"),A225)</f>
        <v>Dōngmăfāng Xiāng</v>
      </c>
      <c r="C225" t="str">
        <f>IF(COUNTIF(B:B,B225)&gt;1,_xlfn.CONCAT(A225," (",M225,")"),B225)</f>
        <v>Dōngmăfāng Xiāng</v>
      </c>
      <c r="D225" t="s">
        <v>2166</v>
      </c>
      <c r="E225" t="s">
        <v>17</v>
      </c>
      <c r="F225" t="str">
        <f>_xlfn.CONCAT(D225,", ",H225,", ",I225,", ","山西省")</f>
        <v>东马坊乡, 宁武县, 忻州市, 山西省</v>
      </c>
      <c r="G225">
        <v>6450</v>
      </c>
      <c r="H225" t="s">
        <v>2989</v>
      </c>
      <c r="I225" t="s">
        <v>2981</v>
      </c>
      <c r="J225" t="e">
        <f>VLOOKUP(F225,[1]!china_towns_second__2[[Column1]:[Y]],3,FALSE)</f>
        <v>#N/A</v>
      </c>
      <c r="K225" t="e">
        <f>VLOOKUP(F225,[1]!china_towns_second__2[[Column1]:[Y]],2,FALSE)</f>
        <v>#N/A</v>
      </c>
      <c r="L225" t="s">
        <v>3806</v>
      </c>
      <c r="M225" t="str">
        <f>VLOOKUP(H225,CHOOSE({1,2},Table12[Native],Table12[Name]),2,0)</f>
        <v>Níngwŭ Xiàn</v>
      </c>
      <c r="N225" s="13" t="str">
        <f>VLOOKUP(I225,CHOOSE({1,2},Table12[Native],Table12[Name]),2,0)</f>
        <v>Xīnzhōu Shì</v>
      </c>
      <c r="O225" s="13" t="str">
        <f t="shared" si="6"/>
        <v>Dongmafang Xiang (Xīnzhōu Shì)</v>
      </c>
      <c r="P225" s="13" t="str">
        <f t="shared" si="7"/>
        <v>Dongmafang Xiang (Xīnzhōu Shì)</v>
      </c>
    </row>
    <row r="226" spans="1:16" hidden="1" x14ac:dyDescent="0.25">
      <c r="A226" t="s">
        <v>829</v>
      </c>
      <c r="B226" t="str">
        <f>IF(COUNTIF(A:A,A226)&gt;1,_xlfn.CONCAT(A226," (",N226,")"),A226)</f>
        <v>Dōngnán Jiēdào</v>
      </c>
      <c r="C226" t="str">
        <f>IF(COUNTIF(B:B,B226)&gt;1,_xlfn.CONCAT(A226," (",M226,")"),B226)</f>
        <v>Dōngnán Jiēdào</v>
      </c>
      <c r="D226" t="s">
        <v>830</v>
      </c>
      <c r="E226" t="s">
        <v>31</v>
      </c>
      <c r="F226" t="str">
        <f>_xlfn.CONCAT(D226,", ",H226,", ",I226,", ","山西省")</f>
        <v>东南街道, 介休市, 晋中市, 山西省</v>
      </c>
      <c r="G226">
        <v>24161</v>
      </c>
      <c r="H226" t="s">
        <v>2916</v>
      </c>
      <c r="I226" t="s">
        <v>2914</v>
      </c>
      <c r="J226">
        <f>VLOOKUP(F226,[1]!china_towns_second__2[[Column1]:[Y]],3,FALSE)</f>
        <v>37.027055048237798</v>
      </c>
      <c r="K226">
        <f>VLOOKUP(F226,[1]!china_towns_second__2[[Column1]:[Y]],2,FALSE)</f>
        <v>111.92753949999999</v>
      </c>
      <c r="L226" t="s">
        <v>3807</v>
      </c>
      <c r="M226" t="str">
        <f>VLOOKUP(H226,CHOOSE({1,2},Table12[Native],Table12[Name]),2,0)</f>
        <v>Jièxiū Shì</v>
      </c>
      <c r="N226" s="13" t="str">
        <f>VLOOKUP(I226,CHOOSE({1,2},Table12[Native],Table12[Name]),2,0)</f>
        <v>Jìnzhōng Shì</v>
      </c>
      <c r="O226" s="13" t="str">
        <f t="shared" si="6"/>
        <v>Dongnan Jiedao (Jìnzhōng Shì)</v>
      </c>
      <c r="P226" s="13" t="str">
        <f t="shared" si="7"/>
        <v>Dongnan Jiedao (Jìnzhōng Shì)</v>
      </c>
    </row>
    <row r="227" spans="1:16" hidden="1" x14ac:dyDescent="0.25">
      <c r="A227" t="s">
        <v>1467</v>
      </c>
      <c r="B227" t="str">
        <f>IF(COUNTIF(A:A,A227)&gt;1,_xlfn.CONCAT(A227," (",N227,")"),A227)</f>
        <v>Dōngpōdĭ Xiāng</v>
      </c>
      <c r="C227" t="str">
        <f>IF(COUNTIF(B:B,B227)&gt;1,_xlfn.CONCAT(A227," (",M227,")"),B227)</f>
        <v>Dōngpōdĭ Xiāng</v>
      </c>
      <c r="D227" t="s">
        <v>1468</v>
      </c>
      <c r="E227" t="s">
        <v>17</v>
      </c>
      <c r="F227" t="str">
        <f>_xlfn.CONCAT(D227,", ",H227,", ",I227,", ","山西省")</f>
        <v>东坡底乡, 交城县, 吕梁市, 山西省</v>
      </c>
      <c r="G227">
        <v>5155</v>
      </c>
      <c r="H227" t="s">
        <v>2949</v>
      </c>
      <c r="I227" t="s">
        <v>2946</v>
      </c>
      <c r="J227" t="e">
        <f>VLOOKUP(F227,[1]!china_towns_second__2[[Column1]:[Y]],3,FALSE)</f>
        <v>#N/A</v>
      </c>
      <c r="K227" t="e">
        <f>VLOOKUP(F227,[1]!china_towns_second__2[[Column1]:[Y]],2,FALSE)</f>
        <v>#N/A</v>
      </c>
      <c r="L227" t="s">
        <v>3808</v>
      </c>
      <c r="M227" t="str">
        <f>VLOOKUP(H227,CHOOSE({1,2},Table12[Native],Table12[Name]),2,0)</f>
        <v>Jiāochéng Xiàn</v>
      </c>
      <c r="N227" s="13" t="str">
        <f>VLOOKUP(I227,CHOOSE({1,2},Table12[Native],Table12[Name]),2,0)</f>
        <v>Lǚliáng Shì</v>
      </c>
      <c r="O227" s="13" t="str">
        <f t="shared" si="6"/>
        <v>Dongpodi Xiang (Lǚliáng Shì)</v>
      </c>
      <c r="P227" s="13" t="str">
        <f t="shared" si="7"/>
        <v>Dongpodi Xiang (Lǚliáng Shì)</v>
      </c>
    </row>
    <row r="228" spans="1:16" hidden="1" x14ac:dyDescent="0.25">
      <c r="A228" t="s">
        <v>1914</v>
      </c>
      <c r="B228" t="str">
        <f>IF(COUNTIF(A:A,A228)&gt;1,_xlfn.CONCAT(A228," (",N228,")"),A228)</f>
        <v>Dōngqŭ Jiēdào</v>
      </c>
      <c r="C228" t="str">
        <f>IF(COUNTIF(B:B,B228)&gt;1,_xlfn.CONCAT(A228," (",M228,")"),B228)</f>
        <v>Dōngqŭ Jiēdào</v>
      </c>
      <c r="D228" t="s">
        <v>1915</v>
      </c>
      <c r="E228" t="s">
        <v>31</v>
      </c>
      <c r="F228" t="str">
        <f>_xlfn.CONCAT(D228,", ",H228,", ",I228,", ","山西省")</f>
        <v>东曲街道, 古交市, 太原市, 山西省</v>
      </c>
      <c r="G228">
        <v>40872</v>
      </c>
      <c r="H228" t="s">
        <v>2970</v>
      </c>
      <c r="I228" t="s">
        <v>2969</v>
      </c>
      <c r="J228">
        <f>VLOOKUP(F228,[1]!china_towns_second__2[[Column1]:[Y]],3,FALSE)</f>
        <v>37.880236747807103</v>
      </c>
      <c r="K228">
        <f>VLOOKUP(F228,[1]!china_towns_second__2[[Column1]:[Y]],2,FALSE)</f>
        <v>112.2277723</v>
      </c>
      <c r="L228" t="s">
        <v>3809</v>
      </c>
      <c r="M228" t="str">
        <f>VLOOKUP(H228,CHOOSE({1,2},Table12[Native],Table12[Name]),2,0)</f>
        <v>Gŭjiāo Shì</v>
      </c>
      <c r="N228" s="13" t="str">
        <f>VLOOKUP(I228,CHOOSE({1,2},Table12[Native],Table12[Name]),2,0)</f>
        <v>Tàiyuán Shì</v>
      </c>
      <c r="O228" s="13" t="str">
        <f t="shared" si="6"/>
        <v>Dongqu Jiedao (Tàiyuán Shì)</v>
      </c>
      <c r="P228" s="13" t="str">
        <f t="shared" si="7"/>
        <v>Dongqu Jiedao (Tàiyuán Shì)</v>
      </c>
    </row>
    <row r="229" spans="1:16" hidden="1" x14ac:dyDescent="0.25">
      <c r="A229" t="s">
        <v>831</v>
      </c>
      <c r="B229" t="str">
        <f>IF(COUNTIF(A:A,A229)&gt;1,_xlfn.CONCAT(A229," (",N229,")"),A229)</f>
        <v>Dōngquán Zhèn</v>
      </c>
      <c r="C229" t="str">
        <f>IF(COUNTIF(B:B,B229)&gt;1,_xlfn.CONCAT(A229," (",M229,")"),B229)</f>
        <v>Dōngquán Zhèn</v>
      </c>
      <c r="D229" t="s">
        <v>832</v>
      </c>
      <c r="E229" t="s">
        <v>7</v>
      </c>
      <c r="F229" t="str">
        <f>_xlfn.CONCAT(D229,", ",H229,", ",I229,", ","山西省")</f>
        <v>东泉镇, 平遥县, 晋中市, 山西省</v>
      </c>
      <c r="G229">
        <v>20937</v>
      </c>
      <c r="H229" t="s">
        <v>2918</v>
      </c>
      <c r="I229" t="s">
        <v>2914</v>
      </c>
      <c r="J229">
        <f>VLOOKUP(F229,[1]!china_towns_second__2[[Column1]:[Y]],3,FALSE)</f>
        <v>37.058713394502199</v>
      </c>
      <c r="K229">
        <f>VLOOKUP(F229,[1]!china_towns_second__2[[Column1]:[Y]],2,FALSE)</f>
        <v>112.3109844</v>
      </c>
      <c r="L229" t="s">
        <v>3810</v>
      </c>
      <c r="M229" t="str">
        <f>VLOOKUP(H229,CHOOSE({1,2},Table12[Native],Table12[Name]),2,0)</f>
        <v>Píngyáo Xiàn</v>
      </c>
      <c r="N229" s="13" t="str">
        <f>VLOOKUP(I229,CHOOSE({1,2},Table12[Native],Table12[Name]),2,0)</f>
        <v>Jìnzhōng Shì</v>
      </c>
      <c r="O229" s="13" t="str">
        <f t="shared" si="6"/>
        <v>Dongquan Zhen (Jìnzhōng Shì)</v>
      </c>
      <c r="P229" s="13" t="str">
        <f t="shared" si="7"/>
        <v>Dongquan Zhen (Jìnzhōng Shì)</v>
      </c>
    </row>
    <row r="230" spans="1:16" hidden="1" x14ac:dyDescent="0.25">
      <c r="A230" t="s">
        <v>2167</v>
      </c>
      <c r="B230" t="str">
        <f>IF(COUNTIF(A:A,A230)&gt;1,_xlfn.CONCAT(A230," (",N230,")"),A230)</f>
        <v>Dōngshān Xiāng</v>
      </c>
      <c r="C230" t="str">
        <f>IF(COUNTIF(B:B,B230)&gt;1,_xlfn.CONCAT(A230," (",M230,")"),B230)</f>
        <v>Dōngshān Xiāng</v>
      </c>
      <c r="D230" t="s">
        <v>2168</v>
      </c>
      <c r="E230" t="s">
        <v>17</v>
      </c>
      <c r="F230" t="str">
        <f>_xlfn.CONCAT(D230,", ",H230,", ",I230,", ","山西省")</f>
        <v>东山乡, 繁峙县, 忻州市, 山西省</v>
      </c>
      <c r="G230">
        <v>20432</v>
      </c>
      <c r="H230" t="s">
        <v>2985</v>
      </c>
      <c r="I230" t="s">
        <v>2981</v>
      </c>
      <c r="J230" t="e">
        <f>VLOOKUP(F230,[1]!china_towns_second__2[[Column1]:[Y]],3,FALSE)</f>
        <v>#N/A</v>
      </c>
      <c r="K230" t="e">
        <f>VLOOKUP(F230,[1]!china_towns_second__2[[Column1]:[Y]],2,FALSE)</f>
        <v>#N/A</v>
      </c>
      <c r="L230" t="s">
        <v>3811</v>
      </c>
      <c r="M230" t="str">
        <f>VLOOKUP(H230,CHOOSE({1,2},Table12[Native],Table12[Name]),2,0)</f>
        <v>Fánshì Xiàn</v>
      </c>
      <c r="N230" s="13" t="str">
        <f>VLOOKUP(I230,CHOOSE({1,2},Table12[Native],Table12[Name]),2,0)</f>
        <v>Xīnzhōu Shì</v>
      </c>
      <c r="O230" s="13" t="str">
        <f t="shared" si="6"/>
        <v>Dongshan Xiang (Xīnzhōu Shì)</v>
      </c>
      <c r="P230" s="13" t="str">
        <f t="shared" si="7"/>
        <v>Dongshan Xiang (Xīnzhōu Shì)</v>
      </c>
    </row>
    <row r="231" spans="1:16" hidden="1" x14ac:dyDescent="0.25">
      <c r="A231" t="s">
        <v>1916</v>
      </c>
      <c r="B231" t="str">
        <f>IF(COUNTIF(A:A,A231)&gt;1,_xlfn.CONCAT(A231," (",N231,")"),A231)</f>
        <v>Dōngshè Jiēdào</v>
      </c>
      <c r="C231" t="str">
        <f>IF(COUNTIF(B:B,B231)&gt;1,_xlfn.CONCAT(A231," (",M231,")"),B231)</f>
        <v>Dōngshè Jiēdào</v>
      </c>
      <c r="D231" t="s">
        <v>1917</v>
      </c>
      <c r="E231" t="s">
        <v>31</v>
      </c>
      <c r="F231" t="str">
        <f>_xlfn.CONCAT(D231,", ",H231,", ",I231,", ","山西省")</f>
        <v>东社街道, 万柏林区, 太原市, 山西省</v>
      </c>
      <c r="G231">
        <v>25427</v>
      </c>
      <c r="H231" t="s">
        <v>2975</v>
      </c>
      <c r="I231" t="s">
        <v>2969</v>
      </c>
      <c r="J231">
        <f>VLOOKUP(F231,[1]!china_towns_second__2[[Column1]:[Y]],3,FALSE)</f>
        <v>37.8888371510713</v>
      </c>
      <c r="K231">
        <f>VLOOKUP(F231,[1]!china_towns_second__2[[Column1]:[Y]],2,FALSE)</f>
        <v>112.4547152</v>
      </c>
      <c r="L231" t="s">
        <v>3812</v>
      </c>
      <c r="M231" t="str">
        <f>VLOOKUP(H231,CHOOSE({1,2},Table12[Native],Table12[Name]),2,0)</f>
        <v>Wànbǎilín Qū</v>
      </c>
      <c r="N231" s="13" t="str">
        <f>VLOOKUP(I231,CHOOSE({1,2},Table12[Native],Table12[Name]),2,0)</f>
        <v>Tàiyuán Shì</v>
      </c>
      <c r="O231" s="13" t="str">
        <f t="shared" si="6"/>
        <v>Dongshe Jiedao (Tàiyuán Shì)</v>
      </c>
      <c r="P231" s="13" t="str">
        <f t="shared" si="7"/>
        <v>Dongshe Jiedao (Tàiyuán Shì)</v>
      </c>
    </row>
    <row r="232" spans="1:16" hidden="1" x14ac:dyDescent="0.25">
      <c r="A232" t="s">
        <v>2169</v>
      </c>
      <c r="B232" t="str">
        <f>IF(COUNTIF(A:A,A232)&gt;1,_xlfn.CONCAT(A232," (",N232,")"),A232)</f>
        <v>Dōngshè Zhèn</v>
      </c>
      <c r="C232" t="str">
        <f>IF(COUNTIF(B:B,B232)&gt;1,_xlfn.CONCAT(A232," (",M232,")"),B232)</f>
        <v>Dōngshè Zhèn</v>
      </c>
      <c r="D232" t="s">
        <v>2170</v>
      </c>
      <c r="E232" t="s">
        <v>7</v>
      </c>
      <c r="F232" t="str">
        <f>_xlfn.CONCAT(D232,", ",H232,", ",I232,", ","山西省")</f>
        <v>东社镇, 原平市, 忻州市, 山西省</v>
      </c>
      <c r="G232">
        <v>31929</v>
      </c>
      <c r="H232" t="s">
        <v>2995</v>
      </c>
      <c r="I232" t="s">
        <v>2981</v>
      </c>
      <c r="J232">
        <f>VLOOKUP(F232,[1]!china_towns_second__2[[Column1]:[Y]],3,FALSE)</f>
        <v>38.718421133101003</v>
      </c>
      <c r="K232">
        <f>VLOOKUP(F232,[1]!china_towns_second__2[[Column1]:[Y]],2,FALSE)</f>
        <v>112.9547039</v>
      </c>
      <c r="L232" t="s">
        <v>3813</v>
      </c>
      <c r="M232" t="str">
        <f>VLOOKUP(H232,CHOOSE({1,2},Table12[Native],Table12[Name]),2,0)</f>
        <v>Yuánpíng Shì</v>
      </c>
      <c r="N232" s="13" t="str">
        <f>VLOOKUP(I232,CHOOSE({1,2},Table12[Native],Table12[Name]),2,0)</f>
        <v>Xīnzhōu Shì</v>
      </c>
      <c r="O232" s="13" t="str">
        <f t="shared" si="6"/>
        <v>Dongshe Zhen (Xīnzhōu Shì)</v>
      </c>
      <c r="P232" s="13" t="str">
        <f t="shared" si="7"/>
        <v>Dongshe Zhen (Xīnzhōu Shì)</v>
      </c>
    </row>
    <row r="233" spans="1:16" hidden="1" x14ac:dyDescent="0.25">
      <c r="A233" t="s">
        <v>76</v>
      </c>
      <c r="B233" t="str">
        <f>IF(COUNTIF(A:A,A233)&gt;1,_xlfn.CONCAT(A233," (",N233,")"),A233)</f>
        <v>Dōngsìtóu Xiāng</v>
      </c>
      <c r="C233" t="str">
        <f>IF(COUNTIF(B:B,B233)&gt;1,_xlfn.CONCAT(A233," (",M233,")"),B233)</f>
        <v>Dōngsìtóu Xiāng</v>
      </c>
      <c r="D233" t="s">
        <v>77</v>
      </c>
      <c r="E233" t="s">
        <v>17</v>
      </c>
      <c r="F233" t="str">
        <f>_xlfn.CONCAT(D233,", ",H233,", ",I233,", ","山西省")</f>
        <v>东寺头乡, 平顺县, 长治市, 山西省</v>
      </c>
      <c r="G233">
        <v>9004</v>
      </c>
      <c r="H233" t="s">
        <v>2886</v>
      </c>
      <c r="I233" t="s">
        <v>2878</v>
      </c>
      <c r="J233" t="e">
        <f>VLOOKUP(F233,[1]!china_towns_second__2[[Column1]:[Y]],3,FALSE)</f>
        <v>#N/A</v>
      </c>
      <c r="K233" t="e">
        <f>VLOOKUP(F233,[1]!china_towns_second__2[[Column1]:[Y]],2,FALSE)</f>
        <v>#N/A</v>
      </c>
      <c r="L233" t="s">
        <v>3814</v>
      </c>
      <c r="M233" t="str">
        <f>VLOOKUP(H233,CHOOSE({1,2},Table12[Native],Table12[Name]),2,0)</f>
        <v>Píngshùn Xiàn</v>
      </c>
      <c r="N233" s="13" t="str">
        <f>VLOOKUP(I233,CHOOSE({1,2},Table12[Native],Table12[Name]),2,0)</f>
        <v>Chángzhì Shì</v>
      </c>
      <c r="O233" s="13" t="str">
        <f t="shared" si="6"/>
        <v>Dongsitou Xiang (Chángzhì Shì)</v>
      </c>
      <c r="P233" s="13" t="str">
        <f t="shared" si="7"/>
        <v>Dongsitou Xiang (Chángzhì Shì)</v>
      </c>
    </row>
    <row r="234" spans="1:16" hidden="1" x14ac:dyDescent="0.25">
      <c r="A234" t="s">
        <v>371</v>
      </c>
      <c r="B234" t="str">
        <f>IF(COUNTIF(A:A,A234)&gt;1,_xlfn.CONCAT(A234," (",N234,")"),A234)</f>
        <v>Dōngxiăocūn Zhèn</v>
      </c>
      <c r="C234" t="str">
        <f>IF(COUNTIF(B:B,B234)&gt;1,_xlfn.CONCAT(A234," (",M234,")"),B234)</f>
        <v>Dōngxiăocūn Zhèn</v>
      </c>
      <c r="D234" t="s">
        <v>372</v>
      </c>
      <c r="E234" t="s">
        <v>7</v>
      </c>
      <c r="F234" t="str">
        <f>_xlfn.CONCAT(D234,", ",H234,", ",I234,", ","山西省")</f>
        <v>东小村镇, 阳高县, 大同市, 山西省</v>
      </c>
      <c r="G234">
        <v>10684</v>
      </c>
      <c r="H234" t="s">
        <v>2901</v>
      </c>
      <c r="I234" t="s">
        <v>2894</v>
      </c>
      <c r="J234">
        <f>VLOOKUP(F234,[1]!china_towns_second__2[[Column1]:[Y]],3,FALSE)</f>
        <v>40.049734602098702</v>
      </c>
      <c r="K234">
        <f>VLOOKUP(F234,[1]!china_towns_second__2[[Column1]:[Y]],2,FALSE)</f>
        <v>113.8867338</v>
      </c>
      <c r="L234" t="s">
        <v>3815</v>
      </c>
      <c r="M234" t="str">
        <f>VLOOKUP(H234,CHOOSE({1,2},Table12[Native],Table12[Name]),2,0)</f>
        <v>Yánggāo Xiàn</v>
      </c>
      <c r="N234" s="13" t="str">
        <f>VLOOKUP(I234,CHOOSE({1,2},Table12[Native],Table12[Name]),2,0)</f>
        <v>Dàtóng Shì</v>
      </c>
      <c r="O234" s="13" t="str">
        <f t="shared" si="6"/>
        <v>Dongxiaocun Zhen (Dàtóng Shì)</v>
      </c>
      <c r="P234" s="13" t="str">
        <f t="shared" si="7"/>
        <v>Dongxiaocun Zhen (Dàtóng Shì)</v>
      </c>
    </row>
    <row r="235" spans="1:16" hidden="1" x14ac:dyDescent="0.25">
      <c r="A235" t="s">
        <v>2171</v>
      </c>
      <c r="B235" t="str">
        <f>IF(COUNTIF(A:A,A235)&gt;1,_xlfn.CONCAT(A235," (",N235,")"),A235)</f>
        <v>Dōngxiùzhuāng Xiāng</v>
      </c>
      <c r="C235" t="str">
        <f>IF(COUNTIF(B:B,B235)&gt;1,_xlfn.CONCAT(A235," (",M235,")"),B235)</f>
        <v>Dōngxiùzhuāng Xiāng</v>
      </c>
      <c r="D235" t="s">
        <v>2172</v>
      </c>
      <c r="E235" t="s">
        <v>17</v>
      </c>
      <c r="F235" t="str">
        <f>_xlfn.CONCAT(D235,", ",H235,", ",I235,", ","山西省")</f>
        <v>东秀庄乡, 五寨县, 忻州市, 山西省</v>
      </c>
      <c r="G235">
        <v>4793</v>
      </c>
      <c r="H235" t="s">
        <v>2993</v>
      </c>
      <c r="I235" t="s">
        <v>2981</v>
      </c>
      <c r="J235" t="e">
        <f>VLOOKUP(F235,[1]!china_towns_second__2[[Column1]:[Y]],3,FALSE)</f>
        <v>#N/A</v>
      </c>
      <c r="K235" t="e">
        <f>VLOOKUP(F235,[1]!china_towns_second__2[[Column1]:[Y]],2,FALSE)</f>
        <v>#N/A</v>
      </c>
      <c r="L235" t="s">
        <v>3816</v>
      </c>
      <c r="M235" t="str">
        <f>VLOOKUP(H235,CHOOSE({1,2},Table12[Native],Table12[Name]),2,0)</f>
        <v>Wŭzhài Xiàn</v>
      </c>
      <c r="N235" s="13" t="str">
        <f>VLOOKUP(I235,CHOOSE({1,2},Table12[Native],Table12[Name]),2,0)</f>
        <v>Xīnzhōu Shì</v>
      </c>
      <c r="O235" s="13" t="str">
        <f t="shared" si="6"/>
        <v>Dongxiuzhuang Xiang (Xīnzhōu Shì)</v>
      </c>
      <c r="P235" s="13" t="str">
        <f t="shared" si="7"/>
        <v>Dongxiuzhuang Xiang (Xīnzhōu Shì)</v>
      </c>
    </row>
    <row r="236" spans="1:16" hidden="1" x14ac:dyDescent="0.25">
      <c r="A236" t="s">
        <v>833</v>
      </c>
      <c r="B236" t="str">
        <f>IF(COUNTIF(A:A,A236)&gt;1,_xlfn.CONCAT(A236," (",N236,")"),A236)</f>
        <v>Dōngyáng Zhèn</v>
      </c>
      <c r="C236" t="str">
        <f>IF(COUNTIF(B:B,B236)&gt;1,_xlfn.CONCAT(A236," (",M236,")"),B236)</f>
        <v>Dōngyáng Zhèn</v>
      </c>
      <c r="D236" t="s">
        <v>834</v>
      </c>
      <c r="E236" t="s">
        <v>7</v>
      </c>
      <c r="F236" t="str">
        <f>_xlfn.CONCAT(D236,", ",H236,", ",I236,", ","山西省")</f>
        <v>东阳镇, 榆次区, 晋中市, 山西省</v>
      </c>
      <c r="G236">
        <v>25936</v>
      </c>
      <c r="H236" t="s">
        <v>2923</v>
      </c>
      <c r="I236" t="s">
        <v>2914</v>
      </c>
      <c r="J236">
        <f>VLOOKUP(F236,[1]!china_towns_second__2[[Column1]:[Y]],3,FALSE)</f>
        <v>37.542441488214202</v>
      </c>
      <c r="K236">
        <f>VLOOKUP(F236,[1]!china_towns_second__2[[Column1]:[Y]],2,FALSE)</f>
        <v>112.65329800000001</v>
      </c>
      <c r="L236" t="s">
        <v>3817</v>
      </c>
      <c r="M236" t="str">
        <f>VLOOKUP(H236,CHOOSE({1,2},Table12[Native],Table12[Name]),2,0)</f>
        <v>Yúcì Qū</v>
      </c>
      <c r="N236" s="13" t="str">
        <f>VLOOKUP(I236,CHOOSE({1,2},Table12[Native],Table12[Name]),2,0)</f>
        <v>Jìnzhōng Shì</v>
      </c>
      <c r="O236" s="13" t="str">
        <f t="shared" si="6"/>
        <v>Dongyang Zhen (Jìnzhōng Shì)</v>
      </c>
      <c r="P236" s="13" t="str">
        <f t="shared" si="7"/>
        <v>Dongyang Zhen (Jìnzhōng Shì)</v>
      </c>
    </row>
    <row r="237" spans="1:16" hidden="1" x14ac:dyDescent="0.25">
      <c r="A237" t="s">
        <v>78</v>
      </c>
      <c r="B237" t="str">
        <f>IF(COUNTIF(A:A,A237)&gt;1,_xlfn.CONCAT(A237," (",N237,")"),A237)</f>
        <v>Dōngyángguān Zhèn</v>
      </c>
      <c r="C237" t="str">
        <f>IF(COUNTIF(B:B,B237)&gt;1,_xlfn.CONCAT(A237," (",M237,")"),B237)</f>
        <v>Dōngyángguān Zhèn</v>
      </c>
      <c r="D237" t="s">
        <v>79</v>
      </c>
      <c r="E237" t="s">
        <v>7</v>
      </c>
      <c r="F237" t="str">
        <f>_xlfn.CONCAT(D237,", ",H237,", ",I237,", ","山西省")</f>
        <v>东阳关镇, 黎城县, 长治市, 山西省</v>
      </c>
      <c r="G237">
        <v>15301</v>
      </c>
      <c r="H237" t="s">
        <v>2882</v>
      </c>
      <c r="I237" t="s">
        <v>2878</v>
      </c>
      <c r="J237">
        <f>VLOOKUP(F237,[1]!china_towns_second__2[[Column1]:[Y]],3,FALSE)</f>
        <v>36.567168343298803</v>
      </c>
      <c r="K237">
        <f>VLOOKUP(F237,[1]!china_towns_second__2[[Column1]:[Y]],2,FALSE)</f>
        <v>113.4993157</v>
      </c>
      <c r="L237" t="s">
        <v>3818</v>
      </c>
      <c r="M237" t="str">
        <f>VLOOKUP(H237,CHOOSE({1,2},Table12[Native],Table12[Name]),2,0)</f>
        <v>Líchéng Xiàn</v>
      </c>
      <c r="N237" s="13" t="str">
        <f>VLOOKUP(I237,CHOOSE({1,2},Table12[Native],Table12[Name]),2,0)</f>
        <v>Chángzhì Shì</v>
      </c>
      <c r="O237" s="13" t="str">
        <f t="shared" si="6"/>
        <v>Dongyangguan Zhen (Chángzhì Shì)</v>
      </c>
      <c r="P237" s="13" t="str">
        <f t="shared" si="7"/>
        <v>Dongyangguan Zhen (Chángzhì Shì)</v>
      </c>
    </row>
    <row r="238" spans="1:16" hidden="1" x14ac:dyDescent="0.25">
      <c r="A238" t="s">
        <v>655</v>
      </c>
      <c r="B238" t="str">
        <f>IF(COUNTIF(A:A,A238)&gt;1,_xlfn.CONCAT(A238," (",N238,")"),A238)</f>
        <v>Dōngyĕ Zhèn (Jìnchéng Shì)</v>
      </c>
      <c r="C238" t="str">
        <f>IF(COUNTIF(B:B,B238)&gt;1,_xlfn.CONCAT(A238," (",M238,")"),B238)</f>
        <v>Dōngyĕ Zhèn (Jìnchéng Shì)</v>
      </c>
      <c r="D238" t="s">
        <v>656</v>
      </c>
      <c r="E238" t="s">
        <v>7</v>
      </c>
      <c r="F238" t="str">
        <f>_xlfn.CONCAT(D238,", ",H238,", ",I238,", ","山西省")</f>
        <v>东冶镇, 阳城县, 晋城市, 山西省</v>
      </c>
      <c r="G238">
        <v>20531</v>
      </c>
      <c r="H238" t="s">
        <v>2911</v>
      </c>
      <c r="I238" t="s">
        <v>2906</v>
      </c>
      <c r="J238">
        <f>VLOOKUP(F238,[1]!china_towns_second__2[[Column1]:[Y]],3,FALSE)</f>
        <v>35.308400987550797</v>
      </c>
      <c r="K238">
        <f>VLOOKUP(F238,[1]!china_towns_second__2[[Column1]:[Y]],2,FALSE)</f>
        <v>112.5289513</v>
      </c>
      <c r="L238" t="s">
        <v>3819</v>
      </c>
      <c r="M238" t="str">
        <f>VLOOKUP(H238,CHOOSE({1,2},Table12[Native],Table12[Name]),2,0)</f>
        <v>Yángchéng Xiàn</v>
      </c>
      <c r="N238" s="13" t="str">
        <f>VLOOKUP(I238,CHOOSE({1,2},Table12[Native],Table12[Name]),2,0)</f>
        <v>Jìnchéng Shì</v>
      </c>
      <c r="O238" s="13" t="str">
        <f t="shared" si="6"/>
        <v>Dongye Zhen (Jincheng Shi) (Jìnchéng Shì)</v>
      </c>
      <c r="P238" s="13" t="str">
        <f t="shared" si="7"/>
        <v>Dongye Zhen (Jincheng Shi) (Jìnchéng Shì)</v>
      </c>
    </row>
    <row r="239" spans="1:16" hidden="1" x14ac:dyDescent="0.25">
      <c r="A239" t="s">
        <v>655</v>
      </c>
      <c r="B239" t="str">
        <f>IF(COUNTIF(A:A,A239)&gt;1,_xlfn.CONCAT(A239," (",N239,")"),A239)</f>
        <v>Dōngyĕ Zhèn (Xīnzhōu Shì)</v>
      </c>
      <c r="C239" t="str">
        <f>IF(COUNTIF(B:B,B239)&gt;1,_xlfn.CONCAT(A239," (",M239,")"),B239)</f>
        <v>Dōngyĕ Zhèn (Xīnzhōu Shì)</v>
      </c>
      <c r="D239" t="s">
        <v>656</v>
      </c>
      <c r="E239" t="s">
        <v>7</v>
      </c>
      <c r="F239" t="str">
        <f>_xlfn.CONCAT(D239,", ",H239,", ",I239,", ","山西省")</f>
        <v>东冶镇, 五台县, 忻州市, 山西省</v>
      </c>
      <c r="G239">
        <v>37748</v>
      </c>
      <c r="H239" t="s">
        <v>2992</v>
      </c>
      <c r="I239" t="s">
        <v>2981</v>
      </c>
      <c r="J239">
        <f>VLOOKUP(F239,[1]!china_towns_second__2[[Column1]:[Y]],3,FALSE)</f>
        <v>38.6529939426133</v>
      </c>
      <c r="K239">
        <f>VLOOKUP(F239,[1]!china_towns_second__2[[Column1]:[Y]],2,FALSE)</f>
        <v>113.1699886</v>
      </c>
      <c r="L239" t="s">
        <v>3820</v>
      </c>
      <c r="M239" t="str">
        <f>VLOOKUP(H239,CHOOSE({1,2},Table12[Native],Table12[Name]),2,0)</f>
        <v>Wŭtái Xiàn</v>
      </c>
      <c r="N239" s="13" t="str">
        <f>VLOOKUP(I239,CHOOSE({1,2},Table12[Native],Table12[Name]),2,0)</f>
        <v>Xīnzhōu Shì</v>
      </c>
      <c r="O239" s="13" t="str">
        <f t="shared" si="6"/>
        <v>Dongye Zhen (Xinzhou Shi) (Xīnzhōu Shì)</v>
      </c>
      <c r="P239" s="13" t="str">
        <f t="shared" si="7"/>
        <v>Dongye Zhen (Xinzhou Shi) (Xīnzhōu Shì)</v>
      </c>
    </row>
    <row r="240" spans="1:16" hidden="1" x14ac:dyDescent="0.25">
      <c r="A240" t="s">
        <v>1918</v>
      </c>
      <c r="B240" t="str">
        <f>IF(COUNTIF(A:A,A240)&gt;1,_xlfn.CONCAT(A240," (",N240,")"),A240)</f>
        <v>Dōngyú Zhèn</v>
      </c>
      <c r="C240" t="str">
        <f>IF(COUNTIF(B:B,B240)&gt;1,_xlfn.CONCAT(A240," (",M240,")"),B240)</f>
        <v>Dōngyú Zhèn</v>
      </c>
      <c r="D240" t="s">
        <v>1919</v>
      </c>
      <c r="E240" t="s">
        <v>7</v>
      </c>
      <c r="F240" t="str">
        <f>_xlfn.CONCAT(D240,", ",H240,", ",I240,", ","山西省")</f>
        <v>东于镇, 清徐县, 太原市, 山西省</v>
      </c>
      <c r="G240">
        <v>27620</v>
      </c>
      <c r="H240" t="s">
        <v>2974</v>
      </c>
      <c r="I240" t="s">
        <v>2969</v>
      </c>
      <c r="J240">
        <f>VLOOKUP(F240,[1]!china_towns_second__2[[Column1]:[Y]],3,FALSE)</f>
        <v>37.631506704232997</v>
      </c>
      <c r="K240">
        <f>VLOOKUP(F240,[1]!china_towns_second__2[[Column1]:[Y]],2,FALSE)</f>
        <v>112.2295465</v>
      </c>
      <c r="L240" t="s">
        <v>3821</v>
      </c>
      <c r="M240" t="str">
        <f>VLOOKUP(H240,CHOOSE({1,2},Table12[Native],Table12[Name]),2,0)</f>
        <v>Qīngxú Xiàn</v>
      </c>
      <c r="N240" s="13" t="str">
        <f>VLOOKUP(I240,CHOOSE({1,2},Table12[Native],Table12[Name]),2,0)</f>
        <v>Tàiyuán Shì</v>
      </c>
      <c r="O240" s="13" t="str">
        <f t="shared" si="6"/>
        <v>Dongyu Zhen (Tàiyuán Shì)</v>
      </c>
      <c r="P240" s="13" t="str">
        <f t="shared" si="7"/>
        <v>Dongyu Zhen (Tàiyuán Shì)</v>
      </c>
    </row>
    <row r="241" spans="1:16" hidden="1" x14ac:dyDescent="0.25">
      <c r="A241" t="s">
        <v>2174</v>
      </c>
      <c r="B241" t="str">
        <f>IF(COUNTIF(A:A,A241)&gt;1,_xlfn.CONCAT(A241," (",N241,")"),A241)</f>
        <v>Dōngzhài Zhèn</v>
      </c>
      <c r="C241" t="str">
        <f>IF(COUNTIF(B:B,B241)&gt;1,_xlfn.CONCAT(A241," (",M241,")"),B241)</f>
        <v>Dōngzhài Zhèn</v>
      </c>
      <c r="D241" t="s">
        <v>2175</v>
      </c>
      <c r="E241" t="s">
        <v>7</v>
      </c>
      <c r="F241" t="str">
        <f>_xlfn.CONCAT(D241,", ",H241,", ",I241,", ","山西省")</f>
        <v>东寨镇, 宁武县, 忻州市, 山西省</v>
      </c>
      <c r="G241">
        <v>17452</v>
      </c>
      <c r="H241" t="s">
        <v>2989</v>
      </c>
      <c r="I241" t="s">
        <v>2981</v>
      </c>
      <c r="J241">
        <f>VLOOKUP(F241,[1]!china_towns_second__2[[Column1]:[Y]],3,FALSE)</f>
        <v>38.797733798176303</v>
      </c>
      <c r="K241">
        <f>VLOOKUP(F241,[1]!china_towns_second__2[[Column1]:[Y]],2,FALSE)</f>
        <v>112.0410725</v>
      </c>
      <c r="L241" t="s">
        <v>3822</v>
      </c>
      <c r="M241" t="str">
        <f>VLOOKUP(H241,CHOOSE({1,2},Table12[Native],Table12[Name]),2,0)</f>
        <v>Níngwŭ Xiàn</v>
      </c>
      <c r="N241" s="13" t="str">
        <f>VLOOKUP(I241,CHOOSE({1,2},Table12[Native],Table12[Name]),2,0)</f>
        <v>Xīnzhōu Shì</v>
      </c>
      <c r="O241" s="13" t="str">
        <f t="shared" si="6"/>
        <v>Dongzhai Zhen (Xīnzhōu Shì)</v>
      </c>
      <c r="P241" s="13" t="str">
        <f t="shared" si="7"/>
        <v>Dongzhai Zhen (Xīnzhōu Shì)</v>
      </c>
    </row>
    <row r="242" spans="1:16" hidden="1" x14ac:dyDescent="0.25">
      <c r="A242" t="s">
        <v>1118</v>
      </c>
      <c r="B242" t="str">
        <f>IF(COUNTIF(A:A,A242)&gt;1,_xlfn.CONCAT(A242," (",N242,")"),A242)</f>
        <v>Dōngzhāng Xiāng</v>
      </c>
      <c r="C242" t="str">
        <f>IF(COUNTIF(B:B,B242)&gt;1,_xlfn.CONCAT(A242," (",M242,")"),B242)</f>
        <v>Dōngzhāng Xiāng</v>
      </c>
      <c r="D242" t="s">
        <v>1119</v>
      </c>
      <c r="E242" t="s">
        <v>17</v>
      </c>
      <c r="F242" t="str">
        <f>_xlfn.CONCAT(D242,", ",H242,", ",I242,", ","山西省")</f>
        <v>东张乡, 浮山县, 临汾市, 山西省</v>
      </c>
      <c r="G242">
        <v>13759</v>
      </c>
      <c r="H242" t="s">
        <v>2931</v>
      </c>
      <c r="I242" t="s">
        <v>2927</v>
      </c>
      <c r="J242" t="e">
        <f>VLOOKUP(F242,[1]!china_towns_second__2[[Column1]:[Y]],3,FALSE)</f>
        <v>#N/A</v>
      </c>
      <c r="K242" t="e">
        <f>VLOOKUP(F242,[1]!china_towns_second__2[[Column1]:[Y]],2,FALSE)</f>
        <v>#N/A</v>
      </c>
      <c r="L242" t="s">
        <v>3823</v>
      </c>
      <c r="M242" t="str">
        <f>VLOOKUP(H242,CHOOSE({1,2},Table12[Native],Table12[Name]),2,0)</f>
        <v>Fúshān Xiàn</v>
      </c>
      <c r="N242" s="13" t="str">
        <f>VLOOKUP(I242,CHOOSE({1,2},Table12[Native],Table12[Name]),2,0)</f>
        <v>Línfén Shì</v>
      </c>
      <c r="O242" s="13" t="str">
        <f t="shared" si="6"/>
        <v>Dongzhang Xiang (Línfén Shì)</v>
      </c>
      <c r="P242" s="13" t="str">
        <f t="shared" si="7"/>
        <v>Dongzhang Xiang (Línfén Shì)</v>
      </c>
    </row>
    <row r="243" spans="1:16" hidden="1" x14ac:dyDescent="0.25">
      <c r="A243" t="s">
        <v>2632</v>
      </c>
      <c r="B243" t="str">
        <f>IF(COUNTIF(A:A,A243)&gt;1,_xlfn.CONCAT(A243," (",N243,")"),A243)</f>
        <v>Dōngzhāng Zhèn</v>
      </c>
      <c r="C243" t="str">
        <f>IF(COUNTIF(B:B,B243)&gt;1,_xlfn.CONCAT(A243," (",M243,")"),B243)</f>
        <v>Dōngzhāng Zhèn</v>
      </c>
      <c r="D243" t="s">
        <v>2633</v>
      </c>
      <c r="E243" t="s">
        <v>7</v>
      </c>
      <c r="F243" t="str">
        <f>_xlfn.CONCAT(D243,", ",H243,", ",I243,", ","山西省")</f>
        <v>东张镇, 临猗县, 运城市, 山西省</v>
      </c>
      <c r="G243">
        <v>33604</v>
      </c>
      <c r="H243" t="s">
        <v>3007</v>
      </c>
      <c r="I243" t="s">
        <v>3003</v>
      </c>
      <c r="J243">
        <f>VLOOKUP(F243,[1]!china_towns_second__2[[Column1]:[Y]],3,FALSE)</f>
        <v>35.057061136166901</v>
      </c>
      <c r="K243">
        <f>VLOOKUP(F243,[1]!china_towns_second__2[[Column1]:[Y]],2,FALSE)</f>
        <v>110.4306672</v>
      </c>
      <c r="L243" t="s">
        <v>3824</v>
      </c>
      <c r="M243" t="str">
        <f>VLOOKUP(H243,CHOOSE({1,2},Table12[Native],Table12[Name]),2,0)</f>
        <v>Línyī Xiàn</v>
      </c>
      <c r="N243" s="13" t="str">
        <f>VLOOKUP(I243,CHOOSE({1,2},Table12[Native],Table12[Name]),2,0)</f>
        <v>Yùnchéng Shì</v>
      </c>
      <c r="O243" s="13" t="str">
        <f t="shared" si="6"/>
        <v>Dongzhang Zhen (Yùnchéng Shì)</v>
      </c>
      <c r="P243" s="13" t="str">
        <f t="shared" si="7"/>
        <v>Dongzhang Zhen (Yùnchéng Shì)</v>
      </c>
    </row>
    <row r="244" spans="1:16" hidden="1" x14ac:dyDescent="0.25">
      <c r="A244" t="s">
        <v>835</v>
      </c>
      <c r="B244" t="str">
        <f>IF(COUNTIF(A:A,A244)&gt;1,_xlfn.CONCAT(A244," (",N244,")"),A244)</f>
        <v>Dōngzhào Xiāng</v>
      </c>
      <c r="C244" t="str">
        <f>IF(COUNTIF(B:B,B244)&gt;1,_xlfn.CONCAT(A244," (",M244,")"),B244)</f>
        <v>Dōngzhào Xiāng</v>
      </c>
      <c r="D244" t="s">
        <v>836</v>
      </c>
      <c r="E244" t="s">
        <v>17</v>
      </c>
      <c r="F244" t="str">
        <f>_xlfn.CONCAT(D244,", ",H244,", ",I244,", ","山西省")</f>
        <v>东赵乡, 榆次区, 晋中市, 山西省</v>
      </c>
      <c r="G244">
        <v>11184</v>
      </c>
      <c r="H244" t="s">
        <v>2923</v>
      </c>
      <c r="I244" t="s">
        <v>2914</v>
      </c>
      <c r="J244" t="e">
        <f>VLOOKUP(F244,[1]!china_towns_second__2[[Column1]:[Y]],3,FALSE)</f>
        <v>#N/A</v>
      </c>
      <c r="K244" t="e">
        <f>VLOOKUP(F244,[1]!china_towns_second__2[[Column1]:[Y]],2,FALSE)</f>
        <v>#N/A</v>
      </c>
      <c r="L244" t="s">
        <v>3825</v>
      </c>
      <c r="M244" t="str">
        <f>VLOOKUP(H244,CHOOSE({1,2},Table12[Native],Table12[Name]),2,0)</f>
        <v>Yúcì Qū</v>
      </c>
      <c r="N244" s="13" t="str">
        <f>VLOOKUP(I244,CHOOSE({1,2},Table12[Native],Table12[Name]),2,0)</f>
        <v>Jìnzhōng Shì</v>
      </c>
      <c r="O244" s="13" t="str">
        <f t="shared" si="6"/>
        <v>Dongzhao Xiang (Jìnzhōng Shì)</v>
      </c>
      <c r="P244" s="13" t="str">
        <f t="shared" si="7"/>
        <v>Dongzhao Xiang (Jìnzhōng Shì)</v>
      </c>
    </row>
    <row r="245" spans="1:16" hidden="1" x14ac:dyDescent="0.25">
      <c r="A245" t="s">
        <v>2634</v>
      </c>
      <c r="B245" t="str">
        <f>IF(COUNTIF(A:A,A245)&gt;1,_xlfn.CONCAT(A245," (",N245,")"),A245)</f>
        <v>Dōngzhèn Zhèn</v>
      </c>
      <c r="C245" t="str">
        <f>IF(COUNTIF(B:B,B245)&gt;1,_xlfn.CONCAT(A245," (",M245,")"),B245)</f>
        <v>Dōngzhèn Zhèn</v>
      </c>
      <c r="D245" t="s">
        <v>2635</v>
      </c>
      <c r="E245" t="s">
        <v>7</v>
      </c>
      <c r="F245" t="str">
        <f>_xlfn.CONCAT(D245,", ",H245,", ",I245,", ","山西省")</f>
        <v>东镇镇, 闻喜县, 运城市, 山西省</v>
      </c>
      <c r="G245">
        <v>52344</v>
      </c>
      <c r="H245" t="s">
        <v>3011</v>
      </c>
      <c r="I245" t="s">
        <v>3003</v>
      </c>
      <c r="J245">
        <f>VLOOKUP(F245,[1]!china_towns_second__2[[Column1]:[Y]],3,FALSE)</f>
        <v>35.456817186326099</v>
      </c>
      <c r="K245">
        <f>VLOOKUP(F245,[1]!china_towns_second__2[[Column1]:[Y]],2,FALSE)</f>
        <v>111.3076318</v>
      </c>
      <c r="L245" t="s">
        <v>3826</v>
      </c>
      <c r="M245" t="str">
        <f>VLOOKUP(H245,CHOOSE({1,2},Table12[Native],Table12[Name]),2,0)</f>
        <v>Wénxĭ Xiàn</v>
      </c>
      <c r="N245" s="13" t="str">
        <f>VLOOKUP(I245,CHOOSE({1,2},Table12[Native],Table12[Name]),2,0)</f>
        <v>Yùnchéng Shì</v>
      </c>
      <c r="O245" s="13" t="str">
        <f t="shared" si="6"/>
        <v>Dongzhen Zhen (Yùnchéng Shì)</v>
      </c>
      <c r="P245" s="13" t="str">
        <f t="shared" si="7"/>
        <v>Dongzhen Zhen (Yùnchéng Shì)</v>
      </c>
    </row>
    <row r="246" spans="1:16" hidden="1" x14ac:dyDescent="0.25">
      <c r="A246" t="s">
        <v>2176</v>
      </c>
      <c r="B246" t="str">
        <f>IF(COUNTIF(A:A,A246)&gt;1,_xlfn.CONCAT(A246," (",N246,")"),A246)</f>
        <v>Dòucūn Zhèn</v>
      </c>
      <c r="C246" t="str">
        <f>IF(COUNTIF(B:B,B246)&gt;1,_xlfn.CONCAT(A246," (",M246,")"),B246)</f>
        <v>Dòucūn Zhèn</v>
      </c>
      <c r="D246" t="s">
        <v>2177</v>
      </c>
      <c r="E246" t="s">
        <v>7</v>
      </c>
      <c r="F246" t="str">
        <f>_xlfn.CONCAT(D246,", ",H246,", ",I246,", ","山西省")</f>
        <v>豆村镇, 五台县, 忻州市, 山西省</v>
      </c>
      <c r="G246">
        <v>26880</v>
      </c>
      <c r="H246" t="s">
        <v>2992</v>
      </c>
      <c r="I246" t="s">
        <v>2981</v>
      </c>
      <c r="J246">
        <f>VLOOKUP(F246,[1]!china_towns_second__2[[Column1]:[Y]],3,FALSE)</f>
        <v>38.896756480183598</v>
      </c>
      <c r="K246">
        <f>VLOOKUP(F246,[1]!china_towns_second__2[[Column1]:[Y]],2,FALSE)</f>
        <v>113.3607385</v>
      </c>
      <c r="L246" t="s">
        <v>3827</v>
      </c>
      <c r="M246" t="str">
        <f>VLOOKUP(H246,CHOOSE({1,2},Table12[Native],Table12[Name]),2,0)</f>
        <v>Wŭtái Xiàn</v>
      </c>
      <c r="N246" s="13" t="str">
        <f>VLOOKUP(I246,CHOOSE({1,2},Table12[Native],Table12[Name]),2,0)</f>
        <v>Xīnzhōu Shì</v>
      </c>
      <c r="O246" s="13" t="str">
        <f t="shared" si="6"/>
        <v>Doucun Zhen (Xīnzhōu Shì)</v>
      </c>
      <c r="P246" s="13" t="str">
        <f t="shared" si="7"/>
        <v>Doucun Zhen (Xīnzhōu Shì)</v>
      </c>
    </row>
    <row r="247" spans="1:16" hidden="1" x14ac:dyDescent="0.25">
      <c r="A247" t="s">
        <v>2178</v>
      </c>
      <c r="B247" t="str">
        <f>IF(COUNTIF(A:A,A247)&gt;1,_xlfn.CONCAT(A247," (",N247,")"),A247)</f>
        <v>Dòuluó Zhèn</v>
      </c>
      <c r="C247" t="str">
        <f>IF(COUNTIF(B:B,B247)&gt;1,_xlfn.CONCAT(A247," (",M247,")"),B247)</f>
        <v>Dòuluó Zhèn</v>
      </c>
      <c r="D247" t="s">
        <v>2179</v>
      </c>
      <c r="E247" t="s">
        <v>7</v>
      </c>
      <c r="F247" t="str">
        <f>_xlfn.CONCAT(D247,", ",H247,", ",I247,", ","山西省")</f>
        <v>豆罗镇, 忻府区, 忻州市, 山西省</v>
      </c>
      <c r="G247">
        <v>18655</v>
      </c>
      <c r="H247" t="s">
        <v>2994</v>
      </c>
      <c r="I247" t="s">
        <v>2981</v>
      </c>
      <c r="J247">
        <f>VLOOKUP(F247,[1]!china_towns_second__2[[Column1]:[Y]],3,FALSE)</f>
        <v>38.2831349867838</v>
      </c>
      <c r="K247">
        <f>VLOOKUP(F247,[1]!china_towns_second__2[[Column1]:[Y]],2,FALSE)</f>
        <v>112.6978227</v>
      </c>
      <c r="L247" t="s">
        <v>3828</v>
      </c>
      <c r="M247" t="str">
        <f>VLOOKUP(H247,CHOOSE({1,2},Table12[Native],Table12[Name]),2,0)</f>
        <v>Xīnfŭ Qū</v>
      </c>
      <c r="N247" s="13" t="str">
        <f>VLOOKUP(I247,CHOOSE({1,2},Table12[Native],Table12[Name]),2,0)</f>
        <v>Xīnzhōu Shì</v>
      </c>
      <c r="O247" s="13" t="str">
        <f t="shared" si="6"/>
        <v>Douluo Zhen (Xīnzhōu Shì)</v>
      </c>
      <c r="P247" s="13" t="str">
        <f t="shared" si="7"/>
        <v>Douluo Zhen (Xīnzhōu Shì)</v>
      </c>
    </row>
    <row r="248" spans="1:16" hidden="1" x14ac:dyDescent="0.25">
      <c r="A248" t="s">
        <v>1120</v>
      </c>
      <c r="B248" t="str">
        <f>IF(COUNTIF(A:A,A248)&gt;1,_xlfn.CONCAT(A248," (",N248,")"),A248)</f>
        <v>Dŏupō Xiāng</v>
      </c>
      <c r="C248" t="str">
        <f>IF(COUNTIF(B:B,B248)&gt;1,_xlfn.CONCAT(A248," (",M248,")"),B248)</f>
        <v>Dŏupō Xiāng</v>
      </c>
      <c r="D248" t="s">
        <v>1121</v>
      </c>
      <c r="E248" t="s">
        <v>17</v>
      </c>
      <c r="F248" t="str">
        <f>_xlfn.CONCAT(D248,", ",H248,", ",I248,", ","山西省")</f>
        <v>陡坡乡, 隰县, 临汾市, 山西省</v>
      </c>
      <c r="G248">
        <v>4032</v>
      </c>
      <c r="H248" t="s">
        <v>2941</v>
      </c>
      <c r="I248" t="s">
        <v>2927</v>
      </c>
      <c r="J248" t="e">
        <f>VLOOKUP(F248,[1]!china_towns_second__2[[Column1]:[Y]],3,FALSE)</f>
        <v>#N/A</v>
      </c>
      <c r="K248" t="e">
        <f>VLOOKUP(F248,[1]!china_towns_second__2[[Column1]:[Y]],2,FALSE)</f>
        <v>#N/A</v>
      </c>
      <c r="L248" t="s">
        <v>3829</v>
      </c>
      <c r="M248" t="str">
        <f>VLOOKUP(H248,CHOOSE({1,2},Table12[Native],Table12[Name]),2,0)</f>
        <v>Xí Xiàn</v>
      </c>
      <c r="N248" s="13" t="str">
        <f>VLOOKUP(I248,CHOOSE({1,2},Table12[Native],Table12[Name]),2,0)</f>
        <v>Línfén Shì</v>
      </c>
      <c r="O248" s="13" t="str">
        <f t="shared" si="6"/>
        <v>Doupo Xiang (Línfén Shì)</v>
      </c>
      <c r="P248" s="13" t="str">
        <f t="shared" si="7"/>
        <v>Doupo Xiang (Línfén Shì)</v>
      </c>
    </row>
    <row r="249" spans="1:16" hidden="1" x14ac:dyDescent="0.25">
      <c r="A249" t="s">
        <v>837</v>
      </c>
      <c r="B249" t="str">
        <f>IF(COUNTIF(A:A,A249)&gt;1,_xlfn.CONCAT(A249," (",N249,")"),A249)</f>
        <v>Duànchún Zhèn</v>
      </c>
      <c r="C249" t="str">
        <f>IF(COUNTIF(B:B,B249)&gt;1,_xlfn.CONCAT(A249," (",M249,")"),B249)</f>
        <v>Duànchún Zhèn</v>
      </c>
      <c r="D249" t="s">
        <v>838</v>
      </c>
      <c r="E249" t="s">
        <v>7</v>
      </c>
      <c r="F249" t="str">
        <f>_xlfn.CONCAT(D249,", ",H249,", ",I249,", ","山西省")</f>
        <v>段纯镇, 灵石县, 晋中市, 山西省</v>
      </c>
      <c r="G249">
        <v>15077</v>
      </c>
      <c r="H249" t="s">
        <v>2917</v>
      </c>
      <c r="I249" t="s">
        <v>2914</v>
      </c>
      <c r="J249">
        <f>VLOOKUP(F249,[1]!china_towns_second__2[[Column1]:[Y]],3,FALSE)</f>
        <v>36.864468295816998</v>
      </c>
      <c r="K249">
        <f>VLOOKUP(F249,[1]!china_towns_second__2[[Column1]:[Y]],2,FALSE)</f>
        <v>111.55639530000001</v>
      </c>
      <c r="L249" t="s">
        <v>3830</v>
      </c>
      <c r="M249" t="str">
        <f>VLOOKUP(H249,CHOOSE({1,2},Table12[Native],Table12[Name]),2,0)</f>
        <v>Língshí Xiàn</v>
      </c>
      <c r="N249" s="13" t="str">
        <f>VLOOKUP(I249,CHOOSE({1,2},Table12[Native],Table12[Name]),2,0)</f>
        <v>Jìnzhōng Shì</v>
      </c>
      <c r="O249" s="13" t="str">
        <f t="shared" si="6"/>
        <v>Duanchun Zhen (Jìnzhōng Shì)</v>
      </c>
      <c r="P249" s="13" t="str">
        <f t="shared" si="7"/>
        <v>Duanchun Zhen (Jìnzhōng Shì)</v>
      </c>
    </row>
    <row r="250" spans="1:16" hidden="1" x14ac:dyDescent="0.25">
      <c r="A250" t="s">
        <v>839</v>
      </c>
      <c r="B250" t="str">
        <f>IF(COUNTIF(A:A,A250)&gt;1,_xlfn.CONCAT(A250," (",N250,")"),A250)</f>
        <v>Duàncūn Zhèn</v>
      </c>
      <c r="C250" t="str">
        <f>IF(COUNTIF(B:B,B250)&gt;1,_xlfn.CONCAT(A250," (",M250,")"),B250)</f>
        <v>Duàncūn Zhèn</v>
      </c>
      <c r="D250" t="s">
        <v>840</v>
      </c>
      <c r="E250" t="s">
        <v>7</v>
      </c>
      <c r="F250" t="str">
        <f>_xlfn.CONCAT(D250,", ",H250,", ",I250,", ","山西省")</f>
        <v>段村镇, 平遥县, 晋中市, 山西省</v>
      </c>
      <c r="G250">
        <v>31929</v>
      </c>
      <c r="H250" t="s">
        <v>2918</v>
      </c>
      <c r="I250" t="s">
        <v>2914</v>
      </c>
      <c r="J250">
        <f>VLOOKUP(F250,[1]!china_towns_second__2[[Column1]:[Y]],3,FALSE)</f>
        <v>37.0752566586483</v>
      </c>
      <c r="K250">
        <f>VLOOKUP(F250,[1]!china_towns_second__2[[Column1]:[Y]],2,FALSE)</f>
        <v>112.17105530000001</v>
      </c>
      <c r="L250" t="s">
        <v>3831</v>
      </c>
      <c r="M250" t="str">
        <f>VLOOKUP(H250,CHOOSE({1,2},Table12[Native],Table12[Name]),2,0)</f>
        <v>Píngyáo Xiàn</v>
      </c>
      <c r="N250" s="13" t="str">
        <f>VLOOKUP(I250,CHOOSE({1,2},Table12[Native],Table12[Name]),2,0)</f>
        <v>Jìnzhōng Shì</v>
      </c>
      <c r="O250" s="13" t="str">
        <f t="shared" si="6"/>
        <v>Duancun Zhen (Jìnzhōng Shì)</v>
      </c>
      <c r="P250" s="13" t="str">
        <f t="shared" si="7"/>
        <v>Duancun Zhen (Jìnzhōng Shì)</v>
      </c>
    </row>
    <row r="251" spans="1:16" hidden="1" x14ac:dyDescent="0.25">
      <c r="A251" t="s">
        <v>1122</v>
      </c>
      <c r="B251" t="str">
        <f>IF(COUNTIF(A:A,A251)&gt;1,_xlfn.CONCAT(A251," (",N251,")"),A251)</f>
        <v>Duàndiàn Xiāng</v>
      </c>
      <c r="C251" t="str">
        <f>IF(COUNTIF(B:B,B251)&gt;1,_xlfn.CONCAT(A251," (",M251,")"),B251)</f>
        <v>Duàndiàn Xiāng</v>
      </c>
      <c r="D251" t="s">
        <v>1123</v>
      </c>
      <c r="E251" t="s">
        <v>17</v>
      </c>
      <c r="F251" t="str">
        <f>_xlfn.CONCAT(D251,", ",H251,", ",I251,", ","山西省")</f>
        <v>段店乡, 尧都区, 临汾市, 山西省</v>
      </c>
      <c r="G251">
        <v>43174</v>
      </c>
      <c r="H251" t="s">
        <v>2942</v>
      </c>
      <c r="I251" t="s">
        <v>2927</v>
      </c>
      <c r="J251" t="e">
        <f>VLOOKUP(F251,[1]!china_towns_second__2[[Column1]:[Y]],3,FALSE)</f>
        <v>#N/A</v>
      </c>
      <c r="K251" t="e">
        <f>VLOOKUP(F251,[1]!china_towns_second__2[[Column1]:[Y]],2,FALSE)</f>
        <v>#N/A</v>
      </c>
      <c r="L251" t="s">
        <v>3832</v>
      </c>
      <c r="M251" t="str">
        <f>VLOOKUP(H251,CHOOSE({1,2},Table12[Native],Table12[Name]),2,0)</f>
        <v>Yáodū Qū</v>
      </c>
      <c r="N251" s="13" t="str">
        <f>VLOOKUP(I251,CHOOSE({1,2},Table12[Native],Table12[Name]),2,0)</f>
        <v>Línfén Shì</v>
      </c>
      <c r="O251" s="13" t="str">
        <f t="shared" si="6"/>
        <v>Duandian Xiang (Línfén Shì)</v>
      </c>
      <c r="P251" s="13" t="str">
        <f t="shared" si="7"/>
        <v>Duandian Xiang (Línfén Shì)</v>
      </c>
    </row>
    <row r="252" spans="1:16" hidden="1" x14ac:dyDescent="0.25">
      <c r="A252" t="s">
        <v>2180</v>
      </c>
      <c r="B252" t="str">
        <f>IF(COUNTIF(A:A,A252)&gt;1,_xlfn.CONCAT(A252," (",N252,")"),A252)</f>
        <v>Duànjiābăo Xiāng</v>
      </c>
      <c r="C252" t="str">
        <f>IF(COUNTIF(B:B,B252)&gt;1,_xlfn.CONCAT(A252," (",M252,")"),B252)</f>
        <v>Duànjiābăo Xiāng</v>
      </c>
      <c r="D252" t="s">
        <v>2181</v>
      </c>
      <c r="E252" t="s">
        <v>17</v>
      </c>
      <c r="F252" t="str">
        <f>_xlfn.CONCAT(D252,", ",H252,", ",I252,", ","山西省")</f>
        <v>段家堡乡, 原平市, 忻州市, 山西省</v>
      </c>
      <c r="G252">
        <v>19061</v>
      </c>
      <c r="H252" t="s">
        <v>2995</v>
      </c>
      <c r="I252" t="s">
        <v>2981</v>
      </c>
      <c r="J252" t="e">
        <f>VLOOKUP(F252,[1]!china_towns_second__2[[Column1]:[Y]],3,FALSE)</f>
        <v>#N/A</v>
      </c>
      <c r="K252" t="e">
        <f>VLOOKUP(F252,[1]!china_towns_second__2[[Column1]:[Y]],2,FALSE)</f>
        <v>#N/A</v>
      </c>
      <c r="L252" t="s">
        <v>3833</v>
      </c>
      <c r="M252" t="str">
        <f>VLOOKUP(H252,CHOOSE({1,2},Table12[Native],Table12[Name]),2,0)</f>
        <v>Yuánpíng Shì</v>
      </c>
      <c r="N252" s="13" t="str">
        <f>VLOOKUP(I252,CHOOSE({1,2},Table12[Native],Table12[Name]),2,0)</f>
        <v>Xīnzhōu Shì</v>
      </c>
      <c r="O252" s="13" t="str">
        <f t="shared" si="6"/>
        <v>Duanjiabao Xiang (Xīnzhōu Shì)</v>
      </c>
      <c r="P252" s="13" t="str">
        <f t="shared" si="7"/>
        <v>Duanjiabao Xiang (Xīnzhōu Shì)</v>
      </c>
    </row>
    <row r="253" spans="1:16" hidden="1" x14ac:dyDescent="0.25">
      <c r="A253" t="s">
        <v>2182</v>
      </c>
      <c r="B253" t="str">
        <f>IF(COUNTIF(A:A,A253)&gt;1,_xlfn.CONCAT(A253," (",N253,")"),A253)</f>
        <v>Duànjiāzhài Xiāng</v>
      </c>
      <c r="C253" t="str">
        <f>IF(COUNTIF(B:B,B253)&gt;1,_xlfn.CONCAT(A253," (",M253,")"),B253)</f>
        <v>Duànjiāzhài Xiāng</v>
      </c>
      <c r="D253" t="s">
        <v>2183</v>
      </c>
      <c r="E253" t="s">
        <v>17</v>
      </c>
      <c r="F253" t="str">
        <f>_xlfn.CONCAT(D253,", ",H253,", ",I253,", ","山西省")</f>
        <v>段家寨乡, 静乐县, 忻州市, 山西省</v>
      </c>
      <c r="G253">
        <v>9666</v>
      </c>
      <c r="H253" t="s">
        <v>2987</v>
      </c>
      <c r="I253" t="s">
        <v>2981</v>
      </c>
      <c r="J253" t="e">
        <f>VLOOKUP(F253,[1]!china_towns_second__2[[Column1]:[Y]],3,FALSE)</f>
        <v>#N/A</v>
      </c>
      <c r="K253" t="e">
        <f>VLOOKUP(F253,[1]!china_towns_second__2[[Column1]:[Y]],2,FALSE)</f>
        <v>#N/A</v>
      </c>
      <c r="L253" t="s">
        <v>3834</v>
      </c>
      <c r="M253" t="str">
        <f>VLOOKUP(H253,CHOOSE({1,2},Table12[Native],Table12[Name]),2,0)</f>
        <v>Jìnglè Xiàn</v>
      </c>
      <c r="N253" s="13" t="str">
        <f>VLOOKUP(I253,CHOOSE({1,2},Table12[Native],Table12[Name]),2,0)</f>
        <v>Xīnzhōu Shì</v>
      </c>
      <c r="O253" s="13" t="str">
        <f t="shared" si="6"/>
        <v>Duanjiazhai Xiang (Xīnzhōu Shì)</v>
      </c>
      <c r="P253" s="13" t="str">
        <f t="shared" si="7"/>
        <v>Duanjiazhai Xiang (Xīnzhōu Shì)</v>
      </c>
    </row>
    <row r="254" spans="1:16" hidden="1" x14ac:dyDescent="0.25">
      <c r="A254" t="s">
        <v>80</v>
      </c>
      <c r="B254" t="str">
        <f>IF(COUNTIF(A:A,A254)&gt;1,_xlfn.CONCAT(A254," (",N254,")"),A254)</f>
        <v>Duànliŭ Xiāng</v>
      </c>
      <c r="C254" t="str">
        <f>IF(COUNTIF(B:B,B254)&gt;1,_xlfn.CONCAT(A254," (",M254,")"),B254)</f>
        <v>Duànliŭ Xiāng</v>
      </c>
      <c r="D254" t="s">
        <v>81</v>
      </c>
      <c r="E254" t="s">
        <v>17</v>
      </c>
      <c r="F254" t="str">
        <f>_xlfn.CONCAT(D254,", ",H254,", ",I254,", ","山西省")</f>
        <v>段柳乡, 沁县, 长治市, 山西省</v>
      </c>
      <c r="G254">
        <v>15266</v>
      </c>
      <c r="H254" t="s">
        <v>2887</v>
      </c>
      <c r="I254" t="s">
        <v>2878</v>
      </c>
      <c r="J254" t="e">
        <f>VLOOKUP(F254,[1]!china_towns_second__2[[Column1]:[Y]],3,FALSE)</f>
        <v>#N/A</v>
      </c>
      <c r="K254" t="e">
        <f>VLOOKUP(F254,[1]!china_towns_second__2[[Column1]:[Y]],2,FALSE)</f>
        <v>#N/A</v>
      </c>
      <c r="L254" t="s">
        <v>3835</v>
      </c>
      <c r="M254" t="str">
        <f>VLOOKUP(H254,CHOOSE({1,2},Table12[Native],Table12[Name]),2,0)</f>
        <v>Qìn Xiàn</v>
      </c>
      <c r="N254" s="13" t="str">
        <f>VLOOKUP(I254,CHOOSE({1,2},Table12[Native],Table12[Name]),2,0)</f>
        <v>Chángzhì Shì</v>
      </c>
      <c r="O254" s="13" t="str">
        <f t="shared" si="6"/>
        <v>Duanliu Xiang (Chángzhì Shì)</v>
      </c>
      <c r="P254" s="13" t="str">
        <f t="shared" si="7"/>
        <v>Duanliu Xiang (Chángzhì Shì)</v>
      </c>
    </row>
    <row r="255" spans="1:16" hidden="1" x14ac:dyDescent="0.25">
      <c r="A255" t="s">
        <v>657</v>
      </c>
      <c r="B255" t="str">
        <f>IF(COUNTIF(A:A,A255)&gt;1,_xlfn.CONCAT(A255," (",N255,")"),A255)</f>
        <v>Duānshì Zhèn</v>
      </c>
      <c r="C255" t="str">
        <f>IF(COUNTIF(B:B,B255)&gt;1,_xlfn.CONCAT(A255," (",M255,")"),B255)</f>
        <v>Duānshì Zhèn</v>
      </c>
      <c r="D255" t="s">
        <v>658</v>
      </c>
      <c r="E255" t="s">
        <v>7</v>
      </c>
      <c r="F255" t="str">
        <f>_xlfn.CONCAT(D255,", ",H255,", ",I255,", ","山西省")</f>
        <v>端氏镇, 沁水县, 晋城市, 山西省</v>
      </c>
      <c r="G255">
        <v>29534</v>
      </c>
      <c r="H255" t="s">
        <v>2910</v>
      </c>
      <c r="I255" t="s">
        <v>2906</v>
      </c>
      <c r="J255">
        <f>VLOOKUP(F255,[1]!china_towns_second__2[[Column1]:[Y]],3,FALSE)</f>
        <v>35.753026547156502</v>
      </c>
      <c r="K255">
        <f>VLOOKUP(F255,[1]!china_towns_second__2[[Column1]:[Y]],2,FALSE)</f>
        <v>112.4992858</v>
      </c>
      <c r="L255" t="s">
        <v>3836</v>
      </c>
      <c r="M255" t="str">
        <f>VLOOKUP(H255,CHOOSE({1,2},Table12[Native],Table12[Name]),2,0)</f>
        <v>Qìnshuǐ Xiàn</v>
      </c>
      <c r="N255" s="13" t="str">
        <f>VLOOKUP(I255,CHOOSE({1,2},Table12[Native],Table12[Name]),2,0)</f>
        <v>Jìnchéng Shì</v>
      </c>
      <c r="O255" s="13" t="str">
        <f t="shared" si="6"/>
        <v>Duanshi Zhen (Jìnchéng Shì)</v>
      </c>
      <c r="P255" s="13" t="str">
        <f t="shared" si="7"/>
        <v>Duanshi Zhen (Jìnchéng Shì)</v>
      </c>
    </row>
    <row r="256" spans="1:16" hidden="1" x14ac:dyDescent="0.25">
      <c r="A256" t="s">
        <v>1124</v>
      </c>
      <c r="B256" t="str">
        <f>IF(COUNTIF(A:A,A256)&gt;1,_xlfn.CONCAT(A256," (",N256,")"),A256)</f>
        <v>Dùcūn Xiāng (Línfén Shì)</v>
      </c>
      <c r="C256" t="str">
        <f>IF(COUNTIF(B:B,B256)&gt;1,_xlfn.CONCAT(A256," (",M256,")"),B256)</f>
        <v>Dùcūn Xiāng (Línfén Shì)</v>
      </c>
      <c r="D256" t="s">
        <v>1125</v>
      </c>
      <c r="E256" t="s">
        <v>17</v>
      </c>
      <c r="F256" t="str">
        <f>_xlfn.CONCAT(D256,", ",H256,", ",I256,", ","山西省")</f>
        <v>杜村乡, 安泽县, 临汾市, 山西省</v>
      </c>
      <c r="G256">
        <v>5050</v>
      </c>
      <c r="H256" t="s">
        <v>2928</v>
      </c>
      <c r="I256" t="s">
        <v>2927</v>
      </c>
      <c r="J256" t="e">
        <f>VLOOKUP(F256,[1]!china_towns_second__2[[Column1]:[Y]],3,FALSE)</f>
        <v>#N/A</v>
      </c>
      <c r="K256" t="e">
        <f>VLOOKUP(F256,[1]!china_towns_second__2[[Column1]:[Y]],2,FALSE)</f>
        <v>#N/A</v>
      </c>
      <c r="L256" t="s">
        <v>3837</v>
      </c>
      <c r="M256" t="str">
        <f>VLOOKUP(H256,CHOOSE({1,2},Table12[Native],Table12[Name]),2,0)</f>
        <v>Ānzé Xiàn</v>
      </c>
      <c r="N256" s="13" t="str">
        <f>VLOOKUP(I256,CHOOSE({1,2},Table12[Native],Table12[Name]),2,0)</f>
        <v>Línfén Shì</v>
      </c>
      <c r="O256" s="13" t="str">
        <f t="shared" si="6"/>
        <v>Ducun Xiang (Linfen Shi) (Línfén Shì)</v>
      </c>
      <c r="P256" s="13" t="str">
        <f t="shared" si="7"/>
        <v>Ducun Xiang (Linfen Shi) (Línfén Shì)</v>
      </c>
    </row>
    <row r="257" spans="1:16" hidden="1" x14ac:dyDescent="0.25">
      <c r="A257" t="s">
        <v>1124</v>
      </c>
      <c r="B257" t="str">
        <f>IF(COUNTIF(A:A,A257)&gt;1,_xlfn.CONCAT(A257," (",N257,")"),A257)</f>
        <v>Dùcūn Xiāng (Lǚliáng Shì)</v>
      </c>
      <c r="C257" t="str">
        <f>IF(COUNTIF(B:B,B257)&gt;1,_xlfn.CONCAT(A257," (",M257,")"),B257)</f>
        <v>Dùcūn Xiāng (Lǚliáng Shì)</v>
      </c>
      <c r="D257" t="s">
        <v>1125</v>
      </c>
      <c r="E257" t="s">
        <v>17</v>
      </c>
      <c r="F257" t="str">
        <f>_xlfn.CONCAT(D257,", ",H257,", ",I257,", ","山西省")</f>
        <v>杜村乡, 孝义市, 吕梁市, 山西省</v>
      </c>
      <c r="G257">
        <v>8404</v>
      </c>
      <c r="H257" t="s">
        <v>2957</v>
      </c>
      <c r="I257" t="s">
        <v>2946</v>
      </c>
      <c r="J257" t="e">
        <f>VLOOKUP(F257,[1]!china_towns_second__2[[Column1]:[Y]],3,FALSE)</f>
        <v>#N/A</v>
      </c>
      <c r="K257" t="e">
        <f>VLOOKUP(F257,[1]!china_towns_second__2[[Column1]:[Y]],2,FALSE)</f>
        <v>#N/A</v>
      </c>
      <c r="L257" t="s">
        <v>3838</v>
      </c>
      <c r="M257" t="str">
        <f>VLOOKUP(H257,CHOOSE({1,2},Table12[Native],Table12[Name]),2,0)</f>
        <v>Xiàoyì Shì</v>
      </c>
      <c r="N257" s="13" t="str">
        <f>VLOOKUP(I257,CHOOSE({1,2},Table12[Native],Table12[Name]),2,0)</f>
        <v>Lǚliáng Shì</v>
      </c>
      <c r="O257" s="13" t="str">
        <f t="shared" si="6"/>
        <v>Ducun Xiang (Luliang Shi) (Lǚliáng Shì)</v>
      </c>
      <c r="P257" s="13" t="str">
        <f t="shared" si="7"/>
        <v>Ducun Xiang (Luliang Shi) (Lǚliáng Shì)</v>
      </c>
    </row>
    <row r="258" spans="1:16" hidden="1" x14ac:dyDescent="0.25">
      <c r="A258" t="s">
        <v>1921</v>
      </c>
      <c r="B258" t="str">
        <f>IF(COUNTIF(A:A,A258)&gt;1,_xlfn.CONCAT(A258," (",N258,")"),A258)</f>
        <v>Dù'érpíng Jiēdào</v>
      </c>
      <c r="C258" t="str">
        <f>IF(COUNTIF(B:B,B258)&gt;1,_xlfn.CONCAT(A258," (",M258,")"),B258)</f>
        <v>Dù'érpíng Jiēdào</v>
      </c>
      <c r="D258" t="s">
        <v>1922</v>
      </c>
      <c r="E258" t="s">
        <v>31</v>
      </c>
      <c r="F258" t="str">
        <f>_xlfn.CONCAT(D258,", ",H258,", ",I258,", ","山西省")</f>
        <v>杜儿坪街道, 万柏林区, 太原市, 山西省</v>
      </c>
      <c r="G258">
        <v>28470</v>
      </c>
      <c r="H258" t="s">
        <v>2975</v>
      </c>
      <c r="I258" t="s">
        <v>2969</v>
      </c>
      <c r="J258">
        <f>VLOOKUP(F258,[1]!china_towns_second__2[[Column1]:[Y]],3,FALSE)</f>
        <v>37.817617526038603</v>
      </c>
      <c r="K258">
        <f>VLOOKUP(F258,[1]!china_towns_second__2[[Column1]:[Y]],2,FALSE)</f>
        <v>112.36954160000001</v>
      </c>
      <c r="L258" t="s">
        <v>3839</v>
      </c>
      <c r="M258" t="str">
        <f>VLOOKUP(H258,CHOOSE({1,2},Table12[Native],Table12[Name]),2,0)</f>
        <v>Wànbǎilín Qū</v>
      </c>
      <c r="N258" s="13" t="str">
        <f>VLOOKUP(I258,CHOOSE({1,2},Table12[Native],Table12[Name]),2,0)</f>
        <v>Tàiyuán Shì</v>
      </c>
      <c r="O258" s="13" t="str">
        <f t="shared" ref="O258:O321" si="8">_xlfn.CONCAT(L258," (",N258,")")</f>
        <v>Du'erping Jiedao (Tàiyuán Shì)</v>
      </c>
      <c r="P258" s="13" t="str">
        <f t="shared" ref="P258:P321" si="9">IF(COUNTIF(O:O,O258)&gt;1,_xlfn.CONCAT(L258," (",M258,")"),O258)</f>
        <v>Du'erping Jiedao (Tàiyuán Shì)</v>
      </c>
    </row>
    <row r="259" spans="1:16" hidden="1" x14ac:dyDescent="0.25">
      <c r="A259" t="s">
        <v>1470</v>
      </c>
      <c r="B259" t="str">
        <f>IF(COUNTIF(A:A,A259)&gt;1,_xlfn.CONCAT(A259," (",N259,")"),A259)</f>
        <v>Duìzhèn Zhèn</v>
      </c>
      <c r="C259" t="str">
        <f>IF(COUNTIF(B:B,B259)&gt;1,_xlfn.CONCAT(A259," (",M259,")"),B259)</f>
        <v>Duìzhèn Zhèn</v>
      </c>
      <c r="D259" t="s">
        <v>1471</v>
      </c>
      <c r="E259" t="s">
        <v>7</v>
      </c>
      <c r="F259" t="str">
        <f>_xlfn.CONCAT(D259,", ",H259,", ",I259,", ","山西省")</f>
        <v>兑镇镇, 孝义市, 吕梁市, 山西省</v>
      </c>
      <c r="G259">
        <v>42196</v>
      </c>
      <c r="H259" t="s">
        <v>2957</v>
      </c>
      <c r="I259" t="s">
        <v>2946</v>
      </c>
      <c r="J259">
        <f>VLOOKUP(F259,[1]!china_towns_second__2[[Column1]:[Y]],3,FALSE)</f>
        <v>37.102228934255201</v>
      </c>
      <c r="K259">
        <f>VLOOKUP(F259,[1]!china_towns_second__2[[Column1]:[Y]],2,FALSE)</f>
        <v>111.6254777</v>
      </c>
      <c r="L259" t="s">
        <v>3840</v>
      </c>
      <c r="M259" t="str">
        <f>VLOOKUP(H259,CHOOSE({1,2},Table12[Native],Table12[Name]),2,0)</f>
        <v>Xiàoyì Shì</v>
      </c>
      <c r="N259" s="13" t="str">
        <f>VLOOKUP(I259,CHOOSE({1,2},Table12[Native],Table12[Name]),2,0)</f>
        <v>Lǚliáng Shì</v>
      </c>
      <c r="O259" s="13" t="str">
        <f t="shared" si="8"/>
        <v>Duizhen Zhen (Lǚliáng Shì)</v>
      </c>
      <c r="P259" s="13" t="str">
        <f t="shared" si="9"/>
        <v>Duizhen Zhen (Lǚliáng Shì)</v>
      </c>
    </row>
    <row r="260" spans="1:16" hidden="1" x14ac:dyDescent="0.25">
      <c r="A260" t="s">
        <v>1127</v>
      </c>
      <c r="B260" t="str">
        <f>IF(COUNTIF(A:A,A260)&gt;1,_xlfn.CONCAT(A260," (",N260,")"),A260)</f>
        <v>Duìzhú Zhèn</v>
      </c>
      <c r="C260" t="str">
        <f>IF(COUNTIF(B:B,B260)&gt;1,_xlfn.CONCAT(A260," (",M260,")"),B260)</f>
        <v>Duìzhú Zhèn</v>
      </c>
      <c r="D260" t="s">
        <v>1128</v>
      </c>
      <c r="E260" t="s">
        <v>7</v>
      </c>
      <c r="F260" t="str">
        <f>_xlfn.CONCAT(D260,", ",H260,", ",I260,", ","山西省")</f>
        <v>对竹镇, 汾西县, 临汾市, 山西省</v>
      </c>
      <c r="G260">
        <v>11895</v>
      </c>
      <c r="H260" t="s">
        <v>2930</v>
      </c>
      <c r="I260" t="s">
        <v>2927</v>
      </c>
      <c r="J260">
        <f>VLOOKUP(F260,[1]!china_towns_second__2[[Column1]:[Y]],3,FALSE)</f>
        <v>36.753750083399098</v>
      </c>
      <c r="K260">
        <f>VLOOKUP(F260,[1]!china_towns_second__2[[Column1]:[Y]],2,FALSE)</f>
        <v>111.4515725</v>
      </c>
      <c r="L260" t="s">
        <v>3841</v>
      </c>
      <c r="M260" t="str">
        <f>VLOOKUP(H260,CHOOSE({1,2},Table12[Native],Table12[Name]),2,0)</f>
        <v>Fénxī Xiàn</v>
      </c>
      <c r="N260" s="13" t="str">
        <f>VLOOKUP(I260,CHOOSE({1,2},Table12[Native],Table12[Name]),2,0)</f>
        <v>Línfén Shì</v>
      </c>
      <c r="O260" s="13" t="str">
        <f t="shared" si="8"/>
        <v>Duizhu Zhen (Línfén Shì)</v>
      </c>
      <c r="P260" s="13" t="str">
        <f t="shared" si="9"/>
        <v>Duizhu Zhen (Línfén Shì)</v>
      </c>
    </row>
    <row r="261" spans="1:16" hidden="1" x14ac:dyDescent="0.25">
      <c r="A261" t="s">
        <v>2184</v>
      </c>
      <c r="B261" t="str">
        <f>IF(COUNTIF(A:A,A261)&gt;1,_xlfn.CONCAT(A261," (",N261,")"),A261)</f>
        <v>Dùjiācūn Zhèn</v>
      </c>
      <c r="C261" t="str">
        <f>IF(COUNTIF(B:B,B261)&gt;1,_xlfn.CONCAT(A261," (",M261,")"),B261)</f>
        <v>Dùjiācūn Zhèn</v>
      </c>
      <c r="D261" t="s">
        <v>2185</v>
      </c>
      <c r="E261" t="s">
        <v>7</v>
      </c>
      <c r="F261" t="str">
        <f>_xlfn.CONCAT(D261,", ",H261,", ",I261,", ","山西省")</f>
        <v>杜家村镇, 静乐县, 忻州市, 山西省</v>
      </c>
      <c r="G261">
        <v>12395</v>
      </c>
      <c r="H261" t="s">
        <v>2987</v>
      </c>
      <c r="I261" t="s">
        <v>2981</v>
      </c>
      <c r="J261">
        <f>VLOOKUP(F261,[1]!china_towns_second__2[[Column1]:[Y]],3,FALSE)</f>
        <v>38.595533964469901</v>
      </c>
      <c r="K261">
        <f>VLOOKUP(F261,[1]!china_towns_second__2[[Column1]:[Y]],2,FALSE)</f>
        <v>112.1579275</v>
      </c>
      <c r="L261" t="s">
        <v>3842</v>
      </c>
      <c r="M261" t="str">
        <f>VLOOKUP(H261,CHOOSE({1,2},Table12[Native],Table12[Name]),2,0)</f>
        <v>Jìnglè Xiàn</v>
      </c>
      <c r="N261" s="13" t="str">
        <f>VLOOKUP(I261,CHOOSE({1,2},Table12[Native],Table12[Name]),2,0)</f>
        <v>Xīnzhōu Shì</v>
      </c>
      <c r="O261" s="13" t="str">
        <f t="shared" si="8"/>
        <v>Dujiacun Zhen (Xīnzhōu Shì)</v>
      </c>
      <c r="P261" s="13" t="str">
        <f t="shared" si="9"/>
        <v>Dujiacun Zhen (Xīnzhōu Shì)</v>
      </c>
    </row>
    <row r="262" spans="1:16" hidden="1" x14ac:dyDescent="0.25">
      <c r="A262" t="s">
        <v>1923</v>
      </c>
      <c r="B262" t="str">
        <f>IF(COUNTIF(A:A,A262)&gt;1,_xlfn.CONCAT(A262," (",N262,")"),A262)</f>
        <v>Dùjiāoqŭ Zhèn</v>
      </c>
      <c r="C262" t="str">
        <f>IF(COUNTIF(B:B,B262)&gt;1,_xlfn.CONCAT(A262," (",M262,")"),B262)</f>
        <v>Dùjiāoqŭ Zhèn</v>
      </c>
      <c r="D262" t="s">
        <v>1924</v>
      </c>
      <c r="E262" t="s">
        <v>7</v>
      </c>
      <c r="F262" t="str">
        <f>_xlfn.CONCAT(D262,", ",H262,", ",I262,", ","山西省")</f>
        <v>杜交曲镇, 娄烦县, 太原市, 山西省</v>
      </c>
      <c r="G262">
        <v>4493</v>
      </c>
      <c r="H262" t="s">
        <v>2973</v>
      </c>
      <c r="I262" t="s">
        <v>2969</v>
      </c>
      <c r="J262">
        <f>VLOOKUP(F262,[1]!china_towns_second__2[[Column1]:[Y]],3,FALSE)</f>
        <v>38.013422634484002</v>
      </c>
      <c r="K262">
        <f>VLOOKUP(F262,[1]!china_towns_second__2[[Column1]:[Y]],2,FALSE)</f>
        <v>111.94807950000001</v>
      </c>
      <c r="L262" t="s">
        <v>3843</v>
      </c>
      <c r="M262" t="str">
        <f>VLOOKUP(H262,CHOOSE({1,2},Table12[Native],Table12[Name]),2,0)</f>
        <v>Lóufán Xiàn</v>
      </c>
      <c r="N262" s="13" t="str">
        <f>VLOOKUP(I262,CHOOSE({1,2},Table12[Native],Table12[Name]),2,0)</f>
        <v>Tàiyuán Shì</v>
      </c>
      <c r="O262" s="13" t="str">
        <f t="shared" si="8"/>
        <v>Dujiaoqu Zhen (Tàiyuán Shì)</v>
      </c>
      <c r="P262" s="13" t="str">
        <f t="shared" si="9"/>
        <v>Dujiaoqu Zhen (Tàiyuán Shì)</v>
      </c>
    </row>
    <row r="263" spans="1:16" hidden="1" x14ac:dyDescent="0.25">
      <c r="A263" t="s">
        <v>841</v>
      </c>
      <c r="B263" t="str">
        <f>IF(COUNTIF(A:A,A263)&gt;1,_xlfn.CONCAT(A263," (",N263,")"),A263)</f>
        <v>Dùjiāzhuāng Xiāng</v>
      </c>
      <c r="C263" t="str">
        <f>IF(COUNTIF(B:B,B263)&gt;1,_xlfn.CONCAT(A263," (",M263,")"),B263)</f>
        <v>Dùjiāzhuāng Xiāng</v>
      </c>
      <c r="D263" t="s">
        <v>842</v>
      </c>
      <c r="E263" t="s">
        <v>17</v>
      </c>
      <c r="F263" t="str">
        <f>_xlfn.CONCAT(D263,", ",H263,", ",I263,", ","山西省")</f>
        <v>杜家庄乡, 平遥县, 晋中市, 山西省</v>
      </c>
      <c r="G263">
        <v>17070</v>
      </c>
      <c r="H263" t="s">
        <v>2918</v>
      </c>
      <c r="I263" t="s">
        <v>2914</v>
      </c>
      <c r="J263" t="e">
        <f>VLOOKUP(F263,[1]!china_towns_second__2[[Column1]:[Y]],3,FALSE)</f>
        <v>#N/A</v>
      </c>
      <c r="K263" t="e">
        <f>VLOOKUP(F263,[1]!china_towns_second__2[[Column1]:[Y]],2,FALSE)</f>
        <v>#N/A</v>
      </c>
      <c r="L263" t="s">
        <v>3844</v>
      </c>
      <c r="M263" t="str">
        <f>VLOOKUP(H263,CHOOSE({1,2},Table12[Native],Table12[Name]),2,0)</f>
        <v>Píngyáo Xiàn</v>
      </c>
      <c r="N263" s="13" t="str">
        <f>VLOOKUP(I263,CHOOSE({1,2},Table12[Native],Table12[Name]),2,0)</f>
        <v>Jìnzhōng Shì</v>
      </c>
      <c r="O263" s="13" t="str">
        <f t="shared" si="8"/>
        <v>Dujiazhuang Xiang (Jìnzhōng Shì)</v>
      </c>
      <c r="P263" s="13" t="str">
        <f t="shared" si="9"/>
        <v>Dujiazhuang Xiang (Jìnzhōng Shì)</v>
      </c>
    </row>
    <row r="264" spans="1:16" hidden="1" x14ac:dyDescent="0.25">
      <c r="A264" t="s">
        <v>2637</v>
      </c>
      <c r="B264" t="str">
        <f>IF(COUNTIF(A:A,A264)&gt;1,_xlfn.CONCAT(A264," (",N264,")"),A264)</f>
        <v>Dùmă Xiāng</v>
      </c>
      <c r="C264" t="str">
        <f>IF(COUNTIF(B:B,B264)&gt;1,_xlfn.CONCAT(A264," (",M264,")"),B264)</f>
        <v>Dùmă Xiāng</v>
      </c>
      <c r="D264" t="s">
        <v>2638</v>
      </c>
      <c r="E264" t="s">
        <v>17</v>
      </c>
      <c r="F264" t="str">
        <f>_xlfn.CONCAT(D264,", ",H264,", ",I264,", ","山西省")</f>
        <v>杜马乡, 平陆县, 运城市, 山西省</v>
      </c>
      <c r="G264">
        <v>12765</v>
      </c>
      <c r="H264" t="s">
        <v>3008</v>
      </c>
      <c r="I264" t="s">
        <v>3003</v>
      </c>
      <c r="J264" t="e">
        <f>VLOOKUP(F264,[1]!china_towns_second__2[[Column1]:[Y]],3,FALSE)</f>
        <v>#N/A</v>
      </c>
      <c r="K264" t="e">
        <f>VLOOKUP(F264,[1]!china_towns_second__2[[Column1]:[Y]],2,FALSE)</f>
        <v>#N/A</v>
      </c>
      <c r="L264" t="s">
        <v>3845</v>
      </c>
      <c r="M264" t="str">
        <f>VLOOKUP(H264,CHOOSE({1,2},Table12[Native],Table12[Name]),2,0)</f>
        <v>Pínglù Xiàn</v>
      </c>
      <c r="N264" s="13" t="str">
        <f>VLOOKUP(I264,CHOOSE({1,2},Table12[Native],Table12[Name]),2,0)</f>
        <v>Yùnchéng Shì</v>
      </c>
      <c r="O264" s="13" t="str">
        <f t="shared" si="8"/>
        <v>Duma Xiang (Yùnchéng Shì)</v>
      </c>
      <c r="P264" s="13" t="str">
        <f t="shared" si="9"/>
        <v>Duma Xiang (Yùnchéng Shì)</v>
      </c>
    </row>
    <row r="265" spans="1:16" hidden="1" x14ac:dyDescent="0.25">
      <c r="A265" t="s">
        <v>1926</v>
      </c>
      <c r="B265" t="str">
        <f>IF(COUNTIF(A:A,A265)&gt;1,_xlfn.CONCAT(A265," (",N265,")"),A265)</f>
        <v>Dūnhuàfāng Jiēdào</v>
      </c>
      <c r="C265" t="str">
        <f>IF(COUNTIF(B:B,B265)&gt;1,_xlfn.CONCAT(A265," (",M265,")"),B265)</f>
        <v>Dūnhuàfāng Jiēdào</v>
      </c>
      <c r="D265" t="s">
        <v>1927</v>
      </c>
      <c r="E265" t="s">
        <v>31</v>
      </c>
      <c r="F265" t="str">
        <f>_xlfn.CONCAT(D265,", ",H265,", ",I265,", ","山西省")</f>
        <v>敦化坊街道, 杏花岭区, 太原市, 山西省</v>
      </c>
      <c r="G265">
        <v>79265</v>
      </c>
      <c r="H265" t="s">
        <v>2977</v>
      </c>
      <c r="I265" t="s">
        <v>2969</v>
      </c>
      <c r="J265">
        <f>VLOOKUP(F265,[1]!china_towns_second__2[[Column1]:[Y]],3,FALSE)</f>
        <v>37.900044568136003</v>
      </c>
      <c r="K265">
        <f>VLOOKUP(F265,[1]!china_towns_second__2[[Column1]:[Y]],2,FALSE)</f>
        <v>112.58189640000001</v>
      </c>
      <c r="L265" t="s">
        <v>3846</v>
      </c>
      <c r="M265" t="str">
        <f>VLOOKUP(H265,CHOOSE({1,2},Table12[Native],Table12[Name]),2,0)</f>
        <v>Xìnghuālĭng Qū</v>
      </c>
      <c r="N265" s="13" t="str">
        <f>VLOOKUP(I265,CHOOSE({1,2},Table12[Native],Table12[Name]),2,0)</f>
        <v>Tàiyuán Shì</v>
      </c>
      <c r="O265" s="13" t="str">
        <f t="shared" si="8"/>
        <v>Dunhuafang Jiedao (Tàiyuán Shì)</v>
      </c>
      <c r="P265" s="13" t="str">
        <f t="shared" si="9"/>
        <v>Dunhuafang Jiedao (Tàiyuán Shì)</v>
      </c>
    </row>
    <row r="266" spans="1:16" hidden="1" x14ac:dyDescent="0.25">
      <c r="A266" t="s">
        <v>660</v>
      </c>
      <c r="B266" t="str">
        <f>IF(COUNTIF(A:A,A266)&gt;1,_xlfn.CONCAT(A266," (",N266,")"),A266)</f>
        <v>Duóhuŏ Xiāng</v>
      </c>
      <c r="C266" t="str">
        <f>IF(COUNTIF(B:B,B266)&gt;1,_xlfn.CONCAT(A266," (",M266,")"),B266)</f>
        <v>Duóhuŏ Xiāng</v>
      </c>
      <c r="D266" t="s">
        <v>661</v>
      </c>
      <c r="E266" t="s">
        <v>17</v>
      </c>
      <c r="F266" t="str">
        <f>_xlfn.CONCAT(D266,", ",H266,", ",I266,", ","山西省")</f>
        <v>夺火乡, 陵川县, 晋城市, 山西省</v>
      </c>
      <c r="G266">
        <v>3957</v>
      </c>
      <c r="H266" t="s">
        <v>2909</v>
      </c>
      <c r="I266" t="s">
        <v>2906</v>
      </c>
      <c r="J266" t="e">
        <f>VLOOKUP(F266,[1]!china_towns_second__2[[Column1]:[Y]],3,FALSE)</f>
        <v>#N/A</v>
      </c>
      <c r="K266" t="e">
        <f>VLOOKUP(F266,[1]!china_towns_second__2[[Column1]:[Y]],2,FALSE)</f>
        <v>#N/A</v>
      </c>
      <c r="L266" t="s">
        <v>3847</v>
      </c>
      <c r="M266" t="str">
        <f>VLOOKUP(H266,CHOOSE({1,2},Table12[Native],Table12[Name]),2,0)</f>
        <v>Língchuān Xiàn</v>
      </c>
      <c r="N266" s="13" t="str">
        <f>VLOOKUP(I266,CHOOSE({1,2},Table12[Native],Table12[Name]),2,0)</f>
        <v>Jìnchéng Shì</v>
      </c>
      <c r="O266" s="13" t="str">
        <f t="shared" si="8"/>
        <v>Duohuo Xiang (Jìnchéng Shì)</v>
      </c>
      <c r="P266" s="13" t="str">
        <f t="shared" si="9"/>
        <v>Duohuo Xiang (Jìnchéng Shì)</v>
      </c>
    </row>
    <row r="267" spans="1:16" hidden="1" x14ac:dyDescent="0.25">
      <c r="A267" t="s">
        <v>373</v>
      </c>
      <c r="B267" t="str">
        <f>IF(COUNTIF(A:A,A267)&gt;1,_xlfn.CONCAT(A267," (",N267,")"),A267)</f>
        <v>Dúyù Xiāng</v>
      </c>
      <c r="C267" t="str">
        <f>IF(COUNTIF(B:B,B267)&gt;1,_xlfn.CONCAT(A267," (",M267,")"),B267)</f>
        <v>Dúyù Xiāng</v>
      </c>
      <c r="D267" t="s">
        <v>374</v>
      </c>
      <c r="E267" t="s">
        <v>17</v>
      </c>
      <c r="F267" t="str">
        <f>_xlfn.CONCAT(D267,", ",H267,", ",I267,", ","山西省")</f>
        <v>独峪乡, 灵丘县, 大同市, 山西省</v>
      </c>
      <c r="G267">
        <v>7838</v>
      </c>
      <c r="H267" t="s">
        <v>2897</v>
      </c>
      <c r="I267" t="s">
        <v>2894</v>
      </c>
      <c r="J267" t="e">
        <f>VLOOKUP(F267,[1]!china_towns_second__2[[Column1]:[Y]],3,FALSE)</f>
        <v>#N/A</v>
      </c>
      <c r="K267" t="e">
        <f>VLOOKUP(F267,[1]!china_towns_second__2[[Column1]:[Y]],2,FALSE)</f>
        <v>#N/A</v>
      </c>
      <c r="L267" t="s">
        <v>3848</v>
      </c>
      <c r="M267" t="str">
        <f>VLOOKUP(H267,CHOOSE({1,2},Table12[Native],Table12[Name]),2,0)</f>
        <v>Língqiū Xiàn</v>
      </c>
      <c r="N267" s="13" t="str">
        <f>VLOOKUP(I267,CHOOSE({1,2},Table12[Native],Table12[Name]),2,0)</f>
        <v>Dàtóng Shì</v>
      </c>
      <c r="O267" s="13" t="str">
        <f t="shared" si="8"/>
        <v>Duyu Xiang (Dàtóng Shì)</v>
      </c>
      <c r="P267" s="13" t="str">
        <f t="shared" si="9"/>
        <v>Duyu Xiang (Dàtóng Shì)</v>
      </c>
    </row>
    <row r="268" spans="1:16" hidden="1" x14ac:dyDescent="0.25">
      <c r="A268" t="s">
        <v>375</v>
      </c>
      <c r="B268" t="str">
        <f>IF(COUNTIF(A:A,A268)&gt;1,_xlfn.CONCAT(A268," (",N268,")"),A268)</f>
        <v>Dùzhuāng Xiāng</v>
      </c>
      <c r="C268" t="str">
        <f>IF(COUNTIF(B:B,B268)&gt;1,_xlfn.CONCAT(A268," (",M268,")"),B268)</f>
        <v>Dùzhuāng Xiāng</v>
      </c>
      <c r="D268" t="s">
        <v>376</v>
      </c>
      <c r="E268" t="s">
        <v>17</v>
      </c>
      <c r="F268" t="str">
        <f>_xlfn.CONCAT(D268,", ",H268,", ",I268,", ","山西省")</f>
        <v>杜庄乡, 云州区, 大同市, 山西省</v>
      </c>
      <c r="G268">
        <v>11836</v>
      </c>
      <c r="H268" t="s">
        <v>2903</v>
      </c>
      <c r="I268" t="s">
        <v>2894</v>
      </c>
      <c r="J268" t="e">
        <f>VLOOKUP(F268,[1]!china_towns_second__2[[Column1]:[Y]],3,FALSE)</f>
        <v>#N/A</v>
      </c>
      <c r="K268" t="e">
        <f>VLOOKUP(F268,[1]!china_towns_second__2[[Column1]:[Y]],2,FALSE)</f>
        <v>#N/A</v>
      </c>
      <c r="L268" t="s">
        <v>3849</v>
      </c>
      <c r="M268" t="str">
        <f>VLOOKUP(H268,CHOOSE({1,2},Table12[Native],Table12[Name]),2,0)</f>
        <v>Yúnzhōu Qū</v>
      </c>
      <c r="N268" s="13" t="str">
        <f>VLOOKUP(I268,CHOOSE({1,2},Table12[Native],Table12[Name]),2,0)</f>
        <v>Dàtóng Shì</v>
      </c>
      <c r="O268" s="13" t="str">
        <f t="shared" si="8"/>
        <v>Duzhuang Xiang (Dàtóng Shì)</v>
      </c>
      <c r="P268" s="13" t="str">
        <f t="shared" si="9"/>
        <v>Duzhuang Xiang (Dàtóng Shì)</v>
      </c>
    </row>
    <row r="269" spans="1:16" hidden="1" x14ac:dyDescent="0.25">
      <c r="A269" t="s">
        <v>2186</v>
      </c>
      <c r="B269" t="str">
        <f>IF(COUNTIF(A:A,A269)&gt;1,_xlfn.CONCAT(A269," (",N269,")"),A269)</f>
        <v>Échéng Zhèn</v>
      </c>
      <c r="C269" t="str">
        <f>IF(COUNTIF(B:B,B269)&gt;1,_xlfn.CONCAT(A269," (",M269,")"),B269)</f>
        <v>Échéng Zhèn</v>
      </c>
      <c r="D269" t="s">
        <v>2187</v>
      </c>
      <c r="E269" t="s">
        <v>7</v>
      </c>
      <c r="F269" t="str">
        <f>_xlfn.CONCAT(D269,", ",H269,", ",I269,", ","山西省")</f>
        <v>鹅城镇, 静乐县, 忻州市, 山西省</v>
      </c>
      <c r="G269">
        <v>56433</v>
      </c>
      <c r="H269" t="s">
        <v>2987</v>
      </c>
      <c r="I269" t="s">
        <v>2981</v>
      </c>
      <c r="J269">
        <f>VLOOKUP(F269,[1]!china_towns_second__2[[Column1]:[Y]],3,FALSE)</f>
        <v>38.3542585881926</v>
      </c>
      <c r="K269">
        <f>VLOOKUP(F269,[1]!china_towns_second__2[[Column1]:[Y]],2,FALSE)</f>
        <v>111.9167783</v>
      </c>
      <c r="L269" t="s">
        <v>3850</v>
      </c>
      <c r="M269" t="str">
        <f>VLOOKUP(H269,CHOOSE({1,2},Table12[Native],Table12[Name]),2,0)</f>
        <v>Jìnglè Xiàn</v>
      </c>
      <c r="N269" s="13" t="str">
        <f>VLOOKUP(I269,CHOOSE({1,2},Table12[Native],Table12[Name]),2,0)</f>
        <v>Xīnzhōu Shì</v>
      </c>
      <c r="O269" s="13" t="str">
        <f t="shared" si="8"/>
        <v>Echeng Zhen (Xīnzhōu Shì)</v>
      </c>
      <c r="P269" s="13" t="str">
        <f t="shared" si="9"/>
        <v>Echeng Zhen (Xīnzhōu Shì)</v>
      </c>
    </row>
    <row r="270" spans="1:16" hidden="1" x14ac:dyDescent="0.25">
      <c r="A270" t="s">
        <v>1472</v>
      </c>
      <c r="B270" t="str">
        <f>IF(COUNTIF(A:A,A270)&gt;1,_xlfn.CONCAT(A270," (",N270,")"),A270)</f>
        <v>Èhŭtān Xiāng</v>
      </c>
      <c r="C270" t="str">
        <f>IF(COUNTIF(B:B,B270)&gt;1,_xlfn.CONCAT(A270," (",M270,")"),B270)</f>
        <v>Èhŭtān Xiāng</v>
      </c>
      <c r="D270" t="s">
        <v>1473</v>
      </c>
      <c r="E270" t="s">
        <v>17</v>
      </c>
      <c r="F270" t="str">
        <f>_xlfn.CONCAT(D270,", ",H270,", ",I270,", ","山西省")</f>
        <v>恶虎滩乡, 兴县, 吕梁市, 山西省</v>
      </c>
      <c r="G270">
        <v>7524</v>
      </c>
      <c r="H270" t="s">
        <v>2958</v>
      </c>
      <c r="I270" t="s">
        <v>2946</v>
      </c>
      <c r="J270" t="e">
        <f>VLOOKUP(F270,[1]!china_towns_second__2[[Column1]:[Y]],3,FALSE)</f>
        <v>#N/A</v>
      </c>
      <c r="K270" t="e">
        <f>VLOOKUP(F270,[1]!china_towns_second__2[[Column1]:[Y]],2,FALSE)</f>
        <v>#N/A</v>
      </c>
      <c r="L270" t="s">
        <v>3851</v>
      </c>
      <c r="M270" t="str">
        <f>VLOOKUP(H270,CHOOSE({1,2},Table12[Native],Table12[Name]),2,0)</f>
        <v>Xīng Xiàn</v>
      </c>
      <c r="N270" s="13" t="str">
        <f>VLOOKUP(I270,CHOOSE({1,2},Table12[Native],Table12[Name]),2,0)</f>
        <v>Lǚliáng Shì</v>
      </c>
      <c r="O270" s="13" t="str">
        <f t="shared" si="8"/>
        <v>Ehutan Xiang (Lǚliáng Shì)</v>
      </c>
      <c r="P270" s="13" t="str">
        <f t="shared" si="9"/>
        <v>Ehutan Xiang (Lǚliáng Shì)</v>
      </c>
    </row>
    <row r="271" spans="1:16" hidden="1" x14ac:dyDescent="0.25">
      <c r="A271" t="s">
        <v>2188</v>
      </c>
      <c r="B271" t="str">
        <f>IF(COUNTIF(A:A,A271)&gt;1,_xlfn.CONCAT(A271," (",N271,")"),A271)</f>
        <v>Ékŏu Zhèn</v>
      </c>
      <c r="C271" t="str">
        <f>IF(COUNTIF(B:B,B271)&gt;1,_xlfn.CONCAT(A271," (",M271,")"),B271)</f>
        <v>Ékŏu Zhèn</v>
      </c>
      <c r="D271" t="s">
        <v>2189</v>
      </c>
      <c r="E271" t="s">
        <v>7</v>
      </c>
      <c r="F271" t="str">
        <f>_xlfn.CONCAT(D271,", ",H271,", ",I271,", ","山西省")</f>
        <v>峨口镇, 代县, 忻州市, 山西省</v>
      </c>
      <c r="G271">
        <v>27443</v>
      </c>
      <c r="H271" t="s">
        <v>2983</v>
      </c>
      <c r="I271" t="s">
        <v>2981</v>
      </c>
      <c r="J271">
        <f>VLOOKUP(F271,[1]!china_towns_second__2[[Column1]:[Y]],3,FALSE)</f>
        <v>39.139687181459102</v>
      </c>
      <c r="K271">
        <f>VLOOKUP(F271,[1]!china_towns_second__2[[Column1]:[Y]],2,FALSE)</f>
        <v>113.1843375</v>
      </c>
      <c r="L271" t="s">
        <v>3852</v>
      </c>
      <c r="M271" t="str">
        <f>VLOOKUP(H271,CHOOSE({1,2},Table12[Native],Table12[Name]),2,0)</f>
        <v>Dài Xiàn</v>
      </c>
      <c r="N271" s="13" t="str">
        <f>VLOOKUP(I271,CHOOSE({1,2},Table12[Native],Table12[Name]),2,0)</f>
        <v>Xīnzhōu Shì</v>
      </c>
      <c r="O271" s="13" t="str">
        <f t="shared" si="8"/>
        <v>Ekou Zhen (Xīnzhōu Shì)</v>
      </c>
      <c r="P271" s="13" t="str">
        <f t="shared" si="9"/>
        <v>Ekou Zhen (Xīnzhōu Shì)</v>
      </c>
    </row>
    <row r="272" spans="1:16" hidden="1" x14ac:dyDescent="0.25">
      <c r="A272" t="s">
        <v>82</v>
      </c>
      <c r="B272" t="str">
        <f>IF(COUNTIF(A:A,A272)&gt;1,_xlfn.CONCAT(A272," (",N272,")"),A272)</f>
        <v>Éwū Xiāng</v>
      </c>
      <c r="C272" t="str">
        <f>IF(COUNTIF(B:B,B272)&gt;1,_xlfn.CONCAT(A272," (",M272,")"),B272)</f>
        <v>Éwū Xiāng</v>
      </c>
      <c r="D272" t="s">
        <v>83</v>
      </c>
      <c r="E272" t="s">
        <v>17</v>
      </c>
      <c r="F272" t="str">
        <f>_xlfn.CONCAT(D272,", ",H272,", ",I272,", ","山西省")</f>
        <v>鹅屋乡, 壶关县, 长治市, 山西省</v>
      </c>
      <c r="G272">
        <v>7818</v>
      </c>
      <c r="H272" t="s">
        <v>2881</v>
      </c>
      <c r="I272" t="s">
        <v>2878</v>
      </c>
      <c r="J272" t="e">
        <f>VLOOKUP(F272,[1]!china_towns_second__2[[Column1]:[Y]],3,FALSE)</f>
        <v>#N/A</v>
      </c>
      <c r="K272" t="e">
        <f>VLOOKUP(F272,[1]!china_towns_second__2[[Column1]:[Y]],2,FALSE)</f>
        <v>#N/A</v>
      </c>
      <c r="L272" t="s">
        <v>3853</v>
      </c>
      <c r="M272" t="str">
        <f>VLOOKUP(H272,CHOOSE({1,2},Table12[Native],Table12[Name]),2,0)</f>
        <v>Húguān Xiàn</v>
      </c>
      <c r="N272" s="13" t="str">
        <f>VLOOKUP(I272,CHOOSE({1,2},Table12[Native],Table12[Name]),2,0)</f>
        <v>Chángzhì Shì</v>
      </c>
      <c r="O272" s="13" t="str">
        <f t="shared" si="8"/>
        <v>Ewu Xiang (Chángzhì Shì)</v>
      </c>
      <c r="P272" s="13" t="str">
        <f t="shared" si="9"/>
        <v>Ewu Xiang (Chángzhì Shì)</v>
      </c>
    </row>
    <row r="273" spans="1:16" hidden="1" x14ac:dyDescent="0.25">
      <c r="A273" t="s">
        <v>2191</v>
      </c>
      <c r="B273" t="str">
        <f>IF(COUNTIF(A:A,A273)&gt;1,_xlfn.CONCAT(A273," (",N273,")"),A273)</f>
        <v>Fánchéng Zhèn [incl. Fánzhì Xiàn Chéng Jūmín]</v>
      </c>
      <c r="C273" t="str">
        <f>IF(COUNTIF(B:B,B273)&gt;1,_xlfn.CONCAT(A273," (",M273,")"),B273)</f>
        <v>Fánchéng Zhèn [incl. Fánzhì Xiàn Chéng Jūmín]</v>
      </c>
      <c r="D273" t="s">
        <v>2192</v>
      </c>
      <c r="E273" t="s">
        <v>7</v>
      </c>
      <c r="F273" t="str">
        <f>_xlfn.CONCAT(D273,", ",H273,", ",I273,", ","山西省")</f>
        <v>繁城镇, 繁峙县, 忻州市, 山西省</v>
      </c>
      <c r="G273">
        <v>76088</v>
      </c>
      <c r="H273" t="s">
        <v>2985</v>
      </c>
      <c r="I273" t="s">
        <v>2981</v>
      </c>
      <c r="J273">
        <f>VLOOKUP(F273,[1]!china_towns_second__2[[Column1]:[Y]],3,FALSE)</f>
        <v>39.242874675062097</v>
      </c>
      <c r="K273">
        <f>VLOOKUP(F273,[1]!china_towns_second__2[[Column1]:[Y]],2,FALSE)</f>
        <v>113.2490758</v>
      </c>
      <c r="L273" t="s">
        <v>3854</v>
      </c>
      <c r="M273" t="str">
        <f>VLOOKUP(H273,CHOOSE({1,2},Table12[Native],Table12[Name]),2,0)</f>
        <v>Fánshì Xiàn</v>
      </c>
      <c r="N273" s="13" t="str">
        <f>VLOOKUP(I273,CHOOSE({1,2},Table12[Native],Table12[Name]),2,0)</f>
        <v>Xīnzhōu Shì</v>
      </c>
      <c r="O273" s="13" t="str">
        <f t="shared" si="8"/>
        <v>Fancheng Zhen [incl. Fanzhi Xian Cheng Jumin] (Xīnzhōu Shì)</v>
      </c>
      <c r="P273" s="13" t="str">
        <f t="shared" si="9"/>
        <v>Fancheng Zhen [incl. Fanzhi Xian Cheng Jumin] (Xīnzhōu Shì)</v>
      </c>
    </row>
    <row r="274" spans="1:16" x14ac:dyDescent="0.25">
      <c r="A274" t="s">
        <v>2639</v>
      </c>
      <c r="B274" t="str">
        <f>IF(COUNTIF(A:A,A274)&gt;1,_xlfn.CONCAT(A274," (",N274,")"),A274)</f>
        <v>Fáncūn Zhèn</v>
      </c>
      <c r="C274" t="str">
        <f>IF(COUNTIF(B:B,B274)&gt;1,_xlfn.CONCAT(A274," (",M274,")"),B274)</f>
        <v>Fáncūn Zhèn</v>
      </c>
      <c r="D274" t="s">
        <v>2640</v>
      </c>
      <c r="E274" t="s">
        <v>7</v>
      </c>
      <c r="F274" t="str">
        <f>_xlfn.CONCAT(D274,", ",H274,", ",I274,", ","山西省")</f>
        <v>樊村镇, 河津市, 运城市, 山西省</v>
      </c>
      <c r="G274">
        <v>48201</v>
      </c>
      <c r="H274" t="s">
        <v>3004</v>
      </c>
      <c r="I274" t="s">
        <v>3003</v>
      </c>
      <c r="J274">
        <f>VLOOKUP(F274,[1]!china_towns_second__2[[Column1]:[Y]],3,FALSE)</f>
        <v>35.6968614255399</v>
      </c>
      <c r="K274">
        <f>VLOOKUP(F274,[1]!china_towns_second__2[[Column1]:[Y]],2,FALSE)</f>
        <v>110.7032428</v>
      </c>
      <c r="L274" t="s">
        <v>3855</v>
      </c>
      <c r="M274" t="str">
        <f>VLOOKUP(H274,CHOOSE({1,2},Table12[Native],Table12[Name]),2,0)</f>
        <v>Héjīn Shì</v>
      </c>
      <c r="N274" s="13" t="str">
        <f>VLOOKUP(I274,CHOOSE({1,2},Table12[Native],Table12[Name]),2,0)</f>
        <v>Yùnchéng Shì</v>
      </c>
      <c r="O274" s="13" t="str">
        <f t="shared" si="8"/>
        <v>Fancun Zhen (Yùnchéng Shì)</v>
      </c>
      <c r="P274" s="13" t="str">
        <f t="shared" si="9"/>
        <v>Fancun Zhen (Yùnchéng Shì)</v>
      </c>
    </row>
    <row r="275" spans="1:16" x14ac:dyDescent="0.25">
      <c r="A275" t="s">
        <v>843</v>
      </c>
      <c r="B275" t="str">
        <f>IF(COUNTIF(A:A,A275)&gt;1,_xlfn.CONCAT(A275," (",N275,")"),A275)</f>
        <v>Fàncūn Zhèn</v>
      </c>
      <c r="C275" t="str">
        <f>IF(COUNTIF(B:B,B275)&gt;1,_xlfn.CONCAT(A275," (",M275,")"),B275)</f>
        <v>Fàncūn Zhèn</v>
      </c>
      <c r="D275" t="s">
        <v>844</v>
      </c>
      <c r="E275" t="s">
        <v>7</v>
      </c>
      <c r="F275" t="str">
        <f>_xlfn.CONCAT(D275,", ",H275,", ",I275,", ","山西省")</f>
        <v>范村镇, 太谷区, 晋中市, 山西省</v>
      </c>
      <c r="G275">
        <v>13230</v>
      </c>
      <c r="H275" t="s">
        <v>2921</v>
      </c>
      <c r="I275" t="s">
        <v>2914</v>
      </c>
      <c r="J275">
        <f>VLOOKUP(F275,[1]!china_towns_second__2[[Column1]:[Y]],3,FALSE)</f>
        <v>37.421449559000997</v>
      </c>
      <c r="K275">
        <f>VLOOKUP(F275,[1]!china_towns_second__2[[Column1]:[Y]],2,FALSE)</f>
        <v>112.8818505</v>
      </c>
      <c r="L275" t="s">
        <v>3855</v>
      </c>
      <c r="M275" t="str">
        <f>VLOOKUP(H275,CHOOSE({1,2},Table12[Native],Table12[Name]),2,0)</f>
        <v>Tàigŭ Qū</v>
      </c>
      <c r="N275" s="13" t="str">
        <f>VLOOKUP(I275,CHOOSE({1,2},Table12[Native],Table12[Name]),2,0)</f>
        <v>Jìnzhōng Shì</v>
      </c>
      <c r="O275" s="13" t="str">
        <f t="shared" si="8"/>
        <v>Fancun Zhen (Jìnzhōng Shì)</v>
      </c>
      <c r="P275" s="13" t="str">
        <f t="shared" si="9"/>
        <v>Fancun Zhen (Jìnzhōng Shì)</v>
      </c>
    </row>
    <row r="276" spans="1:16" hidden="1" x14ac:dyDescent="0.25">
      <c r="A276" t="s">
        <v>662</v>
      </c>
      <c r="B276" t="str">
        <f>IF(COUNTIF(A:A,A276)&gt;1,_xlfn.CONCAT(A276," (",N276,")"),A276)</f>
        <v>Fáncūnhé Xiāng</v>
      </c>
      <c r="C276" t="str">
        <f>IF(COUNTIF(B:B,B276)&gt;1,_xlfn.CONCAT(A276," (",M276,")"),B276)</f>
        <v>Fáncūnhé Xiāng</v>
      </c>
      <c r="D276" t="s">
        <v>663</v>
      </c>
      <c r="E276" t="s">
        <v>17</v>
      </c>
      <c r="F276" t="str">
        <f>_xlfn.CONCAT(D276,", ",H276,", ",I276,", ","山西省")</f>
        <v>樊村河乡, 沁水县, 晋城市, 山西省</v>
      </c>
      <c r="G276">
        <v>1153</v>
      </c>
      <c r="H276" t="s">
        <v>2910</v>
      </c>
      <c r="I276" t="s">
        <v>2906</v>
      </c>
      <c r="J276" t="e">
        <f>VLOOKUP(F276,[1]!china_towns_second__2[[Column1]:[Y]],3,FALSE)</f>
        <v>#N/A</v>
      </c>
      <c r="K276" t="e">
        <f>VLOOKUP(F276,[1]!china_towns_second__2[[Column1]:[Y]],2,FALSE)</f>
        <v>#N/A</v>
      </c>
      <c r="L276" t="s">
        <v>3856</v>
      </c>
      <c r="M276" t="str">
        <f>VLOOKUP(H276,CHOOSE({1,2},Table12[Native],Table12[Name]),2,0)</f>
        <v>Qìnshuǐ Xiàn</v>
      </c>
      <c r="N276" s="13" t="str">
        <f>VLOOKUP(I276,CHOOSE({1,2},Table12[Native],Table12[Name]),2,0)</f>
        <v>Jìnchéng Shì</v>
      </c>
      <c r="O276" s="13" t="str">
        <f t="shared" si="8"/>
        <v>Fancunhe Xiang (Jìnchéng Shì)</v>
      </c>
      <c r="P276" s="13" t="str">
        <f t="shared" si="9"/>
        <v>Fancunhe Xiang (Jìnchéng Shì)</v>
      </c>
    </row>
    <row r="277" spans="1:16" hidden="1" x14ac:dyDescent="0.25">
      <c r="A277" t="s">
        <v>84</v>
      </c>
      <c r="B277" t="str">
        <f>IF(COUNTIF(A:A,A277)&gt;1,_xlfn.CONCAT(A277," (",N277,")"),A277)</f>
        <v>Făzhōng Xiāng</v>
      </c>
      <c r="C277" t="str">
        <f>IF(COUNTIF(B:B,B277)&gt;1,_xlfn.CONCAT(A277," (",M277,")"),B277)</f>
        <v>Făzhōng Xiāng</v>
      </c>
      <c r="D277" t="s">
        <v>85</v>
      </c>
      <c r="E277" t="s">
        <v>17</v>
      </c>
      <c r="F277" t="str">
        <f>_xlfn.CONCAT(D277,", ",H277,", ",I277,", ","山西省")</f>
        <v>法中乡, 沁源县, 长治市, 山西省</v>
      </c>
      <c r="G277">
        <v>7717</v>
      </c>
      <c r="H277" t="s">
        <v>2888</v>
      </c>
      <c r="I277" t="s">
        <v>2878</v>
      </c>
      <c r="J277" t="e">
        <f>VLOOKUP(F277,[1]!china_towns_second__2[[Column1]:[Y]],3,FALSE)</f>
        <v>#N/A</v>
      </c>
      <c r="K277" t="e">
        <f>VLOOKUP(F277,[1]!china_towns_second__2[[Column1]:[Y]],2,FALSE)</f>
        <v>#N/A</v>
      </c>
      <c r="L277" t="s">
        <v>3857</v>
      </c>
      <c r="M277" t="str">
        <f>VLOOKUP(H277,CHOOSE({1,2},Table12[Native],Table12[Name]),2,0)</f>
        <v>Qìnyuán Xiàn</v>
      </c>
      <c r="N277" s="13" t="str">
        <f>VLOOKUP(I277,CHOOSE({1,2},Table12[Native],Table12[Name]),2,0)</f>
        <v>Chángzhì Shì</v>
      </c>
      <c r="O277" s="13" t="str">
        <f t="shared" si="8"/>
        <v>Fazhong Xiang (Chángzhì Shì)</v>
      </c>
      <c r="P277" s="13" t="str">
        <f t="shared" si="9"/>
        <v>Fazhong Xiang (Chángzhì Shì)</v>
      </c>
    </row>
    <row r="278" spans="1:16" hidden="1" x14ac:dyDescent="0.25">
      <c r="A278" t="s">
        <v>1129</v>
      </c>
      <c r="B278" t="str">
        <f>IF(COUNTIF(A:A,A278)&gt;1,_xlfn.CONCAT(A278," (",N278,")"),A278)</f>
        <v>Fénchéng Zhèn</v>
      </c>
      <c r="C278" t="str">
        <f>IF(COUNTIF(B:B,B278)&gt;1,_xlfn.CONCAT(A278," (",M278,")"),B278)</f>
        <v>Fénchéng Zhèn</v>
      </c>
      <c r="D278" t="s">
        <v>1130</v>
      </c>
      <c r="E278" t="s">
        <v>7</v>
      </c>
      <c r="F278" t="str">
        <f>_xlfn.CONCAT(D278,", ",H278,", ",I278,", ","山西省")</f>
        <v>汾城镇, 襄汾县, 临汾市, 山西省</v>
      </c>
      <c r="G278">
        <v>51380</v>
      </c>
      <c r="H278" t="s">
        <v>2939</v>
      </c>
      <c r="I278" t="s">
        <v>2927</v>
      </c>
      <c r="J278">
        <f>VLOOKUP(F278,[1]!china_towns_second__2[[Column1]:[Y]],3,FALSE)</f>
        <v>35.820951351763597</v>
      </c>
      <c r="K278">
        <f>VLOOKUP(F278,[1]!china_towns_second__2[[Column1]:[Y]],2,FALSE)</f>
        <v>111.2175057</v>
      </c>
      <c r="L278" t="s">
        <v>3858</v>
      </c>
      <c r="M278" t="str">
        <f>VLOOKUP(H278,CHOOSE({1,2},Table12[Native],Table12[Name]),2,0)</f>
        <v>Xiāngfén Xiàn</v>
      </c>
      <c r="N278" s="13" t="str">
        <f>VLOOKUP(I278,CHOOSE({1,2},Table12[Native],Table12[Name]),2,0)</f>
        <v>Línfén Shì</v>
      </c>
      <c r="O278" s="13" t="str">
        <f t="shared" si="8"/>
        <v>Fencheng Zhen (Línfén Shì)</v>
      </c>
      <c r="P278" s="13" t="str">
        <f t="shared" si="9"/>
        <v>Fencheng Zhen (Línfén Shì)</v>
      </c>
    </row>
    <row r="279" spans="1:16" hidden="1" x14ac:dyDescent="0.25">
      <c r="A279" t="s">
        <v>1131</v>
      </c>
      <c r="B279" t="str">
        <f>IF(COUNTIF(A:A,A279)&gt;1,_xlfn.CONCAT(A279," (",N279,")"),A279)</f>
        <v>Fèngchéng Xiāng</v>
      </c>
      <c r="C279" t="str">
        <f>IF(COUNTIF(B:B,B279)&gt;1,_xlfn.CONCAT(A279," (",M279,")"),B279)</f>
        <v>Fèngchéng Xiāng</v>
      </c>
      <c r="D279" t="s">
        <v>1132</v>
      </c>
      <c r="E279" t="s">
        <v>17</v>
      </c>
      <c r="F279" t="str">
        <f>_xlfn.CONCAT(D279,", ",H279,", ",I279,", ","山西省")</f>
        <v>凤城乡, 侯马市, 临汾市, 山西省</v>
      </c>
      <c r="G279">
        <v>17573</v>
      </c>
      <c r="H279" t="s">
        <v>2934</v>
      </c>
      <c r="I279" t="s">
        <v>2927</v>
      </c>
      <c r="J279" t="e">
        <f>VLOOKUP(F279,[1]!china_towns_second__2[[Column1]:[Y]],3,FALSE)</f>
        <v>#N/A</v>
      </c>
      <c r="K279" t="e">
        <f>VLOOKUP(F279,[1]!china_towns_second__2[[Column1]:[Y]],2,FALSE)</f>
        <v>#N/A</v>
      </c>
      <c r="L279" t="s">
        <v>3859</v>
      </c>
      <c r="M279" t="str">
        <f>VLOOKUP(H279,CHOOSE({1,2},Table12[Native],Table12[Name]),2,0)</f>
        <v>Hòumă Shì</v>
      </c>
      <c r="N279" s="13" t="str">
        <f>VLOOKUP(I279,CHOOSE({1,2},Table12[Native],Table12[Name]),2,0)</f>
        <v>Línfén Shì</v>
      </c>
      <c r="O279" s="13" t="str">
        <f t="shared" si="8"/>
        <v>Fengcheng Xiang (Línfén Shì)</v>
      </c>
      <c r="P279" s="13" t="str">
        <f t="shared" si="9"/>
        <v>Fengcheng Xiang (Línfén Shì)</v>
      </c>
    </row>
    <row r="280" spans="1:16" hidden="1" x14ac:dyDescent="0.25">
      <c r="A280" t="s">
        <v>664</v>
      </c>
      <c r="B280" t="str">
        <f>IF(COUNTIF(A:A,A280)&gt;1,_xlfn.CONCAT(A280," (",N280,")"),A280)</f>
        <v>Fèngchéng Zhèn (Jìnchéng Shì)</v>
      </c>
      <c r="C280" t="str">
        <f>IF(COUNTIF(B:B,B280)&gt;1,_xlfn.CONCAT(A280," (",M280,")"),B280)</f>
        <v>Fèngchéng Zhèn (Jìnchéng Shì)</v>
      </c>
      <c r="D280" t="s">
        <v>665</v>
      </c>
      <c r="E280" t="s">
        <v>7</v>
      </c>
      <c r="F280" t="str">
        <f>_xlfn.CONCAT(D280,", ",H280,", ",I280,", ","山西省")</f>
        <v>凤城镇, 阳城县, 晋城市, 山西省</v>
      </c>
      <c r="G280">
        <v>126960</v>
      </c>
      <c r="H280" t="s">
        <v>2911</v>
      </c>
      <c r="I280" t="s">
        <v>2906</v>
      </c>
      <c r="J280">
        <f>VLOOKUP(F280,[1]!china_towns_second__2[[Column1]:[Y]],3,FALSE)</f>
        <v>35.406111370624899</v>
      </c>
      <c r="K280">
        <f>VLOOKUP(F280,[1]!china_towns_second__2[[Column1]:[Y]],2,FALSE)</f>
        <v>112.3872794</v>
      </c>
      <c r="L280" t="s">
        <v>3860</v>
      </c>
      <c r="M280" t="str">
        <f>VLOOKUP(H280,CHOOSE({1,2},Table12[Native],Table12[Name]),2,0)</f>
        <v>Yángchéng Xiàn</v>
      </c>
      <c r="N280" s="13" t="str">
        <f>VLOOKUP(I280,CHOOSE({1,2},Table12[Native],Table12[Name]),2,0)</f>
        <v>Jìnchéng Shì</v>
      </c>
      <c r="O280" s="13" t="str">
        <f t="shared" si="8"/>
        <v>Fengcheng Zhen (Jincheng Shi) (Jìnchéng Shì)</v>
      </c>
      <c r="P280" s="13" t="str">
        <f t="shared" si="9"/>
        <v>Fengcheng Zhen (Jincheng Shi) (Jìnchéng Shì)</v>
      </c>
    </row>
    <row r="281" spans="1:16" hidden="1" x14ac:dyDescent="0.25">
      <c r="A281" t="s">
        <v>664</v>
      </c>
      <c r="B281" t="str">
        <f>IF(COUNTIF(A:A,A281)&gt;1,_xlfn.CONCAT(A281," (",N281,")"),A281)</f>
        <v>Fèngchéng Zhèn (Lǚliáng Shì)</v>
      </c>
      <c r="C281" t="str">
        <f>IF(COUNTIF(B:B,B281)&gt;1,_xlfn.CONCAT(A281," (",M281,")"),B281)</f>
        <v>Fèngchéng Zhèn (Lǚliáng Shì)</v>
      </c>
      <c r="D281" t="s">
        <v>665</v>
      </c>
      <c r="E281" t="s">
        <v>7</v>
      </c>
      <c r="F281" t="str">
        <f>_xlfn.CONCAT(D281,", ",H281,", ",I281,", ","山西省")</f>
        <v>凤城镇, 文水县, 吕梁市, 山西省</v>
      </c>
      <c r="G281">
        <v>128571</v>
      </c>
      <c r="H281" t="s">
        <v>2956</v>
      </c>
      <c r="I281" t="s">
        <v>2946</v>
      </c>
      <c r="J281">
        <f>VLOOKUP(F281,[1]!china_towns_second__2[[Column1]:[Y]],3,FALSE)</f>
        <v>37.467172440337499</v>
      </c>
      <c r="K281">
        <f>VLOOKUP(F281,[1]!china_towns_second__2[[Column1]:[Y]],2,FALSE)</f>
        <v>112.0011667</v>
      </c>
      <c r="L281" t="s">
        <v>3861</v>
      </c>
      <c r="M281" t="str">
        <f>VLOOKUP(H281,CHOOSE({1,2},Table12[Native],Table12[Name]),2,0)</f>
        <v>Wénshuĭ Xiàn</v>
      </c>
      <c r="N281" s="13" t="str">
        <f>VLOOKUP(I281,CHOOSE({1,2},Table12[Native],Table12[Name]),2,0)</f>
        <v>Lǚliáng Shì</v>
      </c>
      <c r="O281" s="13" t="str">
        <f t="shared" si="8"/>
        <v>Fengcheng Zhen (Luliang Shi) (Lǚliáng Shì)</v>
      </c>
      <c r="P281" s="13" t="str">
        <f t="shared" si="9"/>
        <v>Fengcheng Zhen (Luliang Shi) (Lǚliáng Shì)</v>
      </c>
    </row>
    <row r="282" spans="1:16" hidden="1" x14ac:dyDescent="0.25">
      <c r="A282" t="s">
        <v>2641</v>
      </c>
      <c r="B282" t="str">
        <f>IF(COUNTIF(A:A,A282)&gt;1,_xlfn.CONCAT(A282," (",N282,")"),A282)</f>
        <v>Féngcūn Xiāng</v>
      </c>
      <c r="C282" t="str">
        <f>IF(COUNTIF(B:B,B282)&gt;1,_xlfn.CONCAT(A282," (",M282,")"),B282)</f>
        <v>Féngcūn Xiāng</v>
      </c>
      <c r="D282" t="s">
        <v>2642</v>
      </c>
      <c r="E282" t="s">
        <v>17</v>
      </c>
      <c r="F282" t="str">
        <f>_xlfn.CONCAT(D282,", ",H282,", ",I282,", ","山西省")</f>
        <v>冯村乡, 盐湖区, 运城市, 山西省</v>
      </c>
      <c r="G282">
        <v>15627</v>
      </c>
      <c r="H282" t="s">
        <v>3014</v>
      </c>
      <c r="I282" t="s">
        <v>3003</v>
      </c>
      <c r="J282" t="e">
        <f>VLOOKUP(F282,[1]!china_towns_second__2[[Column1]:[Y]],3,FALSE)</f>
        <v>#N/A</v>
      </c>
      <c r="K282" t="e">
        <f>VLOOKUP(F282,[1]!china_towns_second__2[[Column1]:[Y]],2,FALSE)</f>
        <v>#N/A</v>
      </c>
      <c r="L282" t="s">
        <v>3862</v>
      </c>
      <c r="M282" t="str">
        <f>VLOOKUP(H282,CHOOSE({1,2},Table12[Native],Table12[Name]),2,0)</f>
        <v>Yánhú Qū</v>
      </c>
      <c r="N282" s="13" t="str">
        <f>VLOOKUP(I282,CHOOSE({1,2},Table12[Native],Table12[Name]),2,0)</f>
        <v>Yùnchéng Shì</v>
      </c>
      <c r="O282" s="13" t="str">
        <f t="shared" si="8"/>
        <v>Fengcun Xiang (Yùnchéng Shì)</v>
      </c>
      <c r="P282" s="13" t="str">
        <f t="shared" si="9"/>
        <v>Fengcun Xiang (Yùnchéng Shì)</v>
      </c>
    </row>
    <row r="283" spans="1:16" hidden="1" x14ac:dyDescent="0.25">
      <c r="A283" t="s">
        <v>2193</v>
      </c>
      <c r="B283" t="str">
        <f>IF(COUNTIF(A:A,A283)&gt;1,_xlfn.CONCAT(A283," (",N283,")"),A283)</f>
        <v>Fènghuáng Zhèn</v>
      </c>
      <c r="C283" t="str">
        <f>IF(COUNTIF(B:B,B283)&gt;1,_xlfn.CONCAT(A283," (",M283,")"),B283)</f>
        <v>Fènghuáng Zhèn</v>
      </c>
      <c r="D283" t="s">
        <v>2194</v>
      </c>
      <c r="E283" t="s">
        <v>7</v>
      </c>
      <c r="F283" t="str">
        <f>_xlfn.CONCAT(D283,", ",H283,", ",I283,", ","山西省")</f>
        <v>凤凰镇, 宁武县, 忻州市, 山西省</v>
      </c>
      <c r="G283">
        <v>21067</v>
      </c>
      <c r="H283" t="s">
        <v>2989</v>
      </c>
      <c r="I283" t="s">
        <v>2981</v>
      </c>
      <c r="J283">
        <f>VLOOKUP(F283,[1]!china_towns_second__2[[Column1]:[Y]],3,FALSE)</f>
        <v>38.999495655043702</v>
      </c>
      <c r="K283">
        <f>VLOOKUP(F283,[1]!china_towns_second__2[[Column1]:[Y]],2,FALSE)</f>
        <v>112.3104927</v>
      </c>
      <c r="L283" t="s">
        <v>3863</v>
      </c>
      <c r="M283" t="str">
        <f>VLOOKUP(H283,CHOOSE({1,2},Table12[Native],Table12[Name]),2,0)</f>
        <v>Níngwŭ Xiàn</v>
      </c>
      <c r="N283" s="13" t="str">
        <f>VLOOKUP(I283,CHOOSE({1,2},Table12[Native],Table12[Name]),2,0)</f>
        <v>Xīnzhōu Shì</v>
      </c>
      <c r="O283" s="13" t="str">
        <f t="shared" si="8"/>
        <v>Fenghuang Zhen (Xīnzhōu Shì)</v>
      </c>
      <c r="P283" s="13" t="str">
        <f t="shared" si="9"/>
        <v>Fenghuang Zhen (Xīnzhōu Shì)</v>
      </c>
    </row>
    <row r="284" spans="1:16" hidden="1" x14ac:dyDescent="0.25">
      <c r="A284" t="s">
        <v>1761</v>
      </c>
      <c r="B284" t="str">
        <f>IF(COUNTIF(A:A,A284)&gt;1,_xlfn.CONCAT(A284," (",N284,")"),A284)</f>
        <v>Fènghuángchéng Zhèn</v>
      </c>
      <c r="C284" t="str">
        <f>IF(COUNTIF(B:B,B284)&gt;1,_xlfn.CONCAT(A284," (",M284,")"),B284)</f>
        <v>Fènghuángchéng Zhèn</v>
      </c>
      <c r="D284" t="s">
        <v>1762</v>
      </c>
      <c r="E284" t="s">
        <v>7</v>
      </c>
      <c r="F284" t="str">
        <f>_xlfn.CONCAT(D284,", ",H284,", ",I284,", ","山西省")</f>
        <v>凤凰城镇, 平鲁区, 朔州市, 山西省</v>
      </c>
      <c r="G284">
        <v>5622</v>
      </c>
      <c r="H284" t="s">
        <v>2963</v>
      </c>
      <c r="I284" t="s">
        <v>2961</v>
      </c>
      <c r="J284">
        <f>VLOOKUP(F284,[1]!china_towns_second__2[[Column1]:[Y]],3,FALSE)</f>
        <v>39.773423649263201</v>
      </c>
      <c r="K284">
        <f>VLOOKUP(F284,[1]!china_towns_second__2[[Column1]:[Y]],2,FALSE)</f>
        <v>112.2005755</v>
      </c>
      <c r="L284" t="s">
        <v>3864</v>
      </c>
      <c r="M284" t="str">
        <f>VLOOKUP(H284,CHOOSE({1,2},Table12[Native],Table12[Name]),2,0)</f>
        <v>Pínglŭ Qū</v>
      </c>
      <c r="N284" s="13" t="str">
        <f>VLOOKUP(I284,CHOOSE({1,2},Table12[Native],Table12[Name]),2,0)</f>
        <v>Shuòzhōu Shì</v>
      </c>
      <c r="O284" s="13" t="str">
        <f t="shared" si="8"/>
        <v>Fenghuangcheng Zhen (Shuòzhōu Shì)</v>
      </c>
      <c r="P284" s="13" t="str">
        <f t="shared" si="9"/>
        <v>Fenghuangcheng Zhen (Shuòzhōu Shì)</v>
      </c>
    </row>
    <row r="285" spans="1:16" hidden="1" x14ac:dyDescent="0.25">
      <c r="A285" t="s">
        <v>2195</v>
      </c>
      <c r="B285" t="str">
        <f>IF(COUNTIF(A:A,A285)&gt;1,_xlfn.CONCAT(A285," (",N285,")"),A285)</f>
        <v>Féngjiāchuān Xiāng</v>
      </c>
      <c r="C285" t="str">
        <f>IF(COUNTIF(B:B,B285)&gt;1,_xlfn.CONCAT(A285," (",M285,")"),B285)</f>
        <v>Féngjiāchuān Xiāng</v>
      </c>
      <c r="D285" t="s">
        <v>2196</v>
      </c>
      <c r="E285" t="s">
        <v>17</v>
      </c>
      <c r="F285" t="str">
        <f>_xlfn.CONCAT(D285,", ",H285,", ",I285,", ","山西省")</f>
        <v>冯家川乡, 保德县, 忻州市, 山西省</v>
      </c>
      <c r="G285">
        <v>3901</v>
      </c>
      <c r="H285" t="s">
        <v>2982</v>
      </c>
      <c r="I285" t="s">
        <v>2981</v>
      </c>
      <c r="J285" t="e">
        <f>VLOOKUP(F285,[1]!china_towns_second__2[[Column1]:[Y]],3,FALSE)</f>
        <v>#N/A</v>
      </c>
      <c r="K285" t="e">
        <f>VLOOKUP(F285,[1]!china_towns_second__2[[Column1]:[Y]],2,FALSE)</f>
        <v>#N/A</v>
      </c>
      <c r="L285" t="s">
        <v>3865</v>
      </c>
      <c r="M285" t="str">
        <f>VLOOKUP(H285,CHOOSE({1,2},Table12[Native],Table12[Name]),2,0)</f>
        <v>Băodé Xiàn</v>
      </c>
      <c r="N285" s="13" t="str">
        <f>VLOOKUP(I285,CHOOSE({1,2},Table12[Native],Table12[Name]),2,0)</f>
        <v>Xīnzhōu Shì</v>
      </c>
      <c r="O285" s="13" t="str">
        <f t="shared" si="8"/>
        <v>Fengjiachuan Xiang (Xīnzhōu Shì)</v>
      </c>
      <c r="P285" s="13" t="str">
        <f t="shared" si="9"/>
        <v>Fengjiachuan Xiang (Xīnzhōu Shì)</v>
      </c>
    </row>
    <row r="286" spans="1:16" hidden="1" x14ac:dyDescent="0.25">
      <c r="A286" t="s">
        <v>2643</v>
      </c>
      <c r="B286" t="str">
        <f>IF(COUNTIF(A:A,A286)&gt;1,_xlfn.CONCAT(A286," (",N286,")"),A286)</f>
        <v>Fēnglíngdù Jīngjì Kāifāqū [Fenglingdu Economic Development Zone]</v>
      </c>
      <c r="C286" t="str">
        <f>IF(COUNTIF(B:B,B286)&gt;1,_xlfn.CONCAT(A286," (",M286,")"),B286)</f>
        <v>Fēnglíngdù Jīngjì Kāifāqū [Fenglingdu Economic Development Zone]</v>
      </c>
      <c r="D286" t="s">
        <v>2644</v>
      </c>
      <c r="E286" t="s">
        <v>35</v>
      </c>
      <c r="F286" t="str">
        <f>_xlfn.CONCAT(D286,", ",H286,", ",I286,", ","山西省")</f>
        <v>风陵渡经济开发区, 芮城县, 运城市, 山西省</v>
      </c>
      <c r="G286">
        <v>12189</v>
      </c>
      <c r="H286" t="s">
        <v>3009</v>
      </c>
      <c r="I286" t="s">
        <v>3003</v>
      </c>
      <c r="J286">
        <f>VLOOKUP(F286,[1]!china_towns_second__2[[Column1]:[Y]],3,FALSE)</f>
        <v>34.638521344135299</v>
      </c>
      <c r="K286">
        <f>VLOOKUP(F286,[1]!china_towns_second__2[[Column1]:[Y]],2,FALSE)</f>
        <v>110.3157875</v>
      </c>
      <c r="L286" t="s">
        <v>3866</v>
      </c>
      <c r="M286" t="str">
        <f>VLOOKUP(H286,CHOOSE({1,2},Table12[Native],Table12[Name]),2,0)</f>
        <v>Ruìchéng Xiàn</v>
      </c>
      <c r="N286" s="13" t="str">
        <f>VLOOKUP(I286,CHOOSE({1,2},Table12[Native],Table12[Name]),2,0)</f>
        <v>Yùnchéng Shì</v>
      </c>
      <c r="O286" s="13" t="str">
        <f t="shared" si="8"/>
        <v>Fenglingdu Jingji Kaifaqu [Fenglingdu Economic Development Zone] (Yùnchéng Shì)</v>
      </c>
      <c r="P286" s="13" t="str">
        <f t="shared" si="9"/>
        <v>Fenglingdu Jingji Kaifaqu [Fenglingdu Economic Development Zone] (Yùnchéng Shì)</v>
      </c>
    </row>
    <row r="287" spans="1:16" hidden="1" x14ac:dyDescent="0.25">
      <c r="A287" t="s">
        <v>2645</v>
      </c>
      <c r="B287" t="str">
        <f>IF(COUNTIF(A:A,A287)&gt;1,_xlfn.CONCAT(A287," (",N287,")"),A287)</f>
        <v>Fēnglíngdù Zhèn</v>
      </c>
      <c r="C287" t="str">
        <f>IF(COUNTIF(B:B,B287)&gt;1,_xlfn.CONCAT(A287," (",M287,")"),B287)</f>
        <v>Fēnglíngdù Zhèn</v>
      </c>
      <c r="D287" t="s">
        <v>2646</v>
      </c>
      <c r="E287" t="s">
        <v>7</v>
      </c>
      <c r="F287" t="str">
        <f>_xlfn.CONCAT(D287,", ",H287,", ",I287,", ","山西省")</f>
        <v>风陵渡镇, 芮城县, 运城市, 山西省</v>
      </c>
      <c r="G287">
        <v>63518</v>
      </c>
      <c r="H287" t="s">
        <v>3009</v>
      </c>
      <c r="I287" t="s">
        <v>3003</v>
      </c>
      <c r="J287">
        <f>VLOOKUP(F287,[1]!china_towns_second__2[[Column1]:[Y]],3,FALSE)</f>
        <v>34.670433735195701</v>
      </c>
      <c r="K287">
        <f>VLOOKUP(F287,[1]!china_towns_second__2[[Column1]:[Y]],2,FALSE)</f>
        <v>110.33928400000001</v>
      </c>
      <c r="L287" t="s">
        <v>3867</v>
      </c>
      <c r="M287" t="str">
        <f>VLOOKUP(H287,CHOOSE({1,2},Table12[Native],Table12[Name]),2,0)</f>
        <v>Ruìchéng Xiàn</v>
      </c>
      <c r="N287" s="13" t="str">
        <f>VLOOKUP(I287,CHOOSE({1,2},Table12[Native],Table12[Name]),2,0)</f>
        <v>Yùnchéng Shì</v>
      </c>
      <c r="O287" s="13" t="str">
        <f t="shared" si="8"/>
        <v>Fenglingdu Zhen (Yùnchéng Shì)</v>
      </c>
      <c r="P287" s="13" t="str">
        <f t="shared" si="9"/>
        <v>Fenglingdu Zhen (Yùnchéng Shì)</v>
      </c>
    </row>
    <row r="288" spans="1:16" hidden="1" x14ac:dyDescent="0.25">
      <c r="A288" t="s">
        <v>2197</v>
      </c>
      <c r="B288" t="str">
        <f>IF(COUNTIF(A:A,A288)&gt;1,_xlfn.CONCAT(A288," (",N288,")"),A288)</f>
        <v>Fēngrùn Zhèn</v>
      </c>
      <c r="C288" t="str">
        <f>IF(COUNTIF(B:B,B288)&gt;1,_xlfn.CONCAT(A288," (",M288,")"),B288)</f>
        <v>Fēngrùn Zhèn</v>
      </c>
      <c r="D288" t="s">
        <v>2198</v>
      </c>
      <c r="E288" t="s">
        <v>7</v>
      </c>
      <c r="F288" t="str">
        <f>_xlfn.CONCAT(D288,", ",H288,", ",I288,", ","山西省")</f>
        <v>丰润镇, 静乐县, 忻州市, 山西省</v>
      </c>
      <c r="G288">
        <v>5528</v>
      </c>
      <c r="H288" t="s">
        <v>2987</v>
      </c>
      <c r="I288" t="s">
        <v>2981</v>
      </c>
      <c r="J288">
        <f>VLOOKUP(F288,[1]!china_towns_second__2[[Column1]:[Y]],3,FALSE)</f>
        <v>38.247954027090202</v>
      </c>
      <c r="K288">
        <f>VLOOKUP(F288,[1]!china_towns_second__2[[Column1]:[Y]],2,FALSE)</f>
        <v>111.8434386</v>
      </c>
      <c r="L288" t="s">
        <v>3868</v>
      </c>
      <c r="M288" t="str">
        <f>VLOOKUP(H288,CHOOSE({1,2},Table12[Native],Table12[Name]),2,0)</f>
        <v>Jìnglè Xiàn</v>
      </c>
      <c r="N288" s="13" t="str">
        <f>VLOOKUP(I288,CHOOSE({1,2},Table12[Native],Table12[Name]),2,0)</f>
        <v>Xīnzhōu Shì</v>
      </c>
      <c r="O288" s="13" t="str">
        <f t="shared" si="8"/>
        <v>Fengrun Zhen (Xīnzhōu Shì)</v>
      </c>
      <c r="P288" s="13" t="str">
        <f t="shared" si="9"/>
        <v>Fengrun Zhen (Xīnzhōu Shì)</v>
      </c>
    </row>
    <row r="289" spans="1:16" hidden="1" x14ac:dyDescent="0.25">
      <c r="A289" t="s">
        <v>1474</v>
      </c>
      <c r="B289" t="str">
        <f>IF(COUNTIF(A:A,A289)&gt;1,_xlfn.CONCAT(A289," (",N289,")"),A289)</f>
        <v>Fèngshān Jiēdào</v>
      </c>
      <c r="C289" t="str">
        <f>IF(COUNTIF(B:B,B289)&gt;1,_xlfn.CONCAT(A289," (",M289,")"),B289)</f>
        <v>Fèngshān Jiēdào</v>
      </c>
      <c r="D289" t="s">
        <v>1475</v>
      </c>
      <c r="E289" t="s">
        <v>31</v>
      </c>
      <c r="F289" t="str">
        <f>_xlfn.CONCAT(D289,", ",H289,", ",I289,", ","山西省")</f>
        <v>凤山街道, 离石区, 吕梁市, 山西省</v>
      </c>
      <c r="G289">
        <v>81907</v>
      </c>
      <c r="H289" t="s">
        <v>2953</v>
      </c>
      <c r="I289" t="s">
        <v>2946</v>
      </c>
      <c r="J289">
        <f>VLOOKUP(F289,[1]!china_towns_second__2[[Column1]:[Y]],3,FALSE)</f>
        <v>37.538162685504297</v>
      </c>
      <c r="K289">
        <f>VLOOKUP(F289,[1]!china_towns_second__2[[Column1]:[Y]],2,FALSE)</f>
        <v>111.1204493</v>
      </c>
      <c r="L289" t="s">
        <v>3869</v>
      </c>
      <c r="M289" t="str">
        <f>VLOOKUP(H289,CHOOSE({1,2},Table12[Native],Table12[Name]),2,0)</f>
        <v>Líshí Qū</v>
      </c>
      <c r="N289" s="13" t="str">
        <f>VLOOKUP(I289,CHOOSE({1,2},Table12[Native],Table12[Name]),2,0)</f>
        <v>Lǚliáng Shì</v>
      </c>
      <c r="O289" s="13" t="str">
        <f t="shared" si="8"/>
        <v>Fengshan Jiedao (Lǚliáng Shì)</v>
      </c>
      <c r="P289" s="13" t="str">
        <f t="shared" si="9"/>
        <v>Fengshan Jiedao (Lǚliáng Shì)</v>
      </c>
    </row>
    <row r="290" spans="1:16" hidden="1" x14ac:dyDescent="0.25">
      <c r="A290" t="s">
        <v>86</v>
      </c>
      <c r="B290" t="str">
        <f>IF(COUNTIF(A:A,A290)&gt;1,_xlfn.CONCAT(A290," (",N290,")"),A290)</f>
        <v>Fēngyí Zhèn</v>
      </c>
      <c r="C290" t="str">
        <f>IF(COUNTIF(B:B,B290)&gt;1,_xlfn.CONCAT(A290," (",M290,")"),B290)</f>
        <v>Fēngyí Zhèn</v>
      </c>
      <c r="D290" t="s">
        <v>87</v>
      </c>
      <c r="E290" t="s">
        <v>7</v>
      </c>
      <c r="F290" t="str">
        <f>_xlfn.CONCAT(D290,", ",H290,", ",I290,", ","山西省")</f>
        <v>丰宜镇, 屯留区, 长治市, 山西省</v>
      </c>
      <c r="G290">
        <v>9397</v>
      </c>
      <c r="H290" t="s">
        <v>2890</v>
      </c>
      <c r="I290" t="s">
        <v>2878</v>
      </c>
      <c r="J290">
        <f>VLOOKUP(F290,[1]!china_towns_second__2[[Column1]:[Y]],3,FALSE)</f>
        <v>36.254181358850502</v>
      </c>
      <c r="K290">
        <f>VLOOKUP(F290,[1]!china_towns_second__2[[Column1]:[Y]],2,FALSE)</f>
        <v>112.7350661</v>
      </c>
      <c r="L290" t="s">
        <v>3870</v>
      </c>
      <c r="M290" t="str">
        <f>VLOOKUP(H290,CHOOSE({1,2},Table12[Native],Table12[Name]),2,0)</f>
        <v>Túnliú Qū</v>
      </c>
      <c r="N290" s="13" t="str">
        <f>VLOOKUP(I290,CHOOSE({1,2},Table12[Native],Table12[Name]),2,0)</f>
        <v>Chángzhì Shì</v>
      </c>
      <c r="O290" s="13" t="str">
        <f t="shared" si="8"/>
        <v>Fengyi Zhen (Chángzhì Shì)</v>
      </c>
      <c r="P290" s="13" t="str">
        <f t="shared" si="9"/>
        <v>Fengyi Zhen (Chángzhì Shì)</v>
      </c>
    </row>
    <row r="291" spans="1:16" hidden="1" x14ac:dyDescent="0.25">
      <c r="A291" t="s">
        <v>377</v>
      </c>
      <c r="B291" t="str">
        <f>IF(COUNTIF(A:A,A291)&gt;1,_xlfn.CONCAT(A291," (",N291,")"),A291)</f>
        <v>Fēngyù Xiāng</v>
      </c>
      <c r="C291" t="str">
        <f>IF(COUNTIF(B:B,B291)&gt;1,_xlfn.CONCAT(A291," (",M291,")"),B291)</f>
        <v>Fēngyù Xiāng</v>
      </c>
      <c r="D291" t="s">
        <v>378</v>
      </c>
      <c r="E291" t="s">
        <v>17</v>
      </c>
      <c r="F291" t="str">
        <f>_xlfn.CONCAT(D291,", ",H291,", ",I291,", ","山西省")</f>
        <v>峰峪乡, 云州区, 大同市, 山西省</v>
      </c>
      <c r="G291">
        <v>7325</v>
      </c>
      <c r="H291" t="s">
        <v>2903</v>
      </c>
      <c r="I291" t="s">
        <v>2894</v>
      </c>
      <c r="J291" t="e">
        <f>VLOOKUP(F291,[1]!china_towns_second__2[[Column1]:[Y]],3,FALSE)</f>
        <v>#N/A</v>
      </c>
      <c r="K291" t="e">
        <f>VLOOKUP(F291,[1]!china_towns_second__2[[Column1]:[Y]],2,FALSE)</f>
        <v>#N/A</v>
      </c>
      <c r="L291" t="s">
        <v>3871</v>
      </c>
      <c r="M291" t="str">
        <f>VLOOKUP(H291,CHOOSE({1,2},Table12[Native],Table12[Name]),2,0)</f>
        <v>Yúnzhōu Qū</v>
      </c>
      <c r="N291" s="13" t="str">
        <f>VLOOKUP(I291,CHOOSE({1,2},Table12[Native],Table12[Name]),2,0)</f>
        <v>Dàtóng Shì</v>
      </c>
      <c r="O291" s="13" t="str">
        <f t="shared" si="8"/>
        <v>Fengyu Xiang (Dàtóng Shì)</v>
      </c>
      <c r="P291" s="13" t="str">
        <f t="shared" si="9"/>
        <v>Fengyu Xiang (Dàtóng Shì)</v>
      </c>
    </row>
    <row r="292" spans="1:16" hidden="1" x14ac:dyDescent="0.25">
      <c r="A292" t="s">
        <v>89</v>
      </c>
      <c r="B292" t="str">
        <f>IF(COUNTIF(A:A,A292)&gt;1,_xlfn.CONCAT(A292," (",N292,")"),A292)</f>
        <v>Fēngzhōu Zhèn</v>
      </c>
      <c r="C292" t="str">
        <f>IF(COUNTIF(B:B,B292)&gt;1,_xlfn.CONCAT(A292," (",M292,")"),B292)</f>
        <v>Fēngzhōu Zhèn</v>
      </c>
      <c r="D292" t="s">
        <v>90</v>
      </c>
      <c r="E292" t="s">
        <v>7</v>
      </c>
      <c r="F292" t="str">
        <f>_xlfn.CONCAT(D292,", ",H292,", ",I292,", ","山西省")</f>
        <v>丰州镇, 武乡县, 长治市, 山西省</v>
      </c>
      <c r="G292">
        <v>49594</v>
      </c>
      <c r="H292" t="s">
        <v>2891</v>
      </c>
      <c r="I292" t="s">
        <v>2878</v>
      </c>
      <c r="J292">
        <f>VLOOKUP(F292,[1]!china_towns_second__2[[Column1]:[Y]],3,FALSE)</f>
        <v>36.814850891525403</v>
      </c>
      <c r="K292">
        <f>VLOOKUP(F292,[1]!china_towns_second__2[[Column1]:[Y]],2,FALSE)</f>
        <v>112.8475791</v>
      </c>
      <c r="L292" t="s">
        <v>3872</v>
      </c>
      <c r="M292" t="str">
        <f>VLOOKUP(H292,CHOOSE({1,2},Table12[Native],Table12[Name]),2,0)</f>
        <v>Wŭxiāng Xiàn</v>
      </c>
      <c r="N292" s="13" t="str">
        <f>VLOOKUP(I292,CHOOSE({1,2},Table12[Native],Table12[Name]),2,0)</f>
        <v>Chángzhì Shì</v>
      </c>
      <c r="O292" s="13" t="str">
        <f t="shared" si="8"/>
        <v>Fengzhou Zhen (Chángzhì Shì)</v>
      </c>
      <c r="P292" s="13" t="str">
        <f t="shared" si="9"/>
        <v>Fengzhou Zhen (Chángzhì Shì)</v>
      </c>
    </row>
    <row r="293" spans="1:16" hidden="1" x14ac:dyDescent="0.25">
      <c r="A293" t="s">
        <v>1134</v>
      </c>
      <c r="B293" t="str">
        <f>IF(COUNTIF(A:A,A293)&gt;1,_xlfn.CONCAT(A293," (",N293,")"),A293)</f>
        <v>Fénhé Jiēdào</v>
      </c>
      <c r="C293" t="str">
        <f>IF(COUNTIF(B:B,B293)&gt;1,_xlfn.CONCAT(A293," (",M293,")"),B293)</f>
        <v>Fénhé Jiēdào</v>
      </c>
      <c r="D293" t="s">
        <v>1135</v>
      </c>
      <c r="E293" t="s">
        <v>31</v>
      </c>
      <c r="F293" t="str">
        <f>_xlfn.CONCAT(D293,", ",H293,", ",I293,", ","山西省")</f>
        <v>汾河街道, 尧都区, 临汾市, 山西省</v>
      </c>
      <c r="G293">
        <v>9690</v>
      </c>
      <c r="H293" t="s">
        <v>2942</v>
      </c>
      <c r="I293" t="s">
        <v>2927</v>
      </c>
      <c r="J293">
        <f>VLOOKUP(F293,[1]!china_towns_second__2[[Column1]:[Y]],3,FALSE)</f>
        <v>36.150180372425197</v>
      </c>
      <c r="K293">
        <f>VLOOKUP(F293,[1]!china_towns_second__2[[Column1]:[Y]],2,FALSE)</f>
        <v>111.48731650000001</v>
      </c>
      <c r="L293" t="s">
        <v>3873</v>
      </c>
      <c r="M293" t="str">
        <f>VLOOKUP(H293,CHOOSE({1,2},Table12[Native],Table12[Name]),2,0)</f>
        <v>Yáodū Qū</v>
      </c>
      <c r="N293" s="13" t="str">
        <f>VLOOKUP(I293,CHOOSE({1,2},Table12[Native],Table12[Name]),2,0)</f>
        <v>Línfén Shì</v>
      </c>
      <c r="O293" s="13" t="str">
        <f t="shared" si="8"/>
        <v>Fenhe Jiedao (Línfén Shì)</v>
      </c>
      <c r="P293" s="13" t="str">
        <f t="shared" si="9"/>
        <v>Fenhe Jiedao (Línfén Shì)</v>
      </c>
    </row>
    <row r="294" spans="1:16" hidden="1" x14ac:dyDescent="0.25">
      <c r="A294" t="s">
        <v>91</v>
      </c>
      <c r="B294" t="str">
        <f>IF(COUNTIF(A:A,A294)&gt;1,_xlfn.CONCAT(A294," (",N294,")"),A294)</f>
        <v>Fēnshuĭlĭng Xiāng</v>
      </c>
      <c r="C294" t="str">
        <f>IF(COUNTIF(B:B,B294)&gt;1,_xlfn.CONCAT(A294," (",M294,")"),B294)</f>
        <v>Fēnshuĭlĭng Xiāng</v>
      </c>
      <c r="D294" t="s">
        <v>92</v>
      </c>
      <c r="E294" t="s">
        <v>17</v>
      </c>
      <c r="F294" t="str">
        <f>_xlfn.CONCAT(D294,", ",H294,", ",I294,", ","山西省")</f>
        <v>分水岭乡, 武乡县, 长治市, 山西省</v>
      </c>
      <c r="G294">
        <v>6129</v>
      </c>
      <c r="H294" t="s">
        <v>2891</v>
      </c>
      <c r="I294" t="s">
        <v>2878</v>
      </c>
      <c r="J294" t="e">
        <f>VLOOKUP(F294,[1]!china_towns_second__2[[Column1]:[Y]],3,FALSE)</f>
        <v>#N/A</v>
      </c>
      <c r="K294" t="e">
        <f>VLOOKUP(F294,[1]!china_towns_second__2[[Column1]:[Y]],2,FALSE)</f>
        <v>#N/A</v>
      </c>
      <c r="L294" t="s">
        <v>3874</v>
      </c>
      <c r="M294" t="str">
        <f>VLOOKUP(H294,CHOOSE({1,2},Table12[Native],Table12[Name]),2,0)</f>
        <v>Wŭxiāng Xiàn</v>
      </c>
      <c r="N294" s="13" t="str">
        <f>VLOOKUP(I294,CHOOSE({1,2},Table12[Native],Table12[Name]),2,0)</f>
        <v>Chángzhì Shì</v>
      </c>
      <c r="O294" s="13" t="str">
        <f t="shared" si="8"/>
        <v>Fenshuiling Xiang (Chángzhì Shì)</v>
      </c>
      <c r="P294" s="13" t="str">
        <f t="shared" si="9"/>
        <v>Fenshuiling Xiang (Chángzhì Shì)</v>
      </c>
    </row>
    <row r="295" spans="1:16" x14ac:dyDescent="0.25">
      <c r="A295" t="s">
        <v>666</v>
      </c>
      <c r="B295" t="str">
        <f>IF(COUNTIF(A:A,A295)&gt;1,_xlfn.CONCAT(A295," (",N295,")"),A295)</f>
        <v>Fùchéng Zhèn</v>
      </c>
      <c r="C295" t="str">
        <f>IF(COUNTIF(B:B,B295)&gt;1,_xlfn.CONCAT(A295," (",M295,")"),B295)</f>
        <v>Fùchéng Zhèn</v>
      </c>
      <c r="D295" t="s">
        <v>667</v>
      </c>
      <c r="E295" t="s">
        <v>7</v>
      </c>
      <c r="F295" t="str">
        <f>_xlfn.CONCAT(D295,", ",H295,", ",I295,", ","山西省")</f>
        <v>附城镇, 陵川县, 晋城市, 山西省</v>
      </c>
      <c r="G295">
        <v>26831</v>
      </c>
      <c r="H295" t="s">
        <v>2909</v>
      </c>
      <c r="I295" t="s">
        <v>2906</v>
      </c>
      <c r="J295">
        <f>VLOOKUP(F295,[1]!china_towns_second__2[[Column1]:[Y]],3,FALSE)</f>
        <v>35.636359401597602</v>
      </c>
      <c r="K295">
        <f>VLOOKUP(F295,[1]!china_towns_second__2[[Column1]:[Y]],2,FALSE)</f>
        <v>113.1803946</v>
      </c>
      <c r="L295" t="s">
        <v>3875</v>
      </c>
      <c r="M295" t="str">
        <f>VLOOKUP(H295,CHOOSE({1,2},Table12[Native],Table12[Name]),2,0)</f>
        <v>Língchuān Xiàn</v>
      </c>
      <c r="N295" s="13" t="str">
        <f>VLOOKUP(I295,CHOOSE({1,2},Table12[Native],Table12[Name]),2,0)</f>
        <v>Jìnchéng Shì</v>
      </c>
      <c r="O295" s="13" t="str">
        <f t="shared" si="8"/>
        <v>Fucheng Zhen (Jìnchéng Shì)</v>
      </c>
      <c r="P295" s="13" t="str">
        <f t="shared" si="9"/>
        <v>Fucheng Zhen (Jìnchéng Shì)</v>
      </c>
    </row>
    <row r="296" spans="1:16" x14ac:dyDescent="0.25">
      <c r="A296" t="s">
        <v>1136</v>
      </c>
      <c r="B296" t="str">
        <f>IF(COUNTIF(A:A,A296)&gt;1,_xlfn.CONCAT(A296," (",N296,")"),A296)</f>
        <v>Fŭchéng Zhèn</v>
      </c>
      <c r="C296" t="str">
        <f>IF(COUNTIF(B:B,B296)&gt;1,_xlfn.CONCAT(A296," (",M296,")"),B296)</f>
        <v>Fŭchéng Zhèn</v>
      </c>
      <c r="D296" t="s">
        <v>1137</v>
      </c>
      <c r="E296" t="s">
        <v>7</v>
      </c>
      <c r="F296" t="str">
        <f>_xlfn.CONCAT(D296,", ",H296,", ",I296,", ","山西省")</f>
        <v>府城镇, 安泽县, 临汾市, 山西省</v>
      </c>
      <c r="G296">
        <v>32816</v>
      </c>
      <c r="H296" t="s">
        <v>2928</v>
      </c>
      <c r="I296" t="s">
        <v>2927</v>
      </c>
      <c r="J296">
        <f>VLOOKUP(F296,[1]!china_towns_second__2[[Column1]:[Y]],3,FALSE)</f>
        <v>36.223392589304197</v>
      </c>
      <c r="K296">
        <f>VLOOKUP(F296,[1]!china_towns_second__2[[Column1]:[Y]],2,FALSE)</f>
        <v>112.1920949</v>
      </c>
      <c r="L296" t="s">
        <v>3875</v>
      </c>
      <c r="M296" t="str">
        <f>VLOOKUP(H296,CHOOSE({1,2},Table12[Native],Table12[Name]),2,0)</f>
        <v>Ānzé Xiàn</v>
      </c>
      <c r="N296" s="13" t="str">
        <f>VLOOKUP(I296,CHOOSE({1,2},Table12[Native],Table12[Name]),2,0)</f>
        <v>Línfén Shì</v>
      </c>
      <c r="O296" s="13" t="str">
        <f t="shared" si="8"/>
        <v>Fucheng Zhen (Línfén Shì)</v>
      </c>
      <c r="P296" s="13" t="str">
        <f t="shared" si="9"/>
        <v>Fucheng Zhen (Línfén Shì)</v>
      </c>
    </row>
    <row r="297" spans="1:16" hidden="1" x14ac:dyDescent="0.25">
      <c r="A297" t="s">
        <v>1763</v>
      </c>
      <c r="B297" t="str">
        <f>IF(COUNTIF(A:A,A297)&gt;1,_xlfn.CONCAT(A297," (",N297,")"),A297)</f>
        <v>Fúshànzhuāng Xiāng</v>
      </c>
      <c r="C297" t="str">
        <f>IF(COUNTIF(B:B,B297)&gt;1,_xlfn.CONCAT(A297," (",M297,")"),B297)</f>
        <v>Fúshànzhuāng Xiāng</v>
      </c>
      <c r="D297" t="s">
        <v>1764</v>
      </c>
      <c r="E297" t="s">
        <v>17</v>
      </c>
      <c r="F297" t="str">
        <f>_xlfn.CONCAT(D297,", ",H297,", ",I297,", ","山西省")</f>
        <v>福善庄乡, 朔城区, 朔州市, 山西省</v>
      </c>
      <c r="G297">
        <v>11592</v>
      </c>
      <c r="H297" t="s">
        <v>2965</v>
      </c>
      <c r="I297" t="s">
        <v>2961</v>
      </c>
      <c r="J297" t="e">
        <f>VLOOKUP(F297,[1]!china_towns_second__2[[Column1]:[Y]],3,FALSE)</f>
        <v>#N/A</v>
      </c>
      <c r="K297" t="e">
        <f>VLOOKUP(F297,[1]!china_towns_second__2[[Column1]:[Y]],2,FALSE)</f>
        <v>#N/A</v>
      </c>
      <c r="L297" t="s">
        <v>3876</v>
      </c>
      <c r="M297" t="str">
        <f>VLOOKUP(H297,CHOOSE({1,2},Table12[Native],Table12[Name]),2,0)</f>
        <v>Shuòchéng Qū</v>
      </c>
      <c r="N297" s="13" t="str">
        <f>VLOOKUP(I297,CHOOSE({1,2},Table12[Native],Table12[Name]),2,0)</f>
        <v>Shuòzhōu Shì</v>
      </c>
      <c r="O297" s="13" t="str">
        <f t="shared" si="8"/>
        <v>Fushanzhuang Xiang (Shuòzhōu Shì)</v>
      </c>
      <c r="P297" s="13" t="str">
        <f t="shared" si="9"/>
        <v>Fushanzhuang Xiang (Shuòzhōu Shì)</v>
      </c>
    </row>
    <row r="298" spans="1:16" hidden="1" x14ac:dyDescent="0.25">
      <c r="A298" t="s">
        <v>1928</v>
      </c>
      <c r="B298" t="str">
        <f>IF(COUNTIF(A:A,A298)&gt;1,_xlfn.CONCAT(A298," (",N298,")"),A298)</f>
        <v>Gàijiāzhuāng Xiāng</v>
      </c>
      <c r="C298" t="str">
        <f>IF(COUNTIF(B:B,B298)&gt;1,_xlfn.CONCAT(A298," (",M298,")"),B298)</f>
        <v>Gàijiāzhuāng Xiāng</v>
      </c>
      <c r="D298" t="s">
        <v>1929</v>
      </c>
      <c r="E298" t="s">
        <v>17</v>
      </c>
      <c r="F298" t="str">
        <f>_xlfn.CONCAT(D298,", ",H298,", ",I298,", ","山西省")</f>
        <v>盖家庄乡, 娄烦县, 太原市, 山西省</v>
      </c>
      <c r="G298">
        <v>4768</v>
      </c>
      <c r="H298" t="s">
        <v>2973</v>
      </c>
      <c r="I298" t="s">
        <v>2969</v>
      </c>
      <c r="J298" t="e">
        <f>VLOOKUP(F298,[1]!china_towns_second__2[[Column1]:[Y]],3,FALSE)</f>
        <v>#N/A</v>
      </c>
      <c r="K298" t="e">
        <f>VLOOKUP(F298,[1]!china_towns_second__2[[Column1]:[Y]],2,FALSE)</f>
        <v>#N/A</v>
      </c>
      <c r="L298" t="s">
        <v>3877</v>
      </c>
      <c r="M298" t="str">
        <f>VLOOKUP(H298,CHOOSE({1,2},Table12[Native],Table12[Name]),2,0)</f>
        <v>Lóufán Xiàn</v>
      </c>
      <c r="N298" s="13" t="str">
        <f>VLOOKUP(I298,CHOOSE({1,2},Table12[Native],Table12[Name]),2,0)</f>
        <v>Tàiyuán Shì</v>
      </c>
      <c r="O298" s="13" t="str">
        <f t="shared" si="8"/>
        <v>Gaijiazhuang Xiang (Tàiyuán Shì)</v>
      </c>
      <c r="P298" s="13" t="str">
        <f t="shared" si="9"/>
        <v>Gaijiazhuang Xiang (Tàiyuán Shì)</v>
      </c>
    </row>
    <row r="299" spans="1:16" hidden="1" x14ac:dyDescent="0.25">
      <c r="A299" t="s">
        <v>1138</v>
      </c>
      <c r="B299" t="str">
        <f>IF(COUNTIF(A:A,A299)&gt;1,_xlfn.CONCAT(A299," (",N299,")"),A299)</f>
        <v>Gāntíng Zhèn</v>
      </c>
      <c r="C299" t="str">
        <f>IF(COUNTIF(B:B,B299)&gt;1,_xlfn.CONCAT(A299," (",M299,")"),B299)</f>
        <v>Gāntíng Zhèn</v>
      </c>
      <c r="D299" t="s">
        <v>1139</v>
      </c>
      <c r="E299" t="s">
        <v>7</v>
      </c>
      <c r="F299" t="str">
        <f>_xlfn.CONCAT(D299,", ",H299,", ",I299,", ","山西省")</f>
        <v>甘亭镇, 洪洞县, 临汾市, 山西省</v>
      </c>
      <c r="G299">
        <v>38347</v>
      </c>
      <c r="H299" t="s">
        <v>2933</v>
      </c>
      <c r="I299" t="s">
        <v>2927</v>
      </c>
      <c r="J299">
        <f>VLOOKUP(F299,[1]!china_towns_second__2[[Column1]:[Y]],3,FALSE)</f>
        <v>36.178597796948999</v>
      </c>
      <c r="K299">
        <f>VLOOKUP(F299,[1]!china_towns_second__2[[Column1]:[Y]],2,FALSE)</f>
        <v>111.6249715</v>
      </c>
      <c r="L299" t="s">
        <v>3878</v>
      </c>
      <c r="M299" t="str">
        <f>VLOOKUP(H299,CHOOSE({1,2},Table12[Native],Table12[Name]),2,0)</f>
        <v>Hóngdòng Xiàn</v>
      </c>
      <c r="N299" s="13" t="str">
        <f>VLOOKUP(I299,CHOOSE({1,2},Table12[Native],Table12[Name]),2,0)</f>
        <v>Línfén Shì</v>
      </c>
      <c r="O299" s="13" t="str">
        <f t="shared" si="8"/>
        <v>Ganting Zhen (Línfén Shì)</v>
      </c>
      <c r="P299" s="13" t="str">
        <f t="shared" si="9"/>
        <v>Ganting Zhen (Línfén Shì)</v>
      </c>
    </row>
    <row r="300" spans="1:16" hidden="1" x14ac:dyDescent="0.25">
      <c r="A300" t="s">
        <v>2199</v>
      </c>
      <c r="B300" t="str">
        <f>IF(COUNTIF(A:A,A300)&gt;1,_xlfn.CONCAT(A300," (",N300,")"),A300)</f>
        <v>Gāochéng Xiāng</v>
      </c>
      <c r="C300" t="str">
        <f>IF(COUNTIF(B:B,B300)&gt;1,_xlfn.CONCAT(A300," (",M300,")"),B300)</f>
        <v>Gāochéng Xiāng</v>
      </c>
      <c r="D300" t="s">
        <v>2200</v>
      </c>
      <c r="E300" t="s">
        <v>17</v>
      </c>
      <c r="F300" t="str">
        <f>_xlfn.CONCAT(D300,", ",H300,", ",I300,", ","山西省")</f>
        <v>高城乡, 忻府区, 忻州市, 山西省</v>
      </c>
      <c r="G300">
        <v>14983</v>
      </c>
      <c r="H300" t="s">
        <v>2994</v>
      </c>
      <c r="I300" t="s">
        <v>2981</v>
      </c>
      <c r="J300" t="e">
        <f>VLOOKUP(F300,[1]!china_towns_second__2[[Column1]:[Y]],3,FALSE)</f>
        <v>#N/A</v>
      </c>
      <c r="K300" t="e">
        <f>VLOOKUP(F300,[1]!china_towns_second__2[[Column1]:[Y]],2,FALSE)</f>
        <v>#N/A</v>
      </c>
      <c r="L300" t="s">
        <v>3879</v>
      </c>
      <c r="M300" t="str">
        <f>VLOOKUP(H300,CHOOSE({1,2},Table12[Native],Table12[Name]),2,0)</f>
        <v>Xīnfŭ Qū</v>
      </c>
      <c r="N300" s="13" t="str">
        <f>VLOOKUP(I300,CHOOSE({1,2},Table12[Native],Table12[Name]),2,0)</f>
        <v>Xīnzhōu Shì</v>
      </c>
      <c r="O300" s="13" t="str">
        <f t="shared" si="8"/>
        <v>Gaocheng Xiang (Xīnzhōu Shì)</v>
      </c>
      <c r="P300" s="13" t="str">
        <f t="shared" si="9"/>
        <v>Gaocheng Xiang (Xīnzhōu Shì)</v>
      </c>
    </row>
    <row r="301" spans="1:16" hidden="1" x14ac:dyDescent="0.25">
      <c r="A301" t="s">
        <v>1140</v>
      </c>
      <c r="B301" t="str">
        <f>IF(COUNTIF(A:A,A301)&gt;1,_xlfn.CONCAT(A301," (",N301,")"),A301)</f>
        <v>Gāocūn Xiāng (Línfén Shì)</v>
      </c>
      <c r="C301" t="str">
        <f>IF(COUNTIF(B:B,B301)&gt;1,_xlfn.CONCAT(A301," (",M301,")"),B301)</f>
        <v>Gāocūn Xiāng (Línfén Shì)</v>
      </c>
      <c r="D301" t="s">
        <v>1141</v>
      </c>
      <c r="E301" t="s">
        <v>17</v>
      </c>
      <c r="F301" t="str">
        <f>_xlfn.CONCAT(D301,", ",H301,", ",I301,", ","山西省")</f>
        <v>高村乡, 侯马市, 临汾市, 山西省</v>
      </c>
      <c r="G301">
        <v>16946</v>
      </c>
      <c r="H301" t="s">
        <v>2934</v>
      </c>
      <c r="I301" t="s">
        <v>2927</v>
      </c>
      <c r="J301" t="e">
        <f>VLOOKUP(F301,[1]!china_towns_second__2[[Column1]:[Y]],3,FALSE)</f>
        <v>#N/A</v>
      </c>
      <c r="K301" t="e">
        <f>VLOOKUP(F301,[1]!china_towns_second__2[[Column1]:[Y]],2,FALSE)</f>
        <v>#N/A</v>
      </c>
      <c r="L301" t="s">
        <v>3880</v>
      </c>
      <c r="M301" t="str">
        <f>VLOOKUP(H301,CHOOSE({1,2},Table12[Native],Table12[Name]),2,0)</f>
        <v>Hòumă Shì</v>
      </c>
      <c r="N301" s="13" t="str">
        <f>VLOOKUP(I301,CHOOSE({1,2},Table12[Native],Table12[Name]),2,0)</f>
        <v>Línfén Shì</v>
      </c>
      <c r="O301" s="13" t="str">
        <f t="shared" si="8"/>
        <v>Gaocun Xiang (Linfen Shi) (Línfén Shì)</v>
      </c>
      <c r="P301" s="13" t="str">
        <f t="shared" si="9"/>
        <v>Gaocun Xiang (Linfen Shi) (Línfén Shì)</v>
      </c>
    </row>
    <row r="302" spans="1:16" hidden="1" x14ac:dyDescent="0.25">
      <c r="A302" t="s">
        <v>1140</v>
      </c>
      <c r="B302" t="str">
        <f>IF(COUNTIF(A:A,A302)&gt;1,_xlfn.CONCAT(A302," (",N302,")"),A302)</f>
        <v>Gāocūn Xiāng (Tàiyuán Shì)</v>
      </c>
      <c r="C302" t="str">
        <f>IF(COUNTIF(B:B,B302)&gt;1,_xlfn.CONCAT(A302," (",M302,")"),B302)</f>
        <v>Gāocūn Xiāng (Tàiyuán Shì)</v>
      </c>
      <c r="D302" t="s">
        <v>1141</v>
      </c>
      <c r="E302" t="s">
        <v>17</v>
      </c>
      <c r="F302" t="str">
        <f>_xlfn.CONCAT(D302,", ",H302,", ",I302,", ","山西省")</f>
        <v>高村乡, 阳曲县, 太原市, 山西省</v>
      </c>
      <c r="G302">
        <v>9904</v>
      </c>
      <c r="H302" t="s">
        <v>2978</v>
      </c>
      <c r="I302" t="s">
        <v>2969</v>
      </c>
      <c r="J302" t="e">
        <f>VLOOKUP(F302,[1]!china_towns_second__2[[Column1]:[Y]],3,FALSE)</f>
        <v>#N/A</v>
      </c>
      <c r="K302" t="e">
        <f>VLOOKUP(F302,[1]!china_towns_second__2[[Column1]:[Y]],2,FALSE)</f>
        <v>#N/A</v>
      </c>
      <c r="L302" t="s">
        <v>3881</v>
      </c>
      <c r="M302" t="str">
        <f>VLOOKUP(H302,CHOOSE({1,2},Table12[Native],Table12[Name]),2,0)</f>
        <v>Yángqŭ Xiàn</v>
      </c>
      <c r="N302" s="13" t="str">
        <f>VLOOKUP(I302,CHOOSE({1,2},Table12[Native],Table12[Name]),2,0)</f>
        <v>Tàiyuán Shì</v>
      </c>
      <c r="O302" s="13" t="str">
        <f t="shared" si="8"/>
        <v>Gaocun Xiang (Taiyuan Shi) (Tàiyuán Shì)</v>
      </c>
      <c r="P302" s="13" t="str">
        <f t="shared" si="9"/>
        <v>Gaocun Xiang (Taiyuan Shi) (Tàiyuán Shì)</v>
      </c>
    </row>
    <row r="303" spans="1:16" hidden="1" x14ac:dyDescent="0.25">
      <c r="A303" t="s">
        <v>1140</v>
      </c>
      <c r="B303" t="str">
        <f>IF(COUNTIF(A:A,A303)&gt;1,_xlfn.CONCAT(A303," (",N303,")"),A303)</f>
        <v>Gāocūn Xiāng (Yùnchéng Shì)</v>
      </c>
      <c r="C303" t="str">
        <f>IF(COUNTIF(B:B,B303)&gt;1,_xlfn.CONCAT(A303," (",M303,")"),B303)</f>
        <v>Gāocūn Xiāng (Yùnchéng Shì)</v>
      </c>
      <c r="D303" t="s">
        <v>1141</v>
      </c>
      <c r="E303" t="s">
        <v>17</v>
      </c>
      <c r="F303" t="str">
        <f>_xlfn.CONCAT(D303,", ",H303,", ",I303,", ","山西省")</f>
        <v>高村乡, 万荣县, 运城市, 山西省</v>
      </c>
      <c r="G303">
        <v>31564</v>
      </c>
      <c r="H303" t="s">
        <v>3010</v>
      </c>
      <c r="I303" t="s">
        <v>3003</v>
      </c>
      <c r="J303" t="e">
        <f>VLOOKUP(F303,[1]!china_towns_second__2[[Column1]:[Y]],3,FALSE)</f>
        <v>#N/A</v>
      </c>
      <c r="K303" t="e">
        <f>VLOOKUP(F303,[1]!china_towns_second__2[[Column1]:[Y]],2,FALSE)</f>
        <v>#N/A</v>
      </c>
      <c r="L303" t="s">
        <v>3882</v>
      </c>
      <c r="M303" t="str">
        <f>VLOOKUP(H303,CHOOSE({1,2},Table12[Native],Table12[Name]),2,0)</f>
        <v>Wànróng Xiàn</v>
      </c>
      <c r="N303" s="13" t="str">
        <f>VLOOKUP(I303,CHOOSE({1,2},Table12[Native],Table12[Name]),2,0)</f>
        <v>Yùnchéng Shì</v>
      </c>
      <c r="O303" s="13" t="str">
        <f t="shared" si="8"/>
        <v>Gaocun Xiang (Yuncheng Shi) (Yùnchéng Shì)</v>
      </c>
      <c r="P303" s="13" t="str">
        <f t="shared" si="9"/>
        <v>Gaocun Xiang (Yuncheng Shi) (Yùnchéng Shì)</v>
      </c>
    </row>
    <row r="304" spans="1:16" hidden="1" x14ac:dyDescent="0.25">
      <c r="A304" t="s">
        <v>668</v>
      </c>
      <c r="B304" t="str">
        <f>IF(COUNTIF(A:A,A304)&gt;1,_xlfn.CONCAT(A304," (",N304,")"),A304)</f>
        <v>Gāodū Zhèn</v>
      </c>
      <c r="C304" t="str">
        <f>IF(COUNTIF(B:B,B304)&gt;1,_xlfn.CONCAT(A304," (",M304,")"),B304)</f>
        <v>Gāodū Zhèn</v>
      </c>
      <c r="D304" t="s">
        <v>669</v>
      </c>
      <c r="E304" t="s">
        <v>7</v>
      </c>
      <c r="F304" t="str">
        <f>_xlfn.CONCAT(D304,", ",H304,", ",I304,", ","山西省")</f>
        <v>高都镇, 泽州县, 晋城市, 山西省</v>
      </c>
      <c r="G304">
        <v>37018</v>
      </c>
      <c r="H304" t="s">
        <v>2912</v>
      </c>
      <c r="I304" t="s">
        <v>2906</v>
      </c>
      <c r="J304">
        <f>VLOOKUP(F304,[1]!china_towns_second__2[[Column1]:[Y]],3,FALSE)</f>
        <v>35.5877480442932</v>
      </c>
      <c r="K304">
        <f>VLOOKUP(F304,[1]!china_towns_second__2[[Column1]:[Y]],2,FALSE)</f>
        <v>112.9920908</v>
      </c>
      <c r="L304" t="s">
        <v>3883</v>
      </c>
      <c r="M304" t="str">
        <f>VLOOKUP(H304,CHOOSE({1,2},Table12[Native],Table12[Name]),2,0)</f>
        <v>Zézhōu Xiàn</v>
      </c>
      <c r="N304" s="13" t="str">
        <f>VLOOKUP(I304,CHOOSE({1,2},Table12[Native],Table12[Name]),2,0)</f>
        <v>Jìnchéng Shì</v>
      </c>
      <c r="O304" s="13" t="str">
        <f t="shared" si="8"/>
        <v>Gaodu Zhen (Jìnchéng Shì)</v>
      </c>
      <c r="P304" s="13" t="str">
        <f t="shared" si="9"/>
        <v>Gaodu Zhen (Jìnchéng Shì)</v>
      </c>
    </row>
    <row r="305" spans="1:16" hidden="1" x14ac:dyDescent="0.25">
      <c r="A305" t="s">
        <v>2201</v>
      </c>
      <c r="B305" t="str">
        <f>IF(COUNTIF(A:A,A305)&gt;1,_xlfn.CONCAT(A305," (",N305,")"),A305)</f>
        <v>Gāohóngkŏu Xiāng</v>
      </c>
      <c r="C305" t="str">
        <f>IF(COUNTIF(B:B,B305)&gt;1,_xlfn.CONCAT(A305," (",M305,")"),B305)</f>
        <v>Gāohóngkŏu Xiāng</v>
      </c>
      <c r="D305" t="s">
        <v>2202</v>
      </c>
      <c r="E305" t="s">
        <v>17</v>
      </c>
      <c r="F305" t="str">
        <f>_xlfn.CONCAT(D305,", ",H305,", ",I305,", ","山西省")</f>
        <v>高洪口乡, 五台县, 忻州市, 山西省</v>
      </c>
      <c r="G305">
        <v>7157</v>
      </c>
      <c r="H305" t="s">
        <v>2992</v>
      </c>
      <c r="I305" t="s">
        <v>2981</v>
      </c>
      <c r="J305" t="e">
        <f>VLOOKUP(F305,[1]!china_towns_second__2[[Column1]:[Y]],3,FALSE)</f>
        <v>#N/A</v>
      </c>
      <c r="K305" t="e">
        <f>VLOOKUP(F305,[1]!china_towns_second__2[[Column1]:[Y]],2,FALSE)</f>
        <v>#N/A</v>
      </c>
      <c r="L305" t="s">
        <v>3884</v>
      </c>
      <c r="M305" t="str">
        <f>VLOOKUP(H305,CHOOSE({1,2},Table12[Native],Table12[Name]),2,0)</f>
        <v>Wŭtái Xiàn</v>
      </c>
      <c r="N305" s="13" t="str">
        <f>VLOOKUP(I305,CHOOSE({1,2},Table12[Native],Table12[Name]),2,0)</f>
        <v>Xīnzhōu Shì</v>
      </c>
      <c r="O305" s="13" t="str">
        <f t="shared" si="8"/>
        <v>Gaohongkou Xiang (Xīnzhōu Shì)</v>
      </c>
      <c r="P305" s="13" t="str">
        <f t="shared" si="9"/>
        <v>Gaohongkou Xiang (Xīnzhōu Shì)</v>
      </c>
    </row>
    <row r="306" spans="1:16" hidden="1" x14ac:dyDescent="0.25">
      <c r="A306" t="s">
        <v>1765</v>
      </c>
      <c r="B306" t="str">
        <f>IF(COUNTIF(A:A,A306)&gt;1,_xlfn.CONCAT(A306," (",N306,")"),A306)</f>
        <v>Gāojiābăo Xiāng</v>
      </c>
      <c r="C306" t="str">
        <f>IF(COUNTIF(B:B,B306)&gt;1,_xlfn.CONCAT(A306," (",M306,")"),B306)</f>
        <v>Gāojiābăo Xiāng</v>
      </c>
      <c r="D306" t="s">
        <v>1766</v>
      </c>
      <c r="E306" t="s">
        <v>17</v>
      </c>
      <c r="F306" t="str">
        <f>_xlfn.CONCAT(D306,", ",H306,", ",I306,", ","山西省")</f>
        <v>高家堡乡, 右玉县, 朔州市, 山西省</v>
      </c>
      <c r="G306">
        <v>6958</v>
      </c>
      <c r="H306" t="s">
        <v>2967</v>
      </c>
      <c r="I306" t="s">
        <v>2961</v>
      </c>
      <c r="J306" t="e">
        <f>VLOOKUP(F306,[1]!china_towns_second__2[[Column1]:[Y]],3,FALSE)</f>
        <v>#N/A</v>
      </c>
      <c r="K306" t="e">
        <f>VLOOKUP(F306,[1]!china_towns_second__2[[Column1]:[Y]],2,FALSE)</f>
        <v>#N/A</v>
      </c>
      <c r="L306" t="s">
        <v>3885</v>
      </c>
      <c r="M306" t="str">
        <f>VLOOKUP(H306,CHOOSE({1,2},Table12[Native],Table12[Name]),2,0)</f>
        <v>Yòuyù Xiàn</v>
      </c>
      <c r="N306" s="13" t="str">
        <f>VLOOKUP(I306,CHOOSE({1,2},Table12[Native],Table12[Name]),2,0)</f>
        <v>Shuòzhōu Shì</v>
      </c>
      <c r="O306" s="13" t="str">
        <f t="shared" si="8"/>
        <v>Gaojiabao Xiang (Shuòzhōu Shì)</v>
      </c>
      <c r="P306" s="13" t="str">
        <f t="shared" si="9"/>
        <v>Gaojiabao Xiang (Shuòzhōu Shì)</v>
      </c>
    </row>
    <row r="307" spans="1:16" hidden="1" x14ac:dyDescent="0.25">
      <c r="A307" t="s">
        <v>1476</v>
      </c>
      <c r="B307" t="str">
        <f>IF(COUNTIF(A:A,A307)&gt;1,_xlfn.CONCAT(A307," (",N307,")"),A307)</f>
        <v>Gāojiācūn Zhèn</v>
      </c>
      <c r="C307" t="str">
        <f>IF(COUNTIF(B:B,B307)&gt;1,_xlfn.CONCAT(A307," (",M307,")"),B307)</f>
        <v>Gāojiācūn Zhèn</v>
      </c>
      <c r="D307" t="s">
        <v>1477</v>
      </c>
      <c r="E307" t="s">
        <v>7</v>
      </c>
      <c r="F307" t="str">
        <f>_xlfn.CONCAT(D307,", ",H307,", ",I307,", ","山西省")</f>
        <v>高家村镇, 兴县, 吕梁市, 山西省</v>
      </c>
      <c r="G307">
        <v>14011</v>
      </c>
      <c r="H307" t="s">
        <v>2958</v>
      </c>
      <c r="I307" t="s">
        <v>2946</v>
      </c>
      <c r="J307">
        <f>VLOOKUP(F307,[1]!china_towns_second__2[[Column1]:[Y]],3,FALSE)</f>
        <v>38.505934819554</v>
      </c>
      <c r="K307">
        <f>VLOOKUP(F307,[1]!china_towns_second__2[[Column1]:[Y]],2,FALSE)</f>
        <v>110.9395787</v>
      </c>
      <c r="L307" t="s">
        <v>3886</v>
      </c>
      <c r="M307" t="str">
        <f>VLOOKUP(H307,CHOOSE({1,2},Table12[Native],Table12[Name]),2,0)</f>
        <v>Xīng Xiàn</v>
      </c>
      <c r="N307" s="13" t="str">
        <f>VLOOKUP(I307,CHOOSE({1,2},Table12[Native],Table12[Name]),2,0)</f>
        <v>Lǚliáng Shì</v>
      </c>
      <c r="O307" s="13" t="str">
        <f t="shared" si="8"/>
        <v>Gaojiacun Zhen (Lǚliáng Shì)</v>
      </c>
      <c r="P307" s="13" t="str">
        <f t="shared" si="9"/>
        <v>Gaojiacun Zhen (Lǚliáng Shì)</v>
      </c>
    </row>
    <row r="308" spans="1:16" hidden="1" x14ac:dyDescent="0.25">
      <c r="A308" t="s">
        <v>1478</v>
      </c>
      <c r="B308" t="str">
        <f>IF(COUNTIF(A:A,A308)&gt;1,_xlfn.CONCAT(A308," (",N308,")"),A308)</f>
        <v>Gāojiāgōu Xiāng</v>
      </c>
      <c r="C308" t="str">
        <f>IF(COUNTIF(B:B,B308)&gt;1,_xlfn.CONCAT(A308," (",M308,")"),B308)</f>
        <v>Gāojiāgōu Xiāng</v>
      </c>
      <c r="D308" t="s">
        <v>1479</v>
      </c>
      <c r="E308" t="s">
        <v>17</v>
      </c>
      <c r="F308" t="str">
        <f>_xlfn.CONCAT(D308,", ",H308,", ",I308,", ","山西省")</f>
        <v>高家沟乡, 柳林县, 吕梁市, 山西省</v>
      </c>
      <c r="G308">
        <v>10072</v>
      </c>
      <c r="H308" t="s">
        <v>2954</v>
      </c>
      <c r="I308" t="s">
        <v>2946</v>
      </c>
      <c r="J308" t="e">
        <f>VLOOKUP(F308,[1]!china_towns_second__2[[Column1]:[Y]],3,FALSE)</f>
        <v>#N/A</v>
      </c>
      <c r="K308" t="e">
        <f>VLOOKUP(F308,[1]!china_towns_second__2[[Column1]:[Y]],2,FALSE)</f>
        <v>#N/A</v>
      </c>
      <c r="L308" t="s">
        <v>3887</v>
      </c>
      <c r="M308" t="str">
        <f>VLOOKUP(H308,CHOOSE({1,2},Table12[Native],Table12[Name]),2,0)</f>
        <v>Liŭlín Xiàn</v>
      </c>
      <c r="N308" s="13" t="str">
        <f>VLOOKUP(I308,CHOOSE({1,2},Table12[Native],Table12[Name]),2,0)</f>
        <v>Lǚliáng Shì</v>
      </c>
      <c r="O308" s="13" t="str">
        <f t="shared" si="8"/>
        <v>Gaojiagou Xiang (Lǚliáng Shì)</v>
      </c>
      <c r="P308" s="13" t="str">
        <f t="shared" si="9"/>
        <v>Gaojiagou Xiang (Lǚliáng Shì)</v>
      </c>
    </row>
    <row r="309" spans="1:16" hidden="1" x14ac:dyDescent="0.25">
      <c r="A309" t="s">
        <v>2203</v>
      </c>
      <c r="B309" t="str">
        <f>IF(COUNTIF(A:A,A309)&gt;1,_xlfn.CONCAT(A309," (",N309,")"),A309)</f>
        <v>Gāojiāhuì Xiāng</v>
      </c>
      <c r="C309" t="str">
        <f>IF(COUNTIF(B:B,B309)&gt;1,_xlfn.CONCAT(A309," (",M309,")"),B309)</f>
        <v>Gāojiāhuì Xiāng</v>
      </c>
      <c r="D309" t="s">
        <v>2204</v>
      </c>
      <c r="E309" t="s">
        <v>17</v>
      </c>
      <c r="F309" t="str">
        <f>_xlfn.CONCAT(D309,", ",H309,", ",I309,", ","山西省")</f>
        <v>高家会乡, 岢岚县, 忻州市, 山西省</v>
      </c>
      <c r="G309">
        <v>6639</v>
      </c>
      <c r="H309" t="s">
        <v>2988</v>
      </c>
      <c r="I309" t="s">
        <v>2981</v>
      </c>
      <c r="J309" t="e">
        <f>VLOOKUP(F309,[1]!china_towns_second__2[[Column1]:[Y]],3,FALSE)</f>
        <v>#N/A</v>
      </c>
      <c r="K309" t="e">
        <f>VLOOKUP(F309,[1]!china_towns_second__2[[Column1]:[Y]],2,FALSE)</f>
        <v>#N/A</v>
      </c>
      <c r="L309" t="s">
        <v>3888</v>
      </c>
      <c r="M309" t="str">
        <f>VLOOKUP(H309,CHOOSE({1,2},Table12[Native],Table12[Name]),2,0)</f>
        <v>Kĕlán Xiàn</v>
      </c>
      <c r="N309" s="13" t="str">
        <f>VLOOKUP(I309,CHOOSE({1,2},Table12[Native],Table12[Name]),2,0)</f>
        <v>Xīnzhōu Shì</v>
      </c>
      <c r="O309" s="13" t="str">
        <f t="shared" si="8"/>
        <v>Gaojiahui Xiang (Xīnzhōu Shì)</v>
      </c>
      <c r="P309" s="13" t="str">
        <f t="shared" si="9"/>
        <v>Gaojiahui Xiang (Xīnzhōu Shì)</v>
      </c>
    </row>
    <row r="310" spans="1:16" hidden="1" x14ac:dyDescent="0.25">
      <c r="A310" t="s">
        <v>2648</v>
      </c>
      <c r="B310" t="str">
        <f>IF(COUNTIF(A:A,A310)&gt;1,_xlfn.CONCAT(A310," (",N310,")"),A310)</f>
        <v>Gāoluò Xiāng</v>
      </c>
      <c r="C310" t="str">
        <f>IF(COUNTIF(B:B,B310)&gt;1,_xlfn.CONCAT(A310," (",M310,")"),B310)</f>
        <v>Gāoluò Xiāng</v>
      </c>
      <c r="D310" t="s">
        <v>2649</v>
      </c>
      <c r="E310" t="s">
        <v>17</v>
      </c>
      <c r="F310" t="str">
        <f>_xlfn.CONCAT(D310,", ",H310,", ",I310,", ","山西省")</f>
        <v>皋落乡, 垣曲县, 运城市, 山西省</v>
      </c>
      <c r="G310">
        <v>20720</v>
      </c>
      <c r="H310" t="s">
        <v>3016</v>
      </c>
      <c r="I310" t="s">
        <v>3003</v>
      </c>
      <c r="J310" t="e">
        <f>VLOOKUP(F310,[1]!china_towns_second__2[[Column1]:[Y]],3,FALSE)</f>
        <v>#N/A</v>
      </c>
      <c r="K310" t="e">
        <f>VLOOKUP(F310,[1]!china_towns_second__2[[Column1]:[Y]],2,FALSE)</f>
        <v>#N/A</v>
      </c>
      <c r="L310" t="s">
        <v>3889</v>
      </c>
      <c r="M310" t="str">
        <f>VLOOKUP(H310,CHOOSE({1,2},Table12[Native],Table12[Name]),2,0)</f>
        <v>Yuánqŭ Xiàn</v>
      </c>
      <c r="N310" s="13" t="str">
        <f>VLOOKUP(I310,CHOOSE({1,2},Table12[Native],Table12[Name]),2,0)</f>
        <v>Yùnchéng Shì</v>
      </c>
      <c r="O310" s="13" t="str">
        <f t="shared" si="8"/>
        <v>Gaoluo Xiang (Yùnchéng Shì)</v>
      </c>
      <c r="P310" s="13" t="str">
        <f t="shared" si="9"/>
        <v>Gaoluo Xiang (Yùnchéng Shì)</v>
      </c>
    </row>
    <row r="311" spans="1:16" hidden="1" x14ac:dyDescent="0.25">
      <c r="A311" t="s">
        <v>845</v>
      </c>
      <c r="B311" t="str">
        <f>IF(COUNTIF(A:A,A311)&gt;1,_xlfn.CONCAT(A311," (",N311,")"),A311)</f>
        <v>Gāoluò Zhèn</v>
      </c>
      <c r="C311" t="str">
        <f>IF(COUNTIF(B:B,B311)&gt;1,_xlfn.CONCAT(A311," (",M311,")"),B311)</f>
        <v>Gāoluò Zhèn</v>
      </c>
      <c r="D311" t="s">
        <v>846</v>
      </c>
      <c r="E311" t="s">
        <v>7</v>
      </c>
      <c r="F311" t="str">
        <f>_xlfn.CONCAT(D311,", ",H311,", ",I311,", ","山西省")</f>
        <v>皋落镇, 昔阳县, 晋中市, 山西省</v>
      </c>
      <c r="G311">
        <v>11045</v>
      </c>
      <c r="H311" t="s">
        <v>2922</v>
      </c>
      <c r="I311" t="s">
        <v>2914</v>
      </c>
      <c r="J311">
        <f>VLOOKUP(F311,[1]!china_towns_second__2[[Column1]:[Y]],3,FALSE)</f>
        <v>37.438784790480597</v>
      </c>
      <c r="K311">
        <f>VLOOKUP(F311,[1]!china_towns_second__2[[Column1]:[Y]],2,FALSE)</f>
        <v>113.9367548</v>
      </c>
      <c r="L311" t="s">
        <v>3890</v>
      </c>
      <c r="M311" t="str">
        <f>VLOOKUP(H311,CHOOSE({1,2},Table12[Native],Table12[Name]),2,0)</f>
        <v>Xīyáng Xiàn</v>
      </c>
      <c r="N311" s="13" t="str">
        <f>VLOOKUP(I311,CHOOSE({1,2},Table12[Native],Table12[Name]),2,0)</f>
        <v>Jìnzhōng Shì</v>
      </c>
      <c r="O311" s="13" t="str">
        <f t="shared" si="8"/>
        <v>Gaoluo Zhen (Jìnzhōng Shì)</v>
      </c>
      <c r="P311" s="13" t="str">
        <f t="shared" si="9"/>
        <v>Gaoluo Zhen (Jìnzhōng Shì)</v>
      </c>
    </row>
    <row r="312" spans="1:16" hidden="1" x14ac:dyDescent="0.25">
      <c r="A312" t="s">
        <v>379</v>
      </c>
      <c r="B312" t="str">
        <f>IF(COUNTIF(A:A,A312)&gt;1,_xlfn.CONCAT(A312," (",N312,")"),A312)</f>
        <v>Gāoshān Zhèn</v>
      </c>
      <c r="C312" t="str">
        <f>IF(COUNTIF(B:B,B312)&gt;1,_xlfn.CONCAT(A312," (",M312,")"),B312)</f>
        <v>Gāoshān Zhèn</v>
      </c>
      <c r="D312" t="s">
        <v>380</v>
      </c>
      <c r="E312" t="s">
        <v>7</v>
      </c>
      <c r="F312" t="str">
        <f>_xlfn.CONCAT(D312,", ",H312,", ",I312,", ","山西省")</f>
        <v>高山镇, 云冈区, 大同市, 山西省</v>
      </c>
      <c r="G312">
        <v>13887</v>
      </c>
      <c r="H312" t="s">
        <v>2902</v>
      </c>
      <c r="I312" t="s">
        <v>2894</v>
      </c>
      <c r="J312">
        <f>VLOOKUP(F312,[1]!china_towns_second__2[[Column1]:[Y]],3,FALSE)</f>
        <v>40.0643869139016</v>
      </c>
      <c r="K312">
        <f>VLOOKUP(F312,[1]!china_towns_second__2[[Column1]:[Y]],2,FALSE)</f>
        <v>112.98532489999999</v>
      </c>
      <c r="L312" t="s">
        <v>3891</v>
      </c>
      <c r="M312" t="str">
        <f>VLOOKUP(H312,CHOOSE({1,2},Table12[Native],Table12[Name]),2,0)</f>
        <v>Yúngāng Qū</v>
      </c>
      <c r="N312" s="13" t="str">
        <f>VLOOKUP(I312,CHOOSE({1,2},Table12[Native],Table12[Name]),2,0)</f>
        <v>Dàtóng Shì</v>
      </c>
      <c r="O312" s="13" t="str">
        <f t="shared" si="8"/>
        <v>Gaoshan Zhen (Dàtóng Shì)</v>
      </c>
      <c r="P312" s="13" t="str">
        <f t="shared" si="9"/>
        <v>Gaoshan Zhen (Dàtóng Shì)</v>
      </c>
    </row>
    <row r="313" spans="1:16" hidden="1" x14ac:dyDescent="0.25">
      <c r="A313" t="s">
        <v>1767</v>
      </c>
      <c r="B313" t="str">
        <f>IF(COUNTIF(A:A,A313)&gt;1,_xlfn.CONCAT(A313," (",N313,")"),A313)</f>
        <v>Gāoshízhuāng Xiāng</v>
      </c>
      <c r="C313" t="str">
        <f>IF(COUNTIF(B:B,B313)&gt;1,_xlfn.CONCAT(A313," (",M313,")"),B313)</f>
        <v>Gāoshízhuāng Xiāng</v>
      </c>
      <c r="D313" t="s">
        <v>1768</v>
      </c>
      <c r="E313" t="s">
        <v>17</v>
      </c>
      <c r="F313" t="str">
        <f>_xlfn.CONCAT(D313,", ",H313,", ",I313,", ","山西省")</f>
        <v>高石庄乡, 平鲁区, 朔州市, 山西省</v>
      </c>
      <c r="G313">
        <v>6235</v>
      </c>
      <c r="H313" t="s">
        <v>2963</v>
      </c>
      <c r="I313" t="s">
        <v>2961</v>
      </c>
      <c r="J313" t="e">
        <f>VLOOKUP(F313,[1]!china_towns_second__2[[Column1]:[Y]],3,FALSE)</f>
        <v>#N/A</v>
      </c>
      <c r="K313" t="e">
        <f>VLOOKUP(F313,[1]!china_towns_second__2[[Column1]:[Y]],2,FALSE)</f>
        <v>#N/A</v>
      </c>
      <c r="L313" t="s">
        <v>3892</v>
      </c>
      <c r="M313" t="str">
        <f>VLOOKUP(H313,CHOOSE({1,2},Table12[Native],Table12[Name]),2,0)</f>
        <v>Pínglŭ Qū</v>
      </c>
      <c r="N313" s="13" t="str">
        <f>VLOOKUP(I313,CHOOSE({1,2},Table12[Native],Table12[Name]),2,0)</f>
        <v>Shuòzhōu Shì</v>
      </c>
      <c r="O313" s="13" t="str">
        <f t="shared" si="8"/>
        <v>Gaoshizhuang Xiang (Shuòzhōu Shì)</v>
      </c>
      <c r="P313" s="13" t="str">
        <f t="shared" si="9"/>
        <v>Gaoshizhuang Xiang (Shuòzhōu Shì)</v>
      </c>
    </row>
    <row r="314" spans="1:16" hidden="1" x14ac:dyDescent="0.25">
      <c r="A314" t="s">
        <v>1142</v>
      </c>
      <c r="B314" t="str">
        <f>IF(COUNTIF(A:A,A314)&gt;1,_xlfn.CONCAT(A314," (",N314,")"),A314)</f>
        <v>Gāoxiăn Zhèn</v>
      </c>
      <c r="C314" t="str">
        <f>IF(COUNTIF(B:B,B314)&gt;1,_xlfn.CONCAT(A314," (",M314,")"),B314)</f>
        <v>Gāoxiăn Zhèn</v>
      </c>
      <c r="D314" t="s">
        <v>1143</v>
      </c>
      <c r="E314" t="s">
        <v>7</v>
      </c>
      <c r="F314" t="str">
        <f>_xlfn.CONCAT(D314,", ",H314,", ",I314,", ","山西省")</f>
        <v>高显镇, 曲沃县, 临汾市, 山西省</v>
      </c>
      <c r="G314">
        <v>29825</v>
      </c>
      <c r="H314" t="s">
        <v>2938</v>
      </c>
      <c r="I314" t="s">
        <v>2927</v>
      </c>
      <c r="J314">
        <f>VLOOKUP(F314,[1]!china_towns_second__2[[Column1]:[Y]],3,FALSE)</f>
        <v>35.703034944891698</v>
      </c>
      <c r="K314">
        <f>VLOOKUP(F314,[1]!china_towns_second__2[[Column1]:[Y]],2,FALSE)</f>
        <v>111.45203239999999</v>
      </c>
      <c r="L314" t="s">
        <v>3893</v>
      </c>
      <c r="M314" t="str">
        <f>VLOOKUP(H314,CHOOSE({1,2},Table12[Native],Table12[Name]),2,0)</f>
        <v>Qŭwò Xiàn</v>
      </c>
      <c r="N314" s="13" t="str">
        <f>VLOOKUP(I314,CHOOSE({1,2},Table12[Native],Table12[Name]),2,0)</f>
        <v>Línfén Shì</v>
      </c>
      <c r="O314" s="13" t="str">
        <f t="shared" si="8"/>
        <v>Gaoxian Zhen (Línfén Shì)</v>
      </c>
      <c r="P314" s="13" t="str">
        <f t="shared" si="9"/>
        <v>Gaoxian Zhen (Línfén Shì)</v>
      </c>
    </row>
    <row r="315" spans="1:16" hidden="1" x14ac:dyDescent="0.25">
      <c r="A315" t="s">
        <v>1480</v>
      </c>
      <c r="B315" t="str">
        <f>IF(COUNTIF(A:A,A315)&gt;1,_xlfn.CONCAT(A315," (",N315,")"),A315)</f>
        <v>Gāoyáng Zhèn</v>
      </c>
      <c r="C315" t="str">
        <f>IF(COUNTIF(B:B,B315)&gt;1,_xlfn.CONCAT(A315," (",M315,")"),B315)</f>
        <v>Gāoyáng Zhèn</v>
      </c>
      <c r="D315" t="s">
        <v>1481</v>
      </c>
      <c r="E315" t="s">
        <v>7</v>
      </c>
      <c r="F315" t="str">
        <f>_xlfn.CONCAT(D315,", ",H315,", ",I315,", ","山西省")</f>
        <v>高阳镇, 孝义市, 吕梁市, 山西省</v>
      </c>
      <c r="G315">
        <v>40393</v>
      </c>
      <c r="H315" t="s">
        <v>2957</v>
      </c>
      <c r="I315" t="s">
        <v>2946</v>
      </c>
      <c r="J315">
        <f>VLOOKUP(F315,[1]!china_towns_second__2[[Column1]:[Y]],3,FALSE)</f>
        <v>37.140271890238203</v>
      </c>
      <c r="K315">
        <f>VLOOKUP(F315,[1]!china_towns_second__2[[Column1]:[Y]],2,FALSE)</f>
        <v>111.69232770000001</v>
      </c>
      <c r="L315" t="s">
        <v>3894</v>
      </c>
      <c r="M315" t="str">
        <f>VLOOKUP(H315,CHOOSE({1,2},Table12[Native],Table12[Name]),2,0)</f>
        <v>Xiàoyì Shì</v>
      </c>
      <c r="N315" s="13" t="str">
        <f>VLOOKUP(I315,CHOOSE({1,2},Table12[Native],Table12[Name]),2,0)</f>
        <v>Lǚliáng Shì</v>
      </c>
      <c r="O315" s="13" t="str">
        <f t="shared" si="8"/>
        <v>Gaoyang Zhen (Lǚliáng Shì)</v>
      </c>
      <c r="P315" s="13" t="str">
        <f t="shared" si="9"/>
        <v>Gaoyang Zhen (Lǚliáng Shì)</v>
      </c>
    </row>
    <row r="316" spans="1:16" hidden="1" x14ac:dyDescent="0.25">
      <c r="A316" t="s">
        <v>1482</v>
      </c>
      <c r="B316" t="str">
        <f>IF(COUNTIF(A:A,A316)&gt;1,_xlfn.CONCAT(A316," (",N316,")"),A316)</f>
        <v>Gēdashàng Xiāng</v>
      </c>
      <c r="C316" t="str">
        <f>IF(COUNTIF(B:B,B316)&gt;1,_xlfn.CONCAT(A316," (",M316,")"),B316)</f>
        <v>Gēdashàng Xiāng</v>
      </c>
      <c r="D316" t="s">
        <v>1483</v>
      </c>
      <c r="E316" t="s">
        <v>17</v>
      </c>
      <c r="F316" t="str">
        <f>_xlfn.CONCAT(D316,", ",H316,", ",I316,", ","山西省")</f>
        <v>圪垯上乡, 兴县, 吕梁市, 山西省</v>
      </c>
      <c r="G316">
        <v>7092</v>
      </c>
      <c r="H316" t="s">
        <v>2958</v>
      </c>
      <c r="I316" t="s">
        <v>2946</v>
      </c>
      <c r="J316" t="e">
        <f>VLOOKUP(F316,[1]!china_towns_second__2[[Column1]:[Y]],3,FALSE)</f>
        <v>#N/A</v>
      </c>
      <c r="K316" t="e">
        <f>VLOOKUP(F316,[1]!china_towns_second__2[[Column1]:[Y]],2,FALSE)</f>
        <v>#N/A</v>
      </c>
      <c r="L316" t="s">
        <v>3895</v>
      </c>
      <c r="M316" t="str">
        <f>VLOOKUP(H316,CHOOSE({1,2},Table12[Native],Table12[Name]),2,0)</f>
        <v>Xīng Xiàn</v>
      </c>
      <c r="N316" s="13" t="str">
        <f>VLOOKUP(I316,CHOOSE({1,2},Table12[Native],Table12[Name]),2,0)</f>
        <v>Lǚliáng Shì</v>
      </c>
      <c r="O316" s="13" t="str">
        <f t="shared" si="8"/>
        <v>Gedashang Xiang (Lǚliáng Shì)</v>
      </c>
      <c r="P316" s="13" t="str">
        <f t="shared" si="9"/>
        <v>Gedashang Xiang (Lǚliáng Shì)</v>
      </c>
    </row>
    <row r="317" spans="1:16" hidden="1" x14ac:dyDescent="0.25">
      <c r="A317" t="s">
        <v>1144</v>
      </c>
      <c r="B317" t="str">
        <f>IF(COUNTIF(A:A,A317)&gt;1,_xlfn.CONCAT(A317," (",N317,")"),A317)</f>
        <v>Gédĭ Xiāng</v>
      </c>
      <c r="C317" t="str">
        <f>IF(COUNTIF(B:B,B317)&gt;1,_xlfn.CONCAT(A317," (",M317,")"),B317)</f>
        <v>Gédĭ Xiāng</v>
      </c>
      <c r="D317" t="s">
        <v>1145</v>
      </c>
      <c r="E317" t="s">
        <v>17</v>
      </c>
      <c r="F317" t="str">
        <f>_xlfn.CONCAT(D317,", ",H317,", ",I317,", ","山西省")</f>
        <v>阁底乡, 永和县, 临汾市, 山西省</v>
      </c>
      <c r="G317">
        <v>10737</v>
      </c>
      <c r="H317" t="s">
        <v>2944</v>
      </c>
      <c r="I317" t="s">
        <v>2927</v>
      </c>
      <c r="J317" t="e">
        <f>VLOOKUP(F317,[1]!china_towns_second__2[[Column1]:[Y]],3,FALSE)</f>
        <v>#N/A</v>
      </c>
      <c r="K317" t="e">
        <f>VLOOKUP(F317,[1]!china_towns_second__2[[Column1]:[Y]],2,FALSE)</f>
        <v>#N/A</v>
      </c>
      <c r="L317" t="s">
        <v>3896</v>
      </c>
      <c r="M317" t="str">
        <f>VLOOKUP(H317,CHOOSE({1,2},Table12[Native],Table12[Name]),2,0)</f>
        <v>Yŏnghé Xiàn</v>
      </c>
      <c r="N317" s="13" t="str">
        <f>VLOOKUP(I317,CHOOSE({1,2},Table12[Native],Table12[Name]),2,0)</f>
        <v>Línfén Shì</v>
      </c>
      <c r="O317" s="13" t="str">
        <f t="shared" si="8"/>
        <v>Gedi Xiang (Línfén Shì)</v>
      </c>
      <c r="P317" s="13" t="str">
        <f t="shared" si="9"/>
        <v>Gedi Xiang (Línfén Shì)</v>
      </c>
    </row>
    <row r="318" spans="1:16" hidden="1" x14ac:dyDescent="0.25">
      <c r="A318" t="s">
        <v>1484</v>
      </c>
      <c r="B318" t="str">
        <f>IF(COUNTIF(A:A,A318)&gt;1,_xlfn.CONCAT(A318," (",N318,")"),A318)</f>
        <v>Gēdòng Zhèn</v>
      </c>
      <c r="C318" t="str">
        <f>IF(COUNTIF(B:B,B318)&gt;1,_xlfn.CONCAT(A318," (",M318,")"),B318)</f>
        <v>Gēdòng Zhèn</v>
      </c>
      <c r="D318" t="s">
        <v>1485</v>
      </c>
      <c r="E318" t="s">
        <v>7</v>
      </c>
      <c r="F318" t="str">
        <f>_xlfn.CONCAT(D318,", ",H318,", ",I318,", ","山西省")</f>
        <v>圪洞镇, 方山县, 吕梁市, 山西省</v>
      </c>
      <c r="G318">
        <v>43409</v>
      </c>
      <c r="H318" t="s">
        <v>2947</v>
      </c>
      <c r="I318" t="s">
        <v>2946</v>
      </c>
      <c r="J318">
        <f>VLOOKUP(F318,[1]!china_towns_second__2[[Column1]:[Y]],3,FALSE)</f>
        <v>37.860955327562202</v>
      </c>
      <c r="K318">
        <f>VLOOKUP(F318,[1]!china_towns_second__2[[Column1]:[Y]],2,FALSE)</f>
        <v>111.2595585</v>
      </c>
      <c r="L318" t="s">
        <v>3897</v>
      </c>
      <c r="M318" t="str">
        <f>VLOOKUP(H318,CHOOSE({1,2},Table12[Native],Table12[Name]),2,0)</f>
        <v>Fāngshān Xiàn</v>
      </c>
      <c r="N318" s="13" t="str">
        <f>VLOOKUP(I318,CHOOSE({1,2},Table12[Native],Table12[Name]),2,0)</f>
        <v>Lǚliáng Shì</v>
      </c>
      <c r="O318" s="13" t="str">
        <f t="shared" si="8"/>
        <v>Gedong Zhen (Lǚliáng Shì)</v>
      </c>
      <c r="P318" s="13" t="str">
        <f t="shared" si="9"/>
        <v>Gedong Zhen (Lǚliáng Shì)</v>
      </c>
    </row>
    <row r="319" spans="1:16" hidden="1" x14ac:dyDescent="0.25">
      <c r="A319" t="s">
        <v>2205</v>
      </c>
      <c r="B319" t="str">
        <f>IF(COUNTIF(A:A,A319)&gt;1,_xlfn.CONCAT(A319," (",N319,")"),A319)</f>
        <v>Gēliào Xiāng</v>
      </c>
      <c r="C319" t="str">
        <f>IF(COUNTIF(B:B,B319)&gt;1,_xlfn.CONCAT(A319," (",M319,")"),B319)</f>
        <v>Gēliào Xiāng</v>
      </c>
      <c r="D319" t="s">
        <v>2206</v>
      </c>
      <c r="E319" t="s">
        <v>17</v>
      </c>
      <c r="F319" t="str">
        <f>_xlfn.CONCAT(D319,", ",H319,", ",I319,", ","山西省")</f>
        <v>圪廖乡, 宁武县, 忻州市, 山西省</v>
      </c>
      <c r="G319">
        <v>3123</v>
      </c>
      <c r="H319" t="s">
        <v>2989</v>
      </c>
      <c r="I319" t="s">
        <v>2981</v>
      </c>
      <c r="J319" t="e">
        <f>VLOOKUP(F319,[1]!china_towns_second__2[[Column1]:[Y]],3,FALSE)</f>
        <v>#N/A</v>
      </c>
      <c r="K319" t="e">
        <f>VLOOKUP(F319,[1]!china_towns_second__2[[Column1]:[Y]],2,FALSE)</f>
        <v>#N/A</v>
      </c>
      <c r="L319" t="s">
        <v>3898</v>
      </c>
      <c r="M319" t="str">
        <f>VLOOKUP(H319,CHOOSE({1,2},Table12[Native],Table12[Name]),2,0)</f>
        <v>Níngwŭ Xiàn</v>
      </c>
      <c r="N319" s="13" t="str">
        <f>VLOOKUP(I319,CHOOSE({1,2},Table12[Native],Table12[Name]),2,0)</f>
        <v>Xīnzhōu Shì</v>
      </c>
      <c r="O319" s="13" t="str">
        <f t="shared" si="8"/>
        <v>Geliao Xiang (Xīnzhōu Shì)</v>
      </c>
      <c r="P319" s="13" t="str">
        <f t="shared" si="9"/>
        <v>Geliao Xiang (Xīnzhōu Shì)</v>
      </c>
    </row>
    <row r="320" spans="1:16" hidden="1" x14ac:dyDescent="0.25">
      <c r="A320" t="s">
        <v>2207</v>
      </c>
      <c r="B320" t="str">
        <f>IF(COUNTIF(A:A,A320)&gt;1,_xlfn.CONCAT(A320," (",N320,")"),A320)</f>
        <v>Gĕngzhèn Zhèn</v>
      </c>
      <c r="C320" t="str">
        <f>IF(COUNTIF(B:B,B320)&gt;1,_xlfn.CONCAT(A320," (",M320,")"),B320)</f>
        <v>Gĕngzhèn Zhèn</v>
      </c>
      <c r="D320" t="s">
        <v>2208</v>
      </c>
      <c r="E320" t="s">
        <v>7</v>
      </c>
      <c r="F320" t="str">
        <f>_xlfn.CONCAT(D320,", ",H320,", ",I320,", ","山西省")</f>
        <v>耿镇镇, 五台县, 忻州市, 山西省</v>
      </c>
      <c r="G320">
        <v>14861</v>
      </c>
      <c r="H320" t="s">
        <v>2992</v>
      </c>
      <c r="I320" t="s">
        <v>2981</v>
      </c>
      <c r="J320">
        <f>VLOOKUP(F320,[1]!china_towns_second__2[[Column1]:[Y]],3,FALSE)</f>
        <v>38.729081407165303</v>
      </c>
      <c r="K320">
        <f>VLOOKUP(F320,[1]!china_towns_second__2[[Column1]:[Y]],2,FALSE)</f>
        <v>113.5838416</v>
      </c>
      <c r="L320" t="s">
        <v>3899</v>
      </c>
      <c r="M320" t="str">
        <f>VLOOKUP(H320,CHOOSE({1,2},Table12[Native],Table12[Name]),2,0)</f>
        <v>Wŭtái Xiàn</v>
      </c>
      <c r="N320" s="13" t="str">
        <f>VLOOKUP(I320,CHOOSE({1,2},Table12[Native],Table12[Name]),2,0)</f>
        <v>Xīnzhōu Shì</v>
      </c>
      <c r="O320" s="13" t="str">
        <f t="shared" si="8"/>
        <v>Gengzhen Zhen (Xīnzhōu Shì)</v>
      </c>
      <c r="P320" s="13" t="str">
        <f t="shared" si="9"/>
        <v>Gengzhen Zhen (Xīnzhōu Shì)</v>
      </c>
    </row>
    <row r="321" spans="1:16" hidden="1" x14ac:dyDescent="0.25">
      <c r="A321" t="s">
        <v>1930</v>
      </c>
      <c r="B321" t="str">
        <f>IF(COUNTIF(A:A,A321)&gt;1,_xlfn.CONCAT(A321," (",N321,")"),A321)</f>
        <v>Géshàng Xiāng</v>
      </c>
      <c r="C321" t="str">
        <f>IF(COUNTIF(B:B,B321)&gt;1,_xlfn.CONCAT(A321," (",M321,")"),B321)</f>
        <v>Géshàng Xiāng</v>
      </c>
      <c r="D321" t="s">
        <v>1931</v>
      </c>
      <c r="E321" t="s">
        <v>17</v>
      </c>
      <c r="F321" t="str">
        <f>_xlfn.CONCAT(D321,", ",H321,", ",I321,", ","山西省")</f>
        <v>阁上乡, 古交市, 太原市, 山西省</v>
      </c>
      <c r="G321">
        <v>512</v>
      </c>
      <c r="H321" t="s">
        <v>2970</v>
      </c>
      <c r="I321" t="s">
        <v>2969</v>
      </c>
      <c r="J321" t="e">
        <f>VLOOKUP(F321,[1]!china_towns_second__2[[Column1]:[Y]],3,FALSE)</f>
        <v>#N/A</v>
      </c>
      <c r="K321" t="e">
        <f>VLOOKUP(F321,[1]!china_towns_second__2[[Column1]:[Y]],2,FALSE)</f>
        <v>#N/A</v>
      </c>
      <c r="L321" t="s">
        <v>3900</v>
      </c>
      <c r="M321" t="str">
        <f>VLOOKUP(H321,CHOOSE({1,2},Table12[Native],Table12[Name]),2,0)</f>
        <v>Gŭjiāo Shì</v>
      </c>
      <c r="N321" s="13" t="str">
        <f>VLOOKUP(I321,CHOOSE({1,2},Table12[Native],Table12[Name]),2,0)</f>
        <v>Tàiyuán Shì</v>
      </c>
      <c r="O321" s="13" t="str">
        <f t="shared" si="8"/>
        <v>Geshang Xiang (Tàiyuán Shì)</v>
      </c>
      <c r="P321" s="13" t="str">
        <f t="shared" si="9"/>
        <v>Geshang Xiang (Tàiyuán Shì)</v>
      </c>
    </row>
    <row r="322" spans="1:16" hidden="1" x14ac:dyDescent="0.25">
      <c r="A322" t="s">
        <v>2209</v>
      </c>
      <c r="B322" t="str">
        <f>IF(COUNTIF(A:A,A322)&gt;1,_xlfn.CONCAT(A322," (",N322,")"),A322)</f>
        <v>Gōunán Xiāng</v>
      </c>
      <c r="C322" t="str">
        <f>IF(COUNTIF(B:B,B322)&gt;1,_xlfn.CONCAT(A322," (",M322,")"),B322)</f>
        <v>Gōunán Xiāng</v>
      </c>
      <c r="D322" t="s">
        <v>2210</v>
      </c>
      <c r="E322" t="s">
        <v>17</v>
      </c>
      <c r="F322" t="str">
        <f>_xlfn.CONCAT(D322,", ",H322,", ",I322,", ","山西省")</f>
        <v>沟南乡, 五台县, 忻州市, 山西省</v>
      </c>
      <c r="G322">
        <v>23448</v>
      </c>
      <c r="H322" t="s">
        <v>2992</v>
      </c>
      <c r="I322" t="s">
        <v>2981</v>
      </c>
      <c r="J322" t="e">
        <f>VLOOKUP(F322,[1]!china_towns_second__2[[Column1]:[Y]],3,FALSE)</f>
        <v>#N/A</v>
      </c>
      <c r="K322" t="e">
        <f>VLOOKUP(F322,[1]!china_towns_second__2[[Column1]:[Y]],2,FALSE)</f>
        <v>#N/A</v>
      </c>
      <c r="L322" t="s">
        <v>3901</v>
      </c>
      <c r="M322" t="str">
        <f>VLOOKUP(H322,CHOOSE({1,2},Table12[Native],Table12[Name]),2,0)</f>
        <v>Wŭtái Xiàn</v>
      </c>
      <c r="N322" s="13" t="str">
        <f>VLOOKUP(I322,CHOOSE({1,2},Table12[Native],Table12[Name]),2,0)</f>
        <v>Xīnzhōu Shì</v>
      </c>
      <c r="O322" s="13" t="str">
        <f t="shared" ref="O322:O385" si="10">_xlfn.CONCAT(L322," (",N322,")")</f>
        <v>Gounan Xiang (Xīnzhōu Shì)</v>
      </c>
      <c r="P322" s="13" t="str">
        <f t="shared" ref="P322:P385" si="11">IF(COUNTIF(O:O,O322)&gt;1,_xlfn.CONCAT(L322," (",M322,")"),O322)</f>
        <v>Gounan Xiang (Xīnzhōu Shì)</v>
      </c>
    </row>
    <row r="323" spans="1:16" hidden="1" x14ac:dyDescent="0.25">
      <c r="A323" t="s">
        <v>847</v>
      </c>
      <c r="B323" t="str">
        <f>IF(COUNTIF(A:A,A323)&gt;1,_xlfn.CONCAT(A323," (",N323,")"),A323)</f>
        <v>Guăi'ér Zhèn</v>
      </c>
      <c r="C323" t="str">
        <f>IF(COUNTIF(B:B,B323)&gt;1,_xlfn.CONCAT(A323," (",M323,")"),B323)</f>
        <v>Guăi'ér Zhèn</v>
      </c>
      <c r="D323" t="s">
        <v>848</v>
      </c>
      <c r="E323" t="s">
        <v>7</v>
      </c>
      <c r="F323" t="str">
        <f>_xlfn.CONCAT(D323,", ",H323,", ",I323,", ","山西省")</f>
        <v>拐儿镇, 左权县, 晋中市, 山西省</v>
      </c>
      <c r="G323">
        <v>9675</v>
      </c>
      <c r="H323" t="s">
        <v>2925</v>
      </c>
      <c r="I323" t="s">
        <v>2914</v>
      </c>
      <c r="J323">
        <f>VLOOKUP(F323,[1]!china_towns_second__2[[Column1]:[Y]],3,FALSE)</f>
        <v>37.089164449162098</v>
      </c>
      <c r="K323">
        <f>VLOOKUP(F323,[1]!china_towns_second__2[[Column1]:[Y]],2,FALSE)</f>
        <v>113.594758</v>
      </c>
      <c r="L323" t="s">
        <v>3902</v>
      </c>
      <c r="M323" t="str">
        <f>VLOOKUP(H323,CHOOSE({1,2},Table12[Native],Table12[Name]),2,0)</f>
        <v>Zuǒquán Xiàn</v>
      </c>
      <c r="N323" s="13" t="str">
        <f>VLOOKUP(I323,CHOOSE({1,2},Table12[Native],Table12[Name]),2,0)</f>
        <v>Jìnzhōng Shì</v>
      </c>
      <c r="O323" s="13" t="str">
        <f t="shared" si="10"/>
        <v>Guai'er Zhen (Jìnzhōng Shì)</v>
      </c>
      <c r="P323" s="13" t="str">
        <f t="shared" si="11"/>
        <v>Guai'er Zhen (Jìnzhōng Shì)</v>
      </c>
    </row>
    <row r="324" spans="1:16" hidden="1" x14ac:dyDescent="0.25">
      <c r="A324" t="s">
        <v>381</v>
      </c>
      <c r="B324" t="str">
        <f>IF(COUNTIF(A:A,A324)&gt;1,_xlfn.CONCAT(A324," (",N324,")"),A324)</f>
        <v>Guān'ér Xiāng</v>
      </c>
      <c r="C324" t="str">
        <f>IF(COUNTIF(B:B,B324)&gt;1,_xlfn.CONCAT(A324," (",M324,")"),B324)</f>
        <v>Guān'ér Xiāng</v>
      </c>
      <c r="D324" t="s">
        <v>382</v>
      </c>
      <c r="E324" t="s">
        <v>17</v>
      </c>
      <c r="F324" t="str">
        <f>_xlfn.CONCAT(D324,", ",H324,", ",I324,", ","山西省")</f>
        <v>官儿乡, 浑源县, 大同市, 山西省</v>
      </c>
      <c r="G324">
        <v>10909</v>
      </c>
      <c r="H324" t="s">
        <v>2896</v>
      </c>
      <c r="I324" t="s">
        <v>2894</v>
      </c>
      <c r="J324" t="e">
        <f>VLOOKUP(F324,[1]!china_towns_second__2[[Column1]:[Y]],3,FALSE)</f>
        <v>#N/A</v>
      </c>
      <c r="K324" t="e">
        <f>VLOOKUP(F324,[1]!china_towns_second__2[[Column1]:[Y]],2,FALSE)</f>
        <v>#N/A</v>
      </c>
      <c r="L324" t="s">
        <v>3903</v>
      </c>
      <c r="M324" t="str">
        <f>VLOOKUP(H324,CHOOSE({1,2},Table12[Native],Table12[Name]),2,0)</f>
        <v>Húnyuán Xiàn</v>
      </c>
      <c r="N324" s="13" t="str">
        <f>VLOOKUP(I324,CHOOSE({1,2},Table12[Native],Table12[Name]),2,0)</f>
        <v>Dàtóng Shì</v>
      </c>
      <c r="O324" s="13" t="str">
        <f t="shared" si="10"/>
        <v>Guan'er Xiang (Dàtóng Shì)</v>
      </c>
      <c r="P324" s="13" t="str">
        <f t="shared" si="11"/>
        <v>Guan'er Xiang (Dàtóng Shì)</v>
      </c>
    </row>
    <row r="325" spans="1:16" hidden="1" x14ac:dyDescent="0.25">
      <c r="A325" t="s">
        <v>2650</v>
      </c>
      <c r="B325" t="str">
        <f>IF(COUNTIF(A:A,A325)&gt;1,_xlfn.CONCAT(A325," (",N325,")"),A325)</f>
        <v>Guānghuá Xiāng</v>
      </c>
      <c r="C325" t="str">
        <f>IF(COUNTIF(B:B,B325)&gt;1,_xlfn.CONCAT(A325," (",M325,")"),B325)</f>
        <v>Guānghuá Xiāng</v>
      </c>
      <c r="D325" t="s">
        <v>2651</v>
      </c>
      <c r="E325" t="s">
        <v>17</v>
      </c>
      <c r="F325" t="str">
        <f>_xlfn.CONCAT(D325,", ",H325,", ",I325,", ","山西省")</f>
        <v>光华乡, 万荣县, 运城市, 山西省</v>
      </c>
      <c r="G325">
        <v>36075</v>
      </c>
      <c r="H325" t="s">
        <v>3010</v>
      </c>
      <c r="I325" t="s">
        <v>3003</v>
      </c>
      <c r="J325" t="e">
        <f>VLOOKUP(F325,[1]!china_towns_second__2[[Column1]:[Y]],3,FALSE)</f>
        <v>#N/A</v>
      </c>
      <c r="K325" t="e">
        <f>VLOOKUP(F325,[1]!china_towns_second__2[[Column1]:[Y]],2,FALSE)</f>
        <v>#N/A</v>
      </c>
      <c r="L325" t="s">
        <v>3904</v>
      </c>
      <c r="M325" t="str">
        <f>VLOOKUP(H325,CHOOSE({1,2},Table12[Native],Table12[Name]),2,0)</f>
        <v>Wànróng Xiàn</v>
      </c>
      <c r="N325" s="13" t="str">
        <f>VLOOKUP(I325,CHOOSE({1,2},Table12[Native],Table12[Name]),2,0)</f>
        <v>Yùnchéng Shì</v>
      </c>
      <c r="O325" s="13" t="str">
        <f t="shared" si="10"/>
        <v>Guanghua Xiang (Yùnchéng Shì)</v>
      </c>
      <c r="P325" s="13" t="str">
        <f t="shared" si="11"/>
        <v>Guanghua Xiang (Yùnchéng Shì)</v>
      </c>
    </row>
    <row r="326" spans="1:16" hidden="1" x14ac:dyDescent="0.25">
      <c r="A326" t="s">
        <v>1146</v>
      </c>
      <c r="B326" t="str">
        <f>IF(COUNTIF(A:A,A326)&gt;1,_xlfn.CONCAT(A326," (",N326,")"),A326)</f>
        <v>Guānghuá Zhèn</v>
      </c>
      <c r="C326" t="str">
        <f>IF(COUNTIF(B:B,B326)&gt;1,_xlfn.CONCAT(A326," (",M326,")"),B326)</f>
        <v>Guānghuá Zhèn</v>
      </c>
      <c r="D326" t="s">
        <v>1147</v>
      </c>
      <c r="E326" t="s">
        <v>7</v>
      </c>
      <c r="F326" t="str">
        <f>_xlfn.CONCAT(D326,", ",H326,", ",I326,", ","山西省")</f>
        <v>光华镇, 乡宁县, 临汾市, 山西省</v>
      </c>
      <c r="G326">
        <v>21622</v>
      </c>
      <c r="H326" t="s">
        <v>2940</v>
      </c>
      <c r="I326" t="s">
        <v>2927</v>
      </c>
      <c r="J326">
        <f>VLOOKUP(F326,[1]!china_towns_second__2[[Column1]:[Y]],3,FALSE)</f>
        <v>36.0318103204377</v>
      </c>
      <c r="K326">
        <f>VLOOKUP(F326,[1]!china_towns_second__2[[Column1]:[Y]],2,FALSE)</f>
        <v>111.2269706</v>
      </c>
      <c r="L326" t="s">
        <v>3905</v>
      </c>
      <c r="M326" t="str">
        <f>VLOOKUP(H326,CHOOSE({1,2},Table12[Native],Table12[Name]),2,0)</f>
        <v>Xiāngníng Xiàn</v>
      </c>
      <c r="N326" s="13" t="str">
        <f>VLOOKUP(I326,CHOOSE({1,2},Table12[Native],Table12[Name]),2,0)</f>
        <v>Línfén Shì</v>
      </c>
      <c r="O326" s="13" t="str">
        <f t="shared" si="10"/>
        <v>Guanghua Zhen (Línfén Shì)</v>
      </c>
      <c r="P326" s="13" t="str">
        <f t="shared" si="11"/>
        <v>Guanghua Zhen (Línfén Shì)</v>
      </c>
    </row>
    <row r="327" spans="1:16" hidden="1" x14ac:dyDescent="0.25">
      <c r="A327" t="s">
        <v>1932</v>
      </c>
      <c r="B327" t="str">
        <f>IF(COUNTIF(A:A,A327)&gt;1,_xlfn.CONCAT(A327," (",N327,")"),A327)</f>
        <v>Guāngshè Jiēdào</v>
      </c>
      <c r="C327" t="str">
        <f>IF(COUNTIF(B:B,B327)&gt;1,_xlfn.CONCAT(A327," (",M327,")"),B327)</f>
        <v>Guāngshè Jiēdào</v>
      </c>
      <c r="D327" t="s">
        <v>1933</v>
      </c>
      <c r="E327" t="s">
        <v>31</v>
      </c>
      <c r="F327" t="str">
        <f>_xlfn.CONCAT(D327,", ",H327,", ",I327,", ","山西省")</f>
        <v>光社街道, 尖草坪区, 太原市, 山西省</v>
      </c>
      <c r="G327">
        <v>20655</v>
      </c>
      <c r="H327" t="s">
        <v>2971</v>
      </c>
      <c r="I327" t="s">
        <v>2969</v>
      </c>
      <c r="J327">
        <f>VLOOKUP(F327,[1]!china_towns_second__2[[Column1]:[Y]],3,FALSE)</f>
        <v>37.945684881133801</v>
      </c>
      <c r="K327">
        <f>VLOOKUP(F327,[1]!china_towns_second__2[[Column1]:[Y]],2,FALSE)</f>
        <v>112.55793199999999</v>
      </c>
      <c r="L327" t="s">
        <v>3906</v>
      </c>
      <c r="M327" t="str">
        <f>VLOOKUP(H327,CHOOSE({1,2},Table12[Native],Table12[Name]),2,0)</f>
        <v>Jiāncăopíng Qū</v>
      </c>
      <c r="N327" s="13" t="str">
        <f>VLOOKUP(I327,CHOOSE({1,2},Table12[Native],Table12[Name]),2,0)</f>
        <v>Tàiyuán Shì</v>
      </c>
      <c r="O327" s="13" t="str">
        <f t="shared" si="10"/>
        <v>Guangshe Jiedao (Tàiyuán Shì)</v>
      </c>
      <c r="P327" s="13" t="str">
        <f t="shared" si="11"/>
        <v>Guangshe Jiedao (Tàiyuán Shì)</v>
      </c>
    </row>
    <row r="328" spans="1:16" hidden="1" x14ac:dyDescent="0.25">
      <c r="A328" t="s">
        <v>1148</v>
      </c>
      <c r="B328" t="str">
        <f>IF(COUNTIF(A:A,A328)&gt;1,_xlfn.CONCAT(A328," (",N328,")"),A328)</f>
        <v>Guăngshèngsì Zhèn</v>
      </c>
      <c r="C328" t="str">
        <f>IF(COUNTIF(B:B,B328)&gt;1,_xlfn.CONCAT(A328," (",M328,")"),B328)</f>
        <v>Guăngshèngsì Zhèn</v>
      </c>
      <c r="D328" t="s">
        <v>1149</v>
      </c>
      <c r="E328" t="s">
        <v>7</v>
      </c>
      <c r="F328" t="str">
        <f>_xlfn.CONCAT(D328,", ",H328,", ",I328,", ","山西省")</f>
        <v>广胜寺镇, 洪洞县, 临汾市, 山西省</v>
      </c>
      <c r="G328">
        <v>47010</v>
      </c>
      <c r="H328" t="s">
        <v>2933</v>
      </c>
      <c r="I328" t="s">
        <v>2927</v>
      </c>
      <c r="J328">
        <f>VLOOKUP(F328,[1]!china_towns_second__2[[Column1]:[Y]],3,FALSE)</f>
        <v>36.288208576495101</v>
      </c>
      <c r="K328">
        <f>VLOOKUP(F328,[1]!china_towns_second__2[[Column1]:[Y]],2,FALSE)</f>
        <v>111.7846874</v>
      </c>
      <c r="L328" t="s">
        <v>3907</v>
      </c>
      <c r="M328" t="str">
        <f>VLOOKUP(H328,CHOOSE({1,2},Table12[Native],Table12[Name]),2,0)</f>
        <v>Hóngdòng Xiàn</v>
      </c>
      <c r="N328" s="13" t="str">
        <f>VLOOKUP(I328,CHOOSE({1,2},Table12[Native],Table12[Name]),2,0)</f>
        <v>Línfén Shì</v>
      </c>
      <c r="O328" s="13" t="str">
        <f t="shared" si="10"/>
        <v>Guangshengsi Zhen (Línfén Shì)</v>
      </c>
      <c r="P328" s="13" t="str">
        <f t="shared" si="11"/>
        <v>Guangshengsi Zhen (Línfén Shì)</v>
      </c>
    </row>
    <row r="329" spans="1:16" hidden="1" x14ac:dyDescent="0.25">
      <c r="A329" t="s">
        <v>2211</v>
      </c>
      <c r="B329" t="str">
        <f>IF(COUNTIF(A:A,A329)&gt;1,_xlfn.CONCAT(A329," (",N329,")"),A329)</f>
        <v>Guāngyùbăo Xiāng</v>
      </c>
      <c r="C329" t="str">
        <f>IF(COUNTIF(B:B,B329)&gt;1,_xlfn.CONCAT(A329," (",M329,")"),B329)</f>
        <v>Guāngyùbăo Xiāng</v>
      </c>
      <c r="D329" t="s">
        <v>2212</v>
      </c>
      <c r="E329" t="s">
        <v>17</v>
      </c>
      <c r="F329" t="str">
        <f>_xlfn.CONCAT(D329,", ",H329,", ",I329,", ","山西省")</f>
        <v>光裕堡乡, 繁峙县, 忻州市, 山西省</v>
      </c>
      <c r="G329">
        <v>8258</v>
      </c>
      <c r="H329" t="s">
        <v>2985</v>
      </c>
      <c r="I329" t="s">
        <v>2981</v>
      </c>
      <c r="J329" t="e">
        <f>VLOOKUP(F329,[1]!china_towns_second__2[[Column1]:[Y]],3,FALSE)</f>
        <v>#N/A</v>
      </c>
      <c r="K329" t="e">
        <f>VLOOKUP(F329,[1]!china_towns_second__2[[Column1]:[Y]],2,FALSE)</f>
        <v>#N/A</v>
      </c>
      <c r="L329" t="s">
        <v>3908</v>
      </c>
      <c r="M329" t="str">
        <f>VLOOKUP(H329,CHOOSE({1,2},Table12[Native],Table12[Name]),2,0)</f>
        <v>Fánshì Xiàn</v>
      </c>
      <c r="N329" s="13" t="str">
        <f>VLOOKUP(I329,CHOOSE({1,2},Table12[Native],Table12[Name]),2,0)</f>
        <v>Xīnzhōu Shì</v>
      </c>
      <c r="O329" s="13" t="str">
        <f t="shared" si="10"/>
        <v>Guangyubao Xiang (Xīnzhōu Shì)</v>
      </c>
      <c r="P329" s="13" t="str">
        <f t="shared" si="11"/>
        <v>Guangyubao Xiang (Xīnzhōu Shì)</v>
      </c>
    </row>
    <row r="330" spans="1:16" hidden="1" x14ac:dyDescent="0.25">
      <c r="A330" t="s">
        <v>383</v>
      </c>
      <c r="B330" t="str">
        <f>IF(COUNTIF(A:A,A330)&gt;1,_xlfn.CONCAT(A330," (",N330,")"),A330)</f>
        <v>Guănjiābăo Xiāng</v>
      </c>
      <c r="C330" t="str">
        <f>IF(COUNTIF(B:B,B330)&gt;1,_xlfn.CONCAT(A330," (",M330,")"),B330)</f>
        <v>Guănjiābăo Xiāng</v>
      </c>
      <c r="D330" t="s">
        <v>384</v>
      </c>
      <c r="E330" t="s">
        <v>17</v>
      </c>
      <c r="F330" t="str">
        <f>_xlfn.CONCAT(D330,", ",H330,", ",I330,", ","山西省")</f>
        <v>管家堡乡, 左云县, 大同市, 山西省</v>
      </c>
      <c r="G330">
        <v>8774</v>
      </c>
      <c r="H330" t="s">
        <v>2904</v>
      </c>
      <c r="I330" t="s">
        <v>2894</v>
      </c>
      <c r="J330" t="e">
        <f>VLOOKUP(F330,[1]!china_towns_second__2[[Column1]:[Y]],3,FALSE)</f>
        <v>#N/A</v>
      </c>
      <c r="K330" t="e">
        <f>VLOOKUP(F330,[1]!china_towns_second__2[[Column1]:[Y]],2,FALSE)</f>
        <v>#N/A</v>
      </c>
      <c r="L330" t="s">
        <v>3909</v>
      </c>
      <c r="M330" t="str">
        <f>VLOOKUP(H330,CHOOSE({1,2},Table12[Native],Table12[Name]),2,0)</f>
        <v>Zuǒyún Xiàn</v>
      </c>
      <c r="N330" s="13" t="str">
        <f>VLOOKUP(I330,CHOOSE({1,2},Table12[Native],Table12[Name]),2,0)</f>
        <v>Dàtóng Shì</v>
      </c>
      <c r="O330" s="13" t="str">
        <f t="shared" si="10"/>
        <v>Guanjiabao Xiang (Dàtóng Shì)</v>
      </c>
      <c r="P330" s="13" t="str">
        <f t="shared" si="11"/>
        <v>Guanjiabao Xiang (Dàtóng Shì)</v>
      </c>
    </row>
    <row r="331" spans="1:16" hidden="1" x14ac:dyDescent="0.25">
      <c r="A331" t="s">
        <v>2507</v>
      </c>
      <c r="B331" t="str">
        <f>IF(COUNTIF(A:A,A331)&gt;1,_xlfn.CONCAT(A331," (",N331,")"),A331)</f>
        <v>Guānshān Zhèn</v>
      </c>
      <c r="C331" t="str">
        <f>IF(COUNTIF(B:B,B331)&gt;1,_xlfn.CONCAT(A331," (",M331,")"),B331)</f>
        <v>Guānshān Zhèn</v>
      </c>
      <c r="D331" t="s">
        <v>2508</v>
      </c>
      <c r="E331" t="s">
        <v>7</v>
      </c>
      <c r="F331" t="str">
        <f>_xlfn.CONCAT(D331,", ",H331,", ",I331,", ","山西省")</f>
        <v>冠山镇, 平定县, 阳泉市, 山西省</v>
      </c>
      <c r="G331">
        <v>122675</v>
      </c>
      <c r="H331" t="s">
        <v>3000</v>
      </c>
      <c r="I331" t="s">
        <v>2997</v>
      </c>
      <c r="J331">
        <f>VLOOKUP(F331,[1]!china_towns_second__2[[Column1]:[Y]],3,FALSE)</f>
        <v>37.795933628945903</v>
      </c>
      <c r="K331">
        <f>VLOOKUP(F331,[1]!china_towns_second__2[[Column1]:[Y]],2,FALSE)</f>
        <v>113.6302967</v>
      </c>
      <c r="L331" t="s">
        <v>3910</v>
      </c>
      <c r="M331" t="str">
        <f>VLOOKUP(H331,CHOOSE({1,2},Table12[Native],Table12[Name]),2,0)</f>
        <v>Píngdìng Xiàn</v>
      </c>
      <c r="N331" s="13" t="str">
        <f>VLOOKUP(I331,CHOOSE({1,2},Table12[Native],Table12[Name]),2,0)</f>
        <v>Yángquán Shì</v>
      </c>
      <c r="O331" s="13" t="str">
        <f t="shared" si="10"/>
        <v>Guanshan Zhen (Yángquán Shì)</v>
      </c>
      <c r="P331" s="13" t="str">
        <f t="shared" si="11"/>
        <v>Guanshan Zhen (Yángquán Shì)</v>
      </c>
    </row>
    <row r="332" spans="1:16" hidden="1" x14ac:dyDescent="0.25">
      <c r="A332" t="s">
        <v>93</v>
      </c>
      <c r="B332" t="str">
        <f>IF(COUNTIF(A:A,A332)&gt;1,_xlfn.CONCAT(A332," (",N332,")"),A332)</f>
        <v>Guāntān Xiāng</v>
      </c>
      <c r="C332" t="str">
        <f>IF(COUNTIF(B:B,B332)&gt;1,_xlfn.CONCAT(A332," (",M332,")"),B332)</f>
        <v>Guāntān Xiāng</v>
      </c>
      <c r="D332" t="s">
        <v>94</v>
      </c>
      <c r="E332" t="s">
        <v>17</v>
      </c>
      <c r="F332" t="str">
        <f>_xlfn.CONCAT(D332,", ",H332,", ",I332,", ","山西省")</f>
        <v>官滩乡, 沁源县, 长治市, 山西省</v>
      </c>
      <c r="G332">
        <v>3441</v>
      </c>
      <c r="H332" t="s">
        <v>2888</v>
      </c>
      <c r="I332" t="s">
        <v>2878</v>
      </c>
      <c r="J332" t="e">
        <f>VLOOKUP(F332,[1]!china_towns_second__2[[Column1]:[Y]],3,FALSE)</f>
        <v>#N/A</v>
      </c>
      <c r="K332" t="e">
        <f>VLOOKUP(F332,[1]!china_towns_second__2[[Column1]:[Y]],2,FALSE)</f>
        <v>#N/A</v>
      </c>
      <c r="L332" t="s">
        <v>3911</v>
      </c>
      <c r="M332" t="str">
        <f>VLOOKUP(H332,CHOOSE({1,2},Table12[Native],Table12[Name]),2,0)</f>
        <v>Qìnyuán Xiàn</v>
      </c>
      <c r="N332" s="13" t="str">
        <f>VLOOKUP(I332,CHOOSE({1,2},Table12[Native],Table12[Name]),2,0)</f>
        <v>Chángzhì Shì</v>
      </c>
      <c r="O332" s="13" t="str">
        <f t="shared" si="10"/>
        <v>Guantan Xiang (Chángzhì Shì)</v>
      </c>
      <c r="P332" s="13" t="str">
        <f t="shared" si="11"/>
        <v>Guantan Xiang (Chángzhì Shì)</v>
      </c>
    </row>
    <row r="333" spans="1:16" hidden="1" x14ac:dyDescent="0.25">
      <c r="A333" t="s">
        <v>1150</v>
      </c>
      <c r="B333" t="str">
        <f>IF(COUNTIF(A:A,A333)&gt;1,_xlfn.CONCAT(A333," (",N333,")"),A333)</f>
        <v>Guăntóu Zhèn</v>
      </c>
      <c r="C333" t="str">
        <f>IF(COUNTIF(B:B,B333)&gt;1,_xlfn.CONCAT(A333," (",M333,")"),B333)</f>
        <v>Guăntóu Zhèn</v>
      </c>
      <c r="D333" t="s">
        <v>1151</v>
      </c>
      <c r="E333" t="s">
        <v>7</v>
      </c>
      <c r="F333" t="str">
        <f>_xlfn.CONCAT(D333,", ",H333,", ",I333,", ","山西省")</f>
        <v>管头镇, 乡宁县, 临汾市, 山西省</v>
      </c>
      <c r="G333">
        <v>20982</v>
      </c>
      <c r="H333" t="s">
        <v>2940</v>
      </c>
      <c r="I333" t="s">
        <v>2927</v>
      </c>
      <c r="J333">
        <f>VLOOKUP(F333,[1]!china_towns_second__2[[Column1]:[Y]],3,FALSE)</f>
        <v>36.033571084372497</v>
      </c>
      <c r="K333">
        <f>VLOOKUP(F333,[1]!china_towns_second__2[[Column1]:[Y]],2,FALSE)</f>
        <v>110.9795615</v>
      </c>
      <c r="L333" t="s">
        <v>3912</v>
      </c>
      <c r="M333" t="str">
        <f>VLOOKUP(H333,CHOOSE({1,2},Table12[Native],Table12[Name]),2,0)</f>
        <v>Xiāngníng Xiàn</v>
      </c>
      <c r="N333" s="13" t="str">
        <f>VLOOKUP(I333,CHOOSE({1,2},Table12[Native],Table12[Name]),2,0)</f>
        <v>Línfén Shì</v>
      </c>
      <c r="O333" s="13" t="str">
        <f t="shared" si="10"/>
        <v>Guantou Zhen (Línfén Shì)</v>
      </c>
      <c r="P333" s="13" t="str">
        <f t="shared" si="11"/>
        <v>Guantou Zhen (Línfén Shì)</v>
      </c>
    </row>
    <row r="334" spans="1:16" hidden="1" x14ac:dyDescent="0.25">
      <c r="A334" t="s">
        <v>1152</v>
      </c>
      <c r="B334" t="str">
        <f>IF(COUNTIF(A:A,A334)&gt;1,_xlfn.CONCAT(A334," (",N334,")"),A334)</f>
        <v>Guānwángmiào Xiāng</v>
      </c>
      <c r="C334" t="str">
        <f>IF(COUNTIF(B:B,B334)&gt;1,_xlfn.CONCAT(A334," (",M334,")"),B334)</f>
        <v>Guānwángmiào Xiāng</v>
      </c>
      <c r="D334" t="s">
        <v>1153</v>
      </c>
      <c r="E334" t="s">
        <v>17</v>
      </c>
      <c r="F334" t="str">
        <f>_xlfn.CONCAT(D334,", ",H334,", ",I334,", ","山西省")</f>
        <v>关王庙乡, 乡宁县, 临汾市, 山西省</v>
      </c>
      <c r="G334">
        <v>20496</v>
      </c>
      <c r="H334" t="s">
        <v>2940</v>
      </c>
      <c r="I334" t="s">
        <v>2927</v>
      </c>
      <c r="J334" t="e">
        <f>VLOOKUP(F334,[1]!china_towns_second__2[[Column1]:[Y]],3,FALSE)</f>
        <v>#N/A</v>
      </c>
      <c r="K334" t="e">
        <f>VLOOKUP(F334,[1]!china_towns_second__2[[Column1]:[Y]],2,FALSE)</f>
        <v>#N/A</v>
      </c>
      <c r="L334" t="s">
        <v>3913</v>
      </c>
      <c r="M334" t="str">
        <f>VLOOKUP(H334,CHOOSE({1,2},Table12[Native],Table12[Name]),2,0)</f>
        <v>Xiāngníng Xiàn</v>
      </c>
      <c r="N334" s="13" t="str">
        <f>VLOOKUP(I334,CHOOSE({1,2},Table12[Native],Table12[Name]),2,0)</f>
        <v>Línfén Shì</v>
      </c>
      <c r="O334" s="13" t="str">
        <f t="shared" si="10"/>
        <v>Guanwangmiao Xiang (Línfén Shì)</v>
      </c>
      <c r="P334" s="13" t="str">
        <f t="shared" si="11"/>
        <v>Guanwangmiao Xiang (Línfén Shì)</v>
      </c>
    </row>
    <row r="335" spans="1:16" hidden="1" x14ac:dyDescent="0.25">
      <c r="A335" t="s">
        <v>385</v>
      </c>
      <c r="B335" t="str">
        <f>IF(COUNTIF(A:A,A335)&gt;1,_xlfn.CONCAT(A335," (",N335,")"),A335)</f>
        <v>Guāyuán Xiāng</v>
      </c>
      <c r="C335" t="str">
        <f>IF(COUNTIF(B:B,B335)&gt;1,_xlfn.CONCAT(A335," (",M335,")"),B335)</f>
        <v>Guāyuán Xiāng</v>
      </c>
      <c r="D335" t="s">
        <v>386</v>
      </c>
      <c r="E335" t="s">
        <v>17</v>
      </c>
      <c r="F335" t="str">
        <f>_xlfn.CONCAT(D335,", ",H335,", ",I335,", ","山西省")</f>
        <v>瓜园乡, 云州区, 大同市, 山西省</v>
      </c>
      <c r="G335">
        <v>6834</v>
      </c>
      <c r="H335" t="s">
        <v>2903</v>
      </c>
      <c r="I335" t="s">
        <v>2894</v>
      </c>
      <c r="J335" t="e">
        <f>VLOOKUP(F335,[1]!china_towns_second__2[[Column1]:[Y]],3,FALSE)</f>
        <v>#N/A</v>
      </c>
      <c r="K335" t="e">
        <f>VLOOKUP(F335,[1]!china_towns_second__2[[Column1]:[Y]],2,FALSE)</f>
        <v>#N/A</v>
      </c>
      <c r="L335" t="s">
        <v>3914</v>
      </c>
      <c r="M335" t="str">
        <f>VLOOKUP(H335,CHOOSE({1,2},Table12[Native],Table12[Name]),2,0)</f>
        <v>Yúnzhōu Qū</v>
      </c>
      <c r="N335" s="13" t="str">
        <f>VLOOKUP(I335,CHOOSE({1,2},Table12[Native],Table12[Name]),2,0)</f>
        <v>Dàtóng Shì</v>
      </c>
      <c r="O335" s="13" t="str">
        <f t="shared" si="10"/>
        <v>Guayuan Xiang (Dàtóng Shì)</v>
      </c>
      <c r="P335" s="13" t="str">
        <f t="shared" si="11"/>
        <v>Guayuan Xiang (Dàtóng Shì)</v>
      </c>
    </row>
    <row r="336" spans="1:16" hidden="1" x14ac:dyDescent="0.25">
      <c r="A336" t="s">
        <v>1934</v>
      </c>
      <c r="B336" t="str">
        <f>IF(COUNTIF(A:A,A336)&gt;1,_xlfn.CONCAT(A336," (",N336,")"),A336)</f>
        <v>Gŭchéng Jiēdào</v>
      </c>
      <c r="C336" t="str">
        <f>IF(COUNTIF(B:B,B336)&gt;1,_xlfn.CONCAT(A336," (",M336,")"),B336)</f>
        <v>Gŭchéng Jiēdào</v>
      </c>
      <c r="D336" t="s">
        <v>1935</v>
      </c>
      <c r="E336" t="s">
        <v>31</v>
      </c>
      <c r="F336" t="str">
        <f>_xlfn.CONCAT(D336,", ",H336,", ",I336,", ","山西省")</f>
        <v>古城街道, 尖草坪区, 太原市, 山西省</v>
      </c>
      <c r="G336">
        <v>33022</v>
      </c>
      <c r="H336" t="s">
        <v>2971</v>
      </c>
      <c r="I336" t="s">
        <v>2969</v>
      </c>
      <c r="J336">
        <f>VLOOKUP(F336,[1]!china_towns_second__2[[Column1]:[Y]],3,FALSE)</f>
        <v>37.914408147747203</v>
      </c>
      <c r="K336">
        <f>VLOOKUP(F336,[1]!china_towns_second__2[[Column1]:[Y]],2,FALSE)</f>
        <v>112.5273509</v>
      </c>
      <c r="L336" t="s">
        <v>3915</v>
      </c>
      <c r="M336" t="str">
        <f>VLOOKUP(H336,CHOOSE({1,2},Table12[Native],Table12[Name]),2,0)</f>
        <v>Jiāncăopíng Qū</v>
      </c>
      <c r="N336" s="13" t="str">
        <f>VLOOKUP(I336,CHOOSE({1,2},Table12[Native],Table12[Name]),2,0)</f>
        <v>Tàiyuán Shì</v>
      </c>
      <c r="O336" s="13" t="str">
        <f t="shared" si="10"/>
        <v>Gucheng Jiedao (Tàiyuán Shì)</v>
      </c>
      <c r="P336" s="13" t="str">
        <f t="shared" si="11"/>
        <v>Gucheng Jiedao (Tàiyuán Shì)</v>
      </c>
    </row>
    <row r="337" spans="1:16" hidden="1" x14ac:dyDescent="0.25">
      <c r="A337" t="s">
        <v>95</v>
      </c>
      <c r="B337" t="str">
        <f>IF(COUNTIF(A:A,A337)&gt;1,_xlfn.CONCAT(A337," (",N337,")"),A337)</f>
        <v>Gùchéng Zhèn</v>
      </c>
      <c r="C337" t="str">
        <f>IF(COUNTIF(B:B,B337)&gt;1,_xlfn.CONCAT(A337," (",M337,")"),B337)</f>
        <v>Gùchéng Zhèn</v>
      </c>
      <c r="D337" t="s">
        <v>96</v>
      </c>
      <c r="E337" t="s">
        <v>7</v>
      </c>
      <c r="F337" t="str">
        <f>_xlfn.CONCAT(D337,", ",H337,", ",I337,", ","山西省")</f>
        <v>故城镇, 武乡县, 长治市, 山西省</v>
      </c>
      <c r="G337">
        <v>15861</v>
      </c>
      <c r="H337" t="s">
        <v>2891</v>
      </c>
      <c r="I337" t="s">
        <v>2878</v>
      </c>
      <c r="J337">
        <f>VLOOKUP(F337,[1]!china_towns_second__2[[Column1]:[Y]],3,FALSE)</f>
        <v>36.983233785810803</v>
      </c>
      <c r="K337">
        <f>VLOOKUP(F337,[1]!china_towns_second__2[[Column1]:[Y]],2,FALSE)</f>
        <v>112.657392</v>
      </c>
      <c r="L337" t="s">
        <v>3916</v>
      </c>
      <c r="M337" t="str">
        <f>VLOOKUP(H337,CHOOSE({1,2},Table12[Native],Table12[Name]),2,0)</f>
        <v>Wŭxiāng Xiàn</v>
      </c>
      <c r="N337" s="13" t="str">
        <f>VLOOKUP(I337,CHOOSE({1,2},Table12[Native],Table12[Name]),2,0)</f>
        <v>Chángzhì Shì</v>
      </c>
      <c r="O337" s="13" t="str">
        <f t="shared" si="10"/>
        <v>Gucheng Zhen (Chángzhì Shì)</v>
      </c>
      <c r="P337" s="13" t="str">
        <f t="shared" si="11"/>
        <v>Gucheng Zhen (Chángzhì Shì)</v>
      </c>
    </row>
    <row r="338" spans="1:16" hidden="1" x14ac:dyDescent="0.25">
      <c r="A338" t="s">
        <v>387</v>
      </c>
      <c r="B338" t="str">
        <f>IF(COUNTIF(A:A,A338)&gt;1,_xlfn.CONCAT(A338," (",N338,")"),A338)</f>
        <v>Gŭchéng Zhèn (Dàtóng Shì)</v>
      </c>
      <c r="C338" t="str">
        <f>IF(COUNTIF(B:B,B338)&gt;1,_xlfn.CONCAT(A338," (",M338,")"),B338)</f>
        <v>Gŭchéng Zhèn (Dàtóng Shì)</v>
      </c>
      <c r="D338" t="s">
        <v>388</v>
      </c>
      <c r="E338" t="s">
        <v>7</v>
      </c>
      <c r="F338" t="str">
        <f>_xlfn.CONCAT(D338,", ",H338,", ",I338,", ","山西省")</f>
        <v>古城镇, 阳高县, 大同市, 山西省</v>
      </c>
      <c r="G338">
        <v>17664</v>
      </c>
      <c r="H338" t="s">
        <v>2901</v>
      </c>
      <c r="I338" t="s">
        <v>2894</v>
      </c>
      <c r="J338">
        <f>VLOOKUP(F338,[1]!china_towns_second__2[[Column1]:[Y]],3,FALSE)</f>
        <v>40.145660269247401</v>
      </c>
      <c r="K338">
        <f>VLOOKUP(F338,[1]!china_towns_second__2[[Column1]:[Y]],2,FALSE)</f>
        <v>113.9102759</v>
      </c>
      <c r="L338" t="s">
        <v>3917</v>
      </c>
      <c r="M338" t="str">
        <f>VLOOKUP(H338,CHOOSE({1,2},Table12[Native],Table12[Name]),2,0)</f>
        <v>Yánggāo Xiàn</v>
      </c>
      <c r="N338" s="13" t="str">
        <f>VLOOKUP(I338,CHOOSE({1,2},Table12[Native],Table12[Name]),2,0)</f>
        <v>Dàtóng Shì</v>
      </c>
      <c r="O338" s="13" t="str">
        <f t="shared" si="10"/>
        <v>Gucheng Zhen (Datong Shi) (Dàtóng Shì)</v>
      </c>
      <c r="P338" s="13" t="str">
        <f t="shared" si="11"/>
        <v>Gucheng Zhen (Datong Shi) (Dàtóng Shì)</v>
      </c>
    </row>
    <row r="339" spans="1:16" hidden="1" x14ac:dyDescent="0.25">
      <c r="A339" t="s">
        <v>387</v>
      </c>
      <c r="B339" t="str">
        <f>IF(COUNTIF(A:A,A339)&gt;1,_xlfn.CONCAT(A339," (",N339,")"),A339)</f>
        <v>Gŭchéng Zhèn (Línfén Shì)</v>
      </c>
      <c r="C339" t="str">
        <f>IF(COUNTIF(B:B,B339)&gt;1,_xlfn.CONCAT(A339," (",M339,")"),B339)</f>
        <v>Gŭchéng Zhèn (Línfén Shì)</v>
      </c>
      <c r="D339" t="s">
        <v>388</v>
      </c>
      <c r="E339" t="s">
        <v>7</v>
      </c>
      <c r="F339" t="str">
        <f>_xlfn.CONCAT(D339,", ",H339,", ",I339,", ","山西省")</f>
        <v>古城镇, 襄汾县, 临汾市, 山西省</v>
      </c>
      <c r="G339">
        <v>45085</v>
      </c>
      <c r="H339" t="s">
        <v>2939</v>
      </c>
      <c r="I339" t="s">
        <v>2927</v>
      </c>
      <c r="J339">
        <f>VLOOKUP(F339,[1]!china_towns_second__2[[Column1]:[Y]],3,FALSE)</f>
        <v>35.907009855061801</v>
      </c>
      <c r="K339">
        <f>VLOOKUP(F339,[1]!china_towns_second__2[[Column1]:[Y]],2,FALSE)</f>
        <v>111.2807631</v>
      </c>
      <c r="L339" t="s">
        <v>3918</v>
      </c>
      <c r="M339" t="str">
        <f>VLOOKUP(H339,CHOOSE({1,2},Table12[Native],Table12[Name]),2,0)</f>
        <v>Xiāngfén Xiàn</v>
      </c>
      <c r="N339" s="13" t="str">
        <f>VLOOKUP(I339,CHOOSE({1,2},Table12[Native],Table12[Name]),2,0)</f>
        <v>Línfén Shì</v>
      </c>
      <c r="O339" s="13" t="str">
        <f t="shared" si="10"/>
        <v>Gucheng Zhen (Linfen Shi) (Línfén Shì)</v>
      </c>
      <c r="P339" s="13" t="str">
        <f t="shared" si="11"/>
        <v>Gucheng Zhen (Linfen Shi) (Línfén Shì)</v>
      </c>
    </row>
    <row r="340" spans="1:16" hidden="1" x14ac:dyDescent="0.25">
      <c r="A340" t="s">
        <v>387</v>
      </c>
      <c r="B340" t="str">
        <f>IF(COUNTIF(A:A,A340)&gt;1,_xlfn.CONCAT(A340," (",N340,")"),A340)</f>
        <v>Gŭchéng Zhèn (Shuòzhōu Shì)</v>
      </c>
      <c r="C340" t="str">
        <f>IF(COUNTIF(B:B,B340)&gt;1,_xlfn.CONCAT(A340," (",M340,")"),B340)</f>
        <v>Gŭchéng Zhèn (Shuòzhōu Shì)</v>
      </c>
      <c r="D340" t="s">
        <v>388</v>
      </c>
      <c r="E340" t="s">
        <v>7</v>
      </c>
      <c r="F340" t="str">
        <f>_xlfn.CONCAT(D340,", ",H340,", ",I340,", ","山西省")</f>
        <v>古城镇, 山阴县, 朔州市, 山西省</v>
      </c>
      <c r="G340">
        <v>18253</v>
      </c>
      <c r="H340" t="s">
        <v>2964</v>
      </c>
      <c r="I340" t="s">
        <v>2961</v>
      </c>
      <c r="J340">
        <f>VLOOKUP(F340,[1]!china_towns_second__2[[Column1]:[Y]],3,FALSE)</f>
        <v>39.445009045800603</v>
      </c>
      <c r="K340">
        <f>VLOOKUP(F340,[1]!china_towns_second__2[[Column1]:[Y]],2,FALSE)</f>
        <v>112.9315646</v>
      </c>
      <c r="L340" t="s">
        <v>3919</v>
      </c>
      <c r="M340" t="str">
        <f>VLOOKUP(H340,CHOOSE({1,2},Table12[Native],Table12[Name]),2,0)</f>
        <v>Shānyīn Xiàn</v>
      </c>
      <c r="N340" s="13" t="str">
        <f>VLOOKUP(I340,CHOOSE({1,2},Table12[Native],Table12[Name]),2,0)</f>
        <v>Shuòzhōu Shì</v>
      </c>
      <c r="O340" s="13" t="str">
        <f t="shared" si="10"/>
        <v>Gucheng Zhen (Shuozhou Shi) (Shuòzhōu Shì)</v>
      </c>
      <c r="P340" s="13" t="str">
        <f t="shared" si="11"/>
        <v>Gucheng Zhen (Shuozhou Shi) (Shuòzhōu Shì)</v>
      </c>
    </row>
    <row r="341" spans="1:16" hidden="1" x14ac:dyDescent="0.25">
      <c r="A341" t="s">
        <v>387</v>
      </c>
      <c r="B341" t="str">
        <f>IF(COUNTIF(A:A,A341)&gt;1,_xlfn.CONCAT(A341," (",N341,")"),A341)</f>
        <v>Gŭchéng Zhèn (Yùnchéng Shì)</v>
      </c>
      <c r="C341" t="str">
        <f>IF(COUNTIF(B:B,B341)&gt;1,_xlfn.CONCAT(A341," (",M341,")"),B341)</f>
        <v>Gŭchéng Zhèn (Yùnchéng Shì)</v>
      </c>
      <c r="D341" t="s">
        <v>388</v>
      </c>
      <c r="E341" t="s">
        <v>7</v>
      </c>
      <c r="F341" t="str">
        <f>_xlfn.CONCAT(D341,", ",H341,", ",I341,", ","山西省")</f>
        <v>古城镇, 垣曲县, 运城市, 山西省</v>
      </c>
      <c r="G341">
        <v>23525</v>
      </c>
      <c r="H341" t="s">
        <v>3016</v>
      </c>
      <c r="I341" t="s">
        <v>3003</v>
      </c>
      <c r="J341">
        <f>VLOOKUP(F341,[1]!china_towns_second__2[[Column1]:[Y]],3,FALSE)</f>
        <v>35.144287900669099</v>
      </c>
      <c r="K341">
        <f>VLOOKUP(F341,[1]!china_towns_second__2[[Column1]:[Y]],2,FALSE)</f>
        <v>111.8859228</v>
      </c>
      <c r="L341" t="s">
        <v>3920</v>
      </c>
      <c r="M341" t="str">
        <f>VLOOKUP(H341,CHOOSE({1,2},Table12[Native],Table12[Name]),2,0)</f>
        <v>Yuánqŭ Xiàn</v>
      </c>
      <c r="N341" s="13" t="str">
        <f>VLOOKUP(I341,CHOOSE({1,2},Table12[Native],Table12[Name]),2,0)</f>
        <v>Yùnchéng Shì</v>
      </c>
      <c r="O341" s="13" t="str">
        <f t="shared" si="10"/>
        <v>Gucheng Zhen (Yuncheng Shi) (Yùnchéng Shì)</v>
      </c>
      <c r="P341" s="13" t="str">
        <f t="shared" si="11"/>
        <v>Gucheng Zhen (Yuncheng Shi) (Yùnchéng Shì)</v>
      </c>
    </row>
    <row r="342" spans="1:16" hidden="1" x14ac:dyDescent="0.25">
      <c r="A342" t="s">
        <v>389</v>
      </c>
      <c r="B342" t="str">
        <f>IF(COUNTIF(A:A,A342)&gt;1,_xlfn.CONCAT(A342," (",N342,")"),A342)</f>
        <v>Gŭdiàn Zhèn</v>
      </c>
      <c r="C342" t="str">
        <f>IF(COUNTIF(B:B,B342)&gt;1,_xlfn.CONCAT(A342," (",M342,")"),B342)</f>
        <v>Gŭdiàn Zhèn</v>
      </c>
      <c r="D342" t="s">
        <v>390</v>
      </c>
      <c r="E342" t="s">
        <v>7</v>
      </c>
      <c r="F342" t="str">
        <f>_xlfn.CONCAT(D342,", ",H342,", ",I342,", ","山西省")</f>
        <v>古店镇, 新荣区, 大同市, 山西省</v>
      </c>
      <c r="G342">
        <v>15444</v>
      </c>
      <c r="H342" t="s">
        <v>2900</v>
      </c>
      <c r="I342" t="s">
        <v>2894</v>
      </c>
      <c r="J342">
        <f>VLOOKUP(F342,[1]!china_towns_second__2[[Column1]:[Y]],3,FALSE)</f>
        <v>40.218016374569501</v>
      </c>
      <c r="K342">
        <f>VLOOKUP(F342,[1]!china_towns_second__2[[Column1]:[Y]],2,FALSE)</f>
        <v>113.29547719999999</v>
      </c>
      <c r="L342" t="s">
        <v>3921</v>
      </c>
      <c r="M342" t="str">
        <f>VLOOKUP(H342,CHOOSE({1,2},Table12[Native],Table12[Name]),2,0)</f>
        <v>Xīnróng Qū</v>
      </c>
      <c r="N342" s="13" t="str">
        <f>VLOOKUP(I342,CHOOSE({1,2},Table12[Native],Table12[Name]),2,0)</f>
        <v>Dàtóng Shì</v>
      </c>
      <c r="O342" s="13" t="str">
        <f t="shared" si="10"/>
        <v>Gudian Zhen (Dàtóng Shì)</v>
      </c>
      <c r="P342" s="13" t="str">
        <f t="shared" si="11"/>
        <v>Gudian Zhen (Dàtóng Shì)</v>
      </c>
    </row>
    <row r="343" spans="1:16" hidden="1" x14ac:dyDescent="0.25">
      <c r="A343" t="s">
        <v>97</v>
      </c>
      <c r="B343" t="str">
        <f>IF(COUNTIF(A:A,A343)&gt;1,_xlfn.CONCAT(A343," (",N343,")"),A343)</f>
        <v>Gŭhán Zhèn</v>
      </c>
      <c r="C343" t="str">
        <f>IF(COUNTIF(B:B,B343)&gt;1,_xlfn.CONCAT(A343," (",M343,")"),B343)</f>
        <v>Gŭhán Zhèn</v>
      </c>
      <c r="D343" t="s">
        <v>98</v>
      </c>
      <c r="E343" t="s">
        <v>7</v>
      </c>
      <c r="F343" t="str">
        <f>_xlfn.CONCAT(D343,", ",H343,", ",I343,", ","山西省")</f>
        <v>古韩镇, 襄垣县, 长治市, 山西省</v>
      </c>
      <c r="G343">
        <v>82325</v>
      </c>
      <c r="H343" t="s">
        <v>2892</v>
      </c>
      <c r="I343" t="s">
        <v>2878</v>
      </c>
      <c r="J343">
        <f>VLOOKUP(F343,[1]!china_towns_second__2[[Column1]:[Y]],3,FALSE)</f>
        <v>36.531402384793402</v>
      </c>
      <c r="K343">
        <f>VLOOKUP(F343,[1]!china_towns_second__2[[Column1]:[Y]],2,FALSE)</f>
        <v>113.0649248</v>
      </c>
      <c r="L343" t="s">
        <v>3922</v>
      </c>
      <c r="M343" t="str">
        <f>VLOOKUP(H343,CHOOSE({1,2},Table12[Native],Table12[Name]),2,0)</f>
        <v>Xiāngyuán Xiàn</v>
      </c>
      <c r="N343" s="13" t="str">
        <f>VLOOKUP(I343,CHOOSE({1,2},Table12[Native],Table12[Name]),2,0)</f>
        <v>Chángzhì Shì</v>
      </c>
      <c r="O343" s="13" t="str">
        <f t="shared" si="10"/>
        <v>Guhan Zhen (Chángzhì Shì)</v>
      </c>
      <c r="P343" s="13" t="str">
        <f t="shared" si="11"/>
        <v>Guhan Zhen (Chángzhì Shì)</v>
      </c>
    </row>
    <row r="344" spans="1:16" hidden="1" x14ac:dyDescent="0.25">
      <c r="A344" t="s">
        <v>2509</v>
      </c>
      <c r="B344" t="str">
        <f>IF(COUNTIF(A:A,A344)&gt;1,_xlfn.CONCAT(A344," (",N344,")"),A344)</f>
        <v>Guìshígōu Jiēdào</v>
      </c>
      <c r="C344" t="str">
        <f>IF(COUNTIF(B:B,B344)&gt;1,_xlfn.CONCAT(A344," (",M344,")"),B344)</f>
        <v>Guìshígōu Jiēdào</v>
      </c>
      <c r="D344" t="s">
        <v>2510</v>
      </c>
      <c r="E344" t="s">
        <v>31</v>
      </c>
      <c r="F344" t="str">
        <f>_xlfn.CONCAT(D344,", ",H344,", ",I344,", ","山西省")</f>
        <v>贵石沟街道, 矿区, 阳泉市, 山西省</v>
      </c>
      <c r="G344">
        <v>20560</v>
      </c>
      <c r="H344" t="s">
        <v>2999</v>
      </c>
      <c r="I344" t="s">
        <v>2997</v>
      </c>
      <c r="J344" t="e">
        <f>VLOOKUP(F344,[1]!china_towns_second__2[[Column1]:[Y]],3,FALSE)</f>
        <v>#N/A</v>
      </c>
      <c r="K344" t="e">
        <f>VLOOKUP(F344,[1]!china_towns_second__2[[Column1]:[Y]],2,FALSE)</f>
        <v>#N/A</v>
      </c>
      <c r="L344" t="s">
        <v>3923</v>
      </c>
      <c r="M344" t="str">
        <f>VLOOKUP(H344,CHOOSE({1,2},Table12[Native],Table12[Name]),2,0)</f>
        <v>Kuàng Qū</v>
      </c>
      <c r="N344" s="13" t="str">
        <f>VLOOKUP(I344,CHOOSE({1,2},Table12[Native],Table12[Name]),2,0)</f>
        <v>Yángquán Shì</v>
      </c>
      <c r="O344" s="13" t="str">
        <f t="shared" si="10"/>
        <v>Guishigou Jiedao (Yángquán Shì)</v>
      </c>
      <c r="P344" s="13" t="str">
        <f t="shared" si="11"/>
        <v>Guishigou Jiedao (Yángquán Shì)</v>
      </c>
    </row>
    <row r="345" spans="1:16" hidden="1" x14ac:dyDescent="0.25">
      <c r="A345" t="s">
        <v>2652</v>
      </c>
      <c r="B345" t="str">
        <f>IF(COUNTIF(A:A,A345)&gt;1,_xlfn.CONCAT(A345," (",N345,")"),A345)</f>
        <v>Gŭjiàng Zhèn</v>
      </c>
      <c r="C345" t="str">
        <f>IF(COUNTIF(B:B,B345)&gt;1,_xlfn.CONCAT(A345," (",M345,")"),B345)</f>
        <v>Gŭjiàng Zhèn</v>
      </c>
      <c r="D345" t="s">
        <v>2653</v>
      </c>
      <c r="E345" t="s">
        <v>7</v>
      </c>
      <c r="F345" t="str">
        <f>_xlfn.CONCAT(D345,", ",H345,", ",I345,", ","山西省")</f>
        <v>古绛镇, 绛县, 运城市, 山西省</v>
      </c>
      <c r="G345">
        <v>83478</v>
      </c>
      <c r="H345" t="s">
        <v>3005</v>
      </c>
      <c r="I345" t="s">
        <v>3003</v>
      </c>
      <c r="J345">
        <f>VLOOKUP(F345,[1]!china_towns_second__2[[Column1]:[Y]],3,FALSE)</f>
        <v>35.504506434007297</v>
      </c>
      <c r="K345">
        <f>VLOOKUP(F345,[1]!china_towns_second__2[[Column1]:[Y]],2,FALSE)</f>
        <v>111.5342879</v>
      </c>
      <c r="L345" t="s">
        <v>3924</v>
      </c>
      <c r="M345" t="str">
        <f>VLOOKUP(H345,CHOOSE({1,2},Table12[Native],Table12[Name]),2,0)</f>
        <v>Jiàng Xiàn</v>
      </c>
      <c r="N345" s="13" t="str">
        <f>VLOOKUP(I345,CHOOSE({1,2},Table12[Native],Table12[Name]),2,0)</f>
        <v>Yùnchéng Shì</v>
      </c>
      <c r="O345" s="13" t="str">
        <f t="shared" si="10"/>
        <v>Gujiang Zhen (Yùnchéng Shì)</v>
      </c>
      <c r="P345" s="13" t="str">
        <f t="shared" si="11"/>
        <v>Gujiang Zhen (Yùnchéng Shì)</v>
      </c>
    </row>
    <row r="346" spans="1:16" hidden="1" x14ac:dyDescent="0.25">
      <c r="A346" t="s">
        <v>670</v>
      </c>
      <c r="B346" t="str">
        <f>IF(COUNTIF(A:A,A346)&gt;1,_xlfn.CONCAT(A346," (",N346,")"),A346)</f>
        <v>Gŭjiāo Xiāng</v>
      </c>
      <c r="C346" t="str">
        <f>IF(COUNTIF(B:B,B346)&gt;1,_xlfn.CONCAT(A346," (",M346,")"),B346)</f>
        <v>Gŭjiāo Xiāng</v>
      </c>
      <c r="D346" t="s">
        <v>671</v>
      </c>
      <c r="E346" t="s">
        <v>17</v>
      </c>
      <c r="F346" t="str">
        <f>_xlfn.CONCAT(D346,", ",H346,", ",I346,", ","山西省")</f>
        <v>古郊乡, 陵川县, 晋城市, 山西省</v>
      </c>
      <c r="G346">
        <v>7471</v>
      </c>
      <c r="H346" t="s">
        <v>2909</v>
      </c>
      <c r="I346" t="s">
        <v>2906</v>
      </c>
      <c r="J346" t="e">
        <f>VLOOKUP(F346,[1]!china_towns_second__2[[Column1]:[Y]],3,FALSE)</f>
        <v>#N/A</v>
      </c>
      <c r="K346" t="e">
        <f>VLOOKUP(F346,[1]!china_towns_second__2[[Column1]:[Y]],2,FALSE)</f>
        <v>#N/A</v>
      </c>
      <c r="L346" t="s">
        <v>3925</v>
      </c>
      <c r="M346" t="str">
        <f>VLOOKUP(H346,CHOOSE({1,2},Table12[Native],Table12[Name]),2,0)</f>
        <v>Língchuān Xiàn</v>
      </c>
      <c r="N346" s="13" t="str">
        <f>VLOOKUP(I346,CHOOSE({1,2},Table12[Native],Table12[Name]),2,0)</f>
        <v>Jìnchéng Shì</v>
      </c>
      <c r="O346" s="13" t="str">
        <f t="shared" si="10"/>
        <v>Gujiao Xiang (Jìnchéng Shì)</v>
      </c>
      <c r="P346" s="13" t="str">
        <f t="shared" si="11"/>
        <v>Gujiao Xiang (Jìnchéng Shì)</v>
      </c>
    </row>
    <row r="347" spans="1:16" hidden="1" x14ac:dyDescent="0.25">
      <c r="A347" t="s">
        <v>2654</v>
      </c>
      <c r="B347" t="str">
        <f>IF(COUNTIF(A:A,A347)&gt;1,_xlfn.CONCAT(A347," (",N347,")"),A347)</f>
        <v>Gŭjiāo Zhèn</v>
      </c>
      <c r="C347" t="str">
        <f>IF(COUNTIF(B:B,B347)&gt;1,_xlfn.CONCAT(A347," (",M347,")"),B347)</f>
        <v>Gŭjiāo Zhèn</v>
      </c>
      <c r="D347" t="s">
        <v>2655</v>
      </c>
      <c r="E347" t="s">
        <v>7</v>
      </c>
      <c r="F347" t="str">
        <f>_xlfn.CONCAT(D347,", ",H347,", ",I347,", ","山西省")</f>
        <v>古交镇, 新绛县, 运城市, 山西省</v>
      </c>
      <c r="G347">
        <v>41121</v>
      </c>
      <c r="H347" t="s">
        <v>3013</v>
      </c>
      <c r="I347" t="s">
        <v>3003</v>
      </c>
      <c r="J347">
        <f>VLOOKUP(F347,[1]!china_towns_second__2[[Column1]:[Y]],3,FALSE)</f>
        <v>35.607260902916302</v>
      </c>
      <c r="K347">
        <f>VLOOKUP(F347,[1]!china_towns_second__2[[Column1]:[Y]],2,FALSE)</f>
        <v>111.14020910000001</v>
      </c>
      <c r="L347" t="s">
        <v>3926</v>
      </c>
      <c r="M347" t="str">
        <f>VLOOKUP(H347,CHOOSE({1,2},Table12[Native],Table12[Name]),2,0)</f>
        <v>Xīnjiàng Xiàn</v>
      </c>
      <c r="N347" s="13" t="str">
        <f>VLOOKUP(I347,CHOOSE({1,2},Table12[Native],Table12[Name]),2,0)</f>
        <v>Yùnchéng Shì</v>
      </c>
      <c r="O347" s="13" t="str">
        <f t="shared" si="10"/>
        <v>Gujiao Zhen (Yùnchéng Shì)</v>
      </c>
      <c r="P347" s="13" t="str">
        <f t="shared" si="11"/>
        <v>Gujiao Zhen (Yùnchéng Shì)</v>
      </c>
    </row>
    <row r="348" spans="1:16" hidden="1" x14ac:dyDescent="0.25">
      <c r="A348" t="s">
        <v>672</v>
      </c>
      <c r="B348" t="str">
        <f>IF(COUNTIF(A:A,A348)&gt;1,_xlfn.CONCAT(A348," (",N348,")"),A348)</f>
        <v>Gùlóng Xiāng</v>
      </c>
      <c r="C348" t="str">
        <f>IF(COUNTIF(B:B,B348)&gt;1,_xlfn.CONCAT(A348," (",M348,")"),B348)</f>
        <v>Gùlóng Xiāng</v>
      </c>
      <c r="D348" t="s">
        <v>673</v>
      </c>
      <c r="E348" t="s">
        <v>17</v>
      </c>
      <c r="F348" t="str">
        <f>_xlfn.CONCAT(D348,", ",H348,", ",I348,", ","山西省")</f>
        <v>固隆乡, 阳城县, 晋城市, 山西省</v>
      </c>
      <c r="G348">
        <v>7849</v>
      </c>
      <c r="H348" t="s">
        <v>2911</v>
      </c>
      <c r="I348" t="s">
        <v>2906</v>
      </c>
      <c r="J348" t="e">
        <f>VLOOKUP(F348,[1]!china_towns_second__2[[Column1]:[Y]],3,FALSE)</f>
        <v>#N/A</v>
      </c>
      <c r="K348" t="e">
        <f>VLOOKUP(F348,[1]!china_towns_second__2[[Column1]:[Y]],2,FALSE)</f>
        <v>#N/A</v>
      </c>
      <c r="L348" t="s">
        <v>3927</v>
      </c>
      <c r="M348" t="str">
        <f>VLOOKUP(H348,CHOOSE({1,2},Table12[Native],Table12[Name]),2,0)</f>
        <v>Yángchéng Xiàn</v>
      </c>
      <c r="N348" s="13" t="str">
        <f>VLOOKUP(I348,CHOOSE({1,2},Table12[Native],Table12[Name]),2,0)</f>
        <v>Jìnchéng Shì</v>
      </c>
      <c r="O348" s="13" t="str">
        <f t="shared" si="10"/>
        <v>Gulong Xiang (Jìnchéng Shì)</v>
      </c>
      <c r="P348" s="13" t="str">
        <f t="shared" si="11"/>
        <v>Gulong Xiang (Jìnchéng Shì)</v>
      </c>
    </row>
    <row r="349" spans="1:16" hidden="1" x14ac:dyDescent="0.25">
      <c r="A349" t="s">
        <v>1154</v>
      </c>
      <c r="B349" t="str">
        <f>IF(COUNTIF(A:A,A349)&gt;1,_xlfn.CONCAT(A349," (",N349,")"),A349)</f>
        <v>Gŭlóu Jiēdào (Línfén Shì)</v>
      </c>
      <c r="C349" t="str">
        <f>IF(COUNTIF(B:B,B349)&gt;1,_xlfn.CONCAT(A349," (",M349,")"),B349)</f>
        <v>Gŭlóu Jiēdào (Línfén Shì)</v>
      </c>
      <c r="D349" t="s">
        <v>1155</v>
      </c>
      <c r="E349" t="s">
        <v>31</v>
      </c>
      <c r="F349" t="str">
        <f>_xlfn.CONCAT(D349,", ",H349,", ",I349,", ","山西省")</f>
        <v>鼓楼街道, 霍州市, 临汾市, 山西省</v>
      </c>
      <c r="G349">
        <v>25061</v>
      </c>
      <c r="H349" t="s">
        <v>2935</v>
      </c>
      <c r="I349" t="s">
        <v>2927</v>
      </c>
      <c r="J349">
        <f>VLOOKUP(F349,[1]!china_towns_second__2[[Column1]:[Y]],3,FALSE)</f>
        <v>36.570843175447102</v>
      </c>
      <c r="K349">
        <f>VLOOKUP(F349,[1]!china_towns_second__2[[Column1]:[Y]],2,FALSE)</f>
        <v>111.7147093</v>
      </c>
      <c r="L349" t="s">
        <v>3928</v>
      </c>
      <c r="M349" t="str">
        <f>VLOOKUP(H349,CHOOSE({1,2},Table12[Native],Table12[Name]),2,0)</f>
        <v>Huòzhōu Shì</v>
      </c>
      <c r="N349" s="13" t="str">
        <f>VLOOKUP(I349,CHOOSE({1,2},Table12[Native],Table12[Name]),2,0)</f>
        <v>Línfén Shì</v>
      </c>
      <c r="O349" s="13" t="str">
        <f t="shared" si="10"/>
        <v>Gulou Jiedao (Linfen Shi) (Línfén Shì)</v>
      </c>
      <c r="P349" s="13" t="str">
        <f t="shared" si="11"/>
        <v>Gulou Jiedao (Linfen Shi) (Línfén Shì)</v>
      </c>
    </row>
    <row r="350" spans="1:16" hidden="1" x14ac:dyDescent="0.25">
      <c r="A350" t="s">
        <v>1154</v>
      </c>
      <c r="B350" t="str">
        <f>IF(COUNTIF(A:A,A350)&gt;1,_xlfn.CONCAT(A350," (",N350,")"),A350)</f>
        <v>Gŭlóu Jiēdào (Tàiyuán Shì)</v>
      </c>
      <c r="C350" t="str">
        <f>IF(COUNTIF(B:B,B350)&gt;1,_xlfn.CONCAT(A350," (",M350,")"),B350)</f>
        <v>Gŭlóu Jiēdào (Tàiyuán Shì)</v>
      </c>
      <c r="D350" t="s">
        <v>1155</v>
      </c>
      <c r="E350" t="s">
        <v>31</v>
      </c>
      <c r="F350" t="str">
        <f>_xlfn.CONCAT(D350,", ",H350,", ",I350,", ","山西省")</f>
        <v>鼓楼街道, 杏花岭区, 太原市, 山西省</v>
      </c>
      <c r="G350">
        <v>37267</v>
      </c>
      <c r="H350" t="s">
        <v>2977</v>
      </c>
      <c r="I350" t="s">
        <v>2969</v>
      </c>
      <c r="J350">
        <f>VLOOKUP(F350,[1]!china_towns_second__2[[Column1]:[Y]],3,FALSE)</f>
        <v>37.874647338379503</v>
      </c>
      <c r="K350">
        <f>VLOOKUP(F350,[1]!china_towns_second__2[[Column1]:[Y]],2,FALSE)</f>
        <v>112.55564750000001</v>
      </c>
      <c r="L350" t="s">
        <v>3929</v>
      </c>
      <c r="M350" t="str">
        <f>VLOOKUP(H350,CHOOSE({1,2},Table12[Native],Table12[Name]),2,0)</f>
        <v>Xìnghuālĭng Qū</v>
      </c>
      <c r="N350" s="13" t="str">
        <f>VLOOKUP(I350,CHOOSE({1,2},Table12[Native],Table12[Name]),2,0)</f>
        <v>Tàiyuán Shì</v>
      </c>
      <c r="O350" s="13" t="str">
        <f t="shared" si="10"/>
        <v>Gulou Jiedao (Taiyuan Shi) (Tàiyuán Shì)</v>
      </c>
      <c r="P350" s="13" t="str">
        <f t="shared" si="11"/>
        <v>Gulou Jiedao (Taiyuan Shi) (Tàiyuán Shì)</v>
      </c>
    </row>
    <row r="351" spans="1:16" hidden="1" x14ac:dyDescent="0.25">
      <c r="A351" t="s">
        <v>1156</v>
      </c>
      <c r="B351" t="str">
        <f>IF(COUNTIF(A:A,A351)&gt;1,_xlfn.CONCAT(A351," (",N351,")"),A351)</f>
        <v>Gŭlóu Xījiē Jiēdào</v>
      </c>
      <c r="C351" t="str">
        <f>IF(COUNTIF(B:B,B351)&gt;1,_xlfn.CONCAT(A351," (",M351,")"),B351)</f>
        <v>Gŭlóu Xījiē Jiēdào</v>
      </c>
      <c r="D351" t="s">
        <v>1157</v>
      </c>
      <c r="E351" t="s">
        <v>31</v>
      </c>
      <c r="F351" t="str">
        <f>_xlfn.CONCAT(D351,", ",H351,", ",I351,", ","山西省")</f>
        <v>鼓楼西街街道, 尧都区, 临汾市, 山西省</v>
      </c>
      <c r="G351">
        <v>55999</v>
      </c>
      <c r="H351" t="s">
        <v>2942</v>
      </c>
      <c r="I351" t="s">
        <v>2927</v>
      </c>
      <c r="J351">
        <f>VLOOKUP(F351,[1]!china_towns_second__2[[Column1]:[Y]],3,FALSE)</f>
        <v>36.077876555397602</v>
      </c>
      <c r="K351">
        <f>VLOOKUP(F351,[1]!china_towns_second__2[[Column1]:[Y]],2,FALSE)</f>
        <v>111.4942779</v>
      </c>
      <c r="L351" t="s">
        <v>3930</v>
      </c>
      <c r="M351" t="str">
        <f>VLOOKUP(H351,CHOOSE({1,2},Table12[Native],Table12[Name]),2,0)</f>
        <v>Yáodū Qū</v>
      </c>
      <c r="N351" s="13" t="str">
        <f>VLOOKUP(I351,CHOOSE({1,2},Table12[Native],Table12[Name]),2,0)</f>
        <v>Línfén Shì</v>
      </c>
      <c r="O351" s="13" t="str">
        <f t="shared" si="10"/>
        <v>Gulou Xijie Jiedao (Línfén Shì)</v>
      </c>
      <c r="P351" s="13" t="str">
        <f t="shared" si="11"/>
        <v>Gulou Xijie Jiedao (Línfén Shì)</v>
      </c>
    </row>
    <row r="352" spans="1:16" hidden="1" x14ac:dyDescent="0.25">
      <c r="A352" t="s">
        <v>99</v>
      </c>
      <c r="B352" t="str">
        <f>IF(COUNTIF(A:A,A352)&gt;1,_xlfn.CONCAT(A352," (",N352,")"),A352)</f>
        <v>Guōcūn Zhèn</v>
      </c>
      <c r="C352" t="str">
        <f>IF(COUNTIF(B:B,B352)&gt;1,_xlfn.CONCAT(A352," (",M352,")"),B352)</f>
        <v>Guōcūn Zhèn</v>
      </c>
      <c r="D352" t="s">
        <v>100</v>
      </c>
      <c r="E352" t="s">
        <v>7</v>
      </c>
      <c r="F352" t="str">
        <f>_xlfn.CONCAT(D352,", ",H352,", ",I352,", ","山西省")</f>
        <v>郭村镇, 沁县, 长治市, 山西省</v>
      </c>
      <c r="G352">
        <v>11026</v>
      </c>
      <c r="H352" t="s">
        <v>2887</v>
      </c>
      <c r="I352" t="s">
        <v>2878</v>
      </c>
      <c r="J352">
        <f>VLOOKUP(F352,[1]!china_towns_second__2[[Column1]:[Y]],3,FALSE)</f>
        <v>36.766292457660597</v>
      </c>
      <c r="K352">
        <f>VLOOKUP(F352,[1]!china_towns_second__2[[Column1]:[Y]],2,FALSE)</f>
        <v>112.5753531</v>
      </c>
      <c r="L352" t="s">
        <v>3931</v>
      </c>
      <c r="M352" t="str">
        <f>VLOOKUP(H352,CHOOSE({1,2},Table12[Native],Table12[Name]),2,0)</f>
        <v>Qìn Xiàn</v>
      </c>
      <c r="N352" s="13" t="str">
        <f>VLOOKUP(I352,CHOOSE({1,2},Table12[Native],Table12[Name]),2,0)</f>
        <v>Chángzhì Shì</v>
      </c>
      <c r="O352" s="13" t="str">
        <f t="shared" si="10"/>
        <v>Guocun Zhen (Chángzhì Shì)</v>
      </c>
      <c r="P352" s="13" t="str">
        <f t="shared" si="11"/>
        <v>Guocun Zhen (Chángzhì Shì)</v>
      </c>
    </row>
    <row r="353" spans="1:16" hidden="1" x14ac:dyDescent="0.25">
      <c r="A353" t="s">
        <v>101</v>
      </c>
      <c r="B353" t="str">
        <f>IF(COUNTIF(A:A,A353)&gt;1,_xlfn.CONCAT(A353," (",N353,")"),A353)</f>
        <v>Guōdào Zhèn</v>
      </c>
      <c r="C353" t="str">
        <f>IF(COUNTIF(B:B,B353)&gt;1,_xlfn.CONCAT(A353," (",M353,")"),B353)</f>
        <v>Guōdào Zhèn</v>
      </c>
      <c r="D353" t="s">
        <v>102</v>
      </c>
      <c r="E353" t="s">
        <v>7</v>
      </c>
      <c r="F353" t="str">
        <f>_xlfn.CONCAT(D353,", ",H353,", ",I353,", ","山西省")</f>
        <v>郭道镇, 沁源县, 长治市, 山西省</v>
      </c>
      <c r="G353">
        <v>17198</v>
      </c>
      <c r="H353" t="s">
        <v>2888</v>
      </c>
      <c r="I353" t="s">
        <v>2878</v>
      </c>
      <c r="J353">
        <f>VLOOKUP(F353,[1]!china_towns_second__2[[Column1]:[Y]],3,FALSE)</f>
        <v>36.719240250417798</v>
      </c>
      <c r="K353">
        <f>VLOOKUP(F353,[1]!china_towns_second__2[[Column1]:[Y]],2,FALSE)</f>
        <v>112.3198021</v>
      </c>
      <c r="L353" t="s">
        <v>3932</v>
      </c>
      <c r="M353" t="str">
        <f>VLOOKUP(H353,CHOOSE({1,2},Table12[Native],Table12[Name]),2,0)</f>
        <v>Qìnyuán Xiàn</v>
      </c>
      <c r="N353" s="13" t="str">
        <f>VLOOKUP(I353,CHOOSE({1,2},Table12[Native],Table12[Name]),2,0)</f>
        <v>Chángzhì Shì</v>
      </c>
      <c r="O353" s="13" t="str">
        <f t="shared" si="10"/>
        <v>Guodao Zhen (Chángzhì Shì)</v>
      </c>
      <c r="P353" s="13" t="str">
        <f t="shared" si="11"/>
        <v>Guodao Zhen (Chángzhì Shì)</v>
      </c>
    </row>
    <row r="354" spans="1:16" hidden="1" x14ac:dyDescent="0.25">
      <c r="A354" t="s">
        <v>849</v>
      </c>
      <c r="B354" t="str">
        <f>IF(COUNTIF(A:A,A354)&gt;1,_xlfn.CONCAT(A354," (",N354,")"),A354)</f>
        <v>Guōjiābăo Xiāng</v>
      </c>
      <c r="C354" t="str">
        <f>IF(COUNTIF(B:B,B354)&gt;1,_xlfn.CONCAT(A354," (",M354,")"),B354)</f>
        <v>Guōjiābăo Xiāng</v>
      </c>
      <c r="D354" t="s">
        <v>850</v>
      </c>
      <c r="E354" t="s">
        <v>17</v>
      </c>
      <c r="F354" t="str">
        <f>_xlfn.CONCAT(D354,", ",H354,", ",I354,", ","山西省")</f>
        <v>郭家堡乡, 榆次区, 晋中市, 山西省</v>
      </c>
      <c r="G354">
        <v>70442</v>
      </c>
      <c r="H354" t="s">
        <v>2923</v>
      </c>
      <c r="I354" t="s">
        <v>2914</v>
      </c>
      <c r="J354" t="e">
        <f>VLOOKUP(F354,[1]!china_towns_second__2[[Column1]:[Y]],3,FALSE)</f>
        <v>#N/A</v>
      </c>
      <c r="K354" t="e">
        <f>VLOOKUP(F354,[1]!china_towns_second__2[[Column1]:[Y]],2,FALSE)</f>
        <v>#N/A</v>
      </c>
      <c r="L354" t="s">
        <v>3933</v>
      </c>
      <c r="M354" t="str">
        <f>VLOOKUP(H354,CHOOSE({1,2},Table12[Native],Table12[Name]),2,0)</f>
        <v>Yúcì Qū</v>
      </c>
      <c r="N354" s="13" t="str">
        <f>VLOOKUP(I354,CHOOSE({1,2},Table12[Native],Table12[Name]),2,0)</f>
        <v>Jìnzhōng Shì</v>
      </c>
      <c r="O354" s="13" t="str">
        <f t="shared" si="10"/>
        <v>Guojiabao Xiang (Jìnzhōng Shì)</v>
      </c>
      <c r="P354" s="13" t="str">
        <f t="shared" si="11"/>
        <v>Guojiabao Xiang (Jìnzhōng Shì)</v>
      </c>
    </row>
    <row r="355" spans="1:16" hidden="1" x14ac:dyDescent="0.25">
      <c r="A355" t="s">
        <v>391</v>
      </c>
      <c r="B355" t="str">
        <f>IF(COUNTIF(A:A,A355)&gt;1,_xlfn.CONCAT(A355," (",N355,")"),A355)</f>
        <v>Guōjiāyáo Xiāng</v>
      </c>
      <c r="C355" t="str">
        <f>IF(COUNTIF(B:B,B355)&gt;1,_xlfn.CONCAT(A355," (",M355,")"),B355)</f>
        <v>Guōjiāyáo Xiāng</v>
      </c>
      <c r="D355" t="s">
        <v>392</v>
      </c>
      <c r="E355" t="s">
        <v>17</v>
      </c>
      <c r="F355" t="str">
        <f>_xlfn.CONCAT(D355,", ",H355,", ",I355,", ","山西省")</f>
        <v>郭家窑乡, 新荣区, 大同市, 山西省</v>
      </c>
      <c r="G355">
        <v>12084</v>
      </c>
      <c r="H355" t="s">
        <v>2900</v>
      </c>
      <c r="I355" t="s">
        <v>2894</v>
      </c>
      <c r="J355" t="e">
        <f>VLOOKUP(F355,[1]!china_towns_second__2[[Column1]:[Y]],3,FALSE)</f>
        <v>#N/A</v>
      </c>
      <c r="K355" t="e">
        <f>VLOOKUP(F355,[1]!china_towns_second__2[[Column1]:[Y]],2,FALSE)</f>
        <v>#N/A</v>
      </c>
      <c r="L355" t="s">
        <v>3934</v>
      </c>
      <c r="M355" t="str">
        <f>VLOOKUP(H355,CHOOSE({1,2},Table12[Native],Table12[Name]),2,0)</f>
        <v>Xīnróng Qū</v>
      </c>
      <c r="N355" s="13" t="str">
        <f>VLOOKUP(I355,CHOOSE({1,2},Table12[Native],Table12[Name]),2,0)</f>
        <v>Dàtóng Shì</v>
      </c>
      <c r="O355" s="13" t="str">
        <f t="shared" si="10"/>
        <v>Guojiayao Xiang (Dàtóng Shì)</v>
      </c>
      <c r="P355" s="13" t="str">
        <f t="shared" si="11"/>
        <v>Guojiayao Xiang (Dàtóng Shì)</v>
      </c>
    </row>
    <row r="356" spans="1:16" hidden="1" x14ac:dyDescent="0.25">
      <c r="A356" t="s">
        <v>2656</v>
      </c>
      <c r="B356" t="str">
        <f>IF(COUNTIF(A:A,A356)&gt;1,_xlfn.CONCAT(A356," (",N356,")"),A356)</f>
        <v>Guōjiāzhuāng Zhèn</v>
      </c>
      <c r="C356" t="str">
        <f>IF(COUNTIF(B:B,B356)&gt;1,_xlfn.CONCAT(A356," (",M356,")"),B356)</f>
        <v>Guōjiāzhuāng Zhèn</v>
      </c>
      <c r="D356" t="s">
        <v>2657</v>
      </c>
      <c r="E356" t="s">
        <v>7</v>
      </c>
      <c r="F356" t="str">
        <f>_xlfn.CONCAT(D356,", ",H356,", ",I356,", ","山西省")</f>
        <v>郭家庄镇, 闻喜县, 运城市, 山西省</v>
      </c>
      <c r="G356">
        <v>32221</v>
      </c>
      <c r="H356" t="s">
        <v>3011</v>
      </c>
      <c r="I356" t="s">
        <v>3003</v>
      </c>
      <c r="J356">
        <f>VLOOKUP(F356,[1]!china_towns_second__2[[Column1]:[Y]],3,FALSE)</f>
        <v>35.330579844493798</v>
      </c>
      <c r="K356">
        <f>VLOOKUP(F356,[1]!china_towns_second__2[[Column1]:[Y]],2,FALSE)</f>
        <v>111.0961449</v>
      </c>
      <c r="L356" t="s">
        <v>3935</v>
      </c>
      <c r="M356" t="str">
        <f>VLOOKUP(H356,CHOOSE({1,2},Table12[Native],Table12[Name]),2,0)</f>
        <v>Wénxĭ Xiàn</v>
      </c>
      <c r="N356" s="13" t="str">
        <f>VLOOKUP(I356,CHOOSE({1,2},Table12[Native],Table12[Name]),2,0)</f>
        <v>Yùnchéng Shì</v>
      </c>
      <c r="O356" s="13" t="str">
        <f t="shared" si="10"/>
        <v>Guojiazhuang Zhen (Yùnchéng Shì)</v>
      </c>
      <c r="P356" s="13" t="str">
        <f t="shared" si="11"/>
        <v>Guojiazhuang Zhen (Yùnchéng Shì)</v>
      </c>
    </row>
    <row r="357" spans="1:16" hidden="1" x14ac:dyDescent="0.25">
      <c r="A357" t="s">
        <v>2213</v>
      </c>
      <c r="B357" t="str">
        <f>IF(COUNTIF(A:A,A357)&gt;1,_xlfn.CONCAT(A357," (",N357,")"),A357)</f>
        <v>Guōyáng Zhèn</v>
      </c>
      <c r="C357" t="str">
        <f>IF(COUNTIF(B:B,B357)&gt;1,_xlfn.CONCAT(A357," (",M357,")"),B357)</f>
        <v>Guōyáng Zhèn</v>
      </c>
      <c r="D357" t="s">
        <v>2214</v>
      </c>
      <c r="E357" t="s">
        <v>7</v>
      </c>
      <c r="F357" t="str">
        <f>_xlfn.CONCAT(D357,", ",H357,", ",I357,", ","山西省")</f>
        <v>崞阳镇, 原平市, 忻州市, 山西省</v>
      </c>
      <c r="G357">
        <v>30874</v>
      </c>
      <c r="H357" t="s">
        <v>2995</v>
      </c>
      <c r="I357" t="s">
        <v>2981</v>
      </c>
      <c r="J357">
        <f>VLOOKUP(F357,[1]!china_towns_second__2[[Column1]:[Y]],3,FALSE)</f>
        <v>38.920296248560199</v>
      </c>
      <c r="K357">
        <f>VLOOKUP(F357,[1]!china_towns_second__2[[Column1]:[Y]],2,FALSE)</f>
        <v>112.6928621</v>
      </c>
      <c r="L357" t="s">
        <v>3936</v>
      </c>
      <c r="M357" t="str">
        <f>VLOOKUP(H357,CHOOSE({1,2},Table12[Native],Table12[Name]),2,0)</f>
        <v>Yuánpíng Shì</v>
      </c>
      <c r="N357" s="13" t="str">
        <f>VLOOKUP(I357,CHOOSE({1,2},Table12[Native],Table12[Name]),2,0)</f>
        <v>Xīnzhōu Shì</v>
      </c>
      <c r="O357" s="13" t="str">
        <f t="shared" si="10"/>
        <v>Guoyang Zhen (Xīnzhōu Shì)</v>
      </c>
      <c r="P357" s="13" t="str">
        <f t="shared" si="11"/>
        <v>Guoyang Zhen (Xīnzhōu Shì)</v>
      </c>
    </row>
    <row r="358" spans="1:16" hidden="1" x14ac:dyDescent="0.25">
      <c r="A358" t="s">
        <v>393</v>
      </c>
      <c r="B358" t="str">
        <f>IF(COUNTIF(A:A,A358)&gt;1,_xlfn.CONCAT(A358," (",N358,")"),A358)</f>
        <v>Gŭqiánbăo Zhèn</v>
      </c>
      <c r="C358" t="str">
        <f>IF(COUNTIF(B:B,B358)&gt;1,_xlfn.CONCAT(A358," (",M358,")"),B358)</f>
        <v>Gŭqiánbăo Zhèn</v>
      </c>
      <c r="D358" t="s">
        <v>394</v>
      </c>
      <c r="E358" t="s">
        <v>7</v>
      </c>
      <c r="F358" t="str">
        <f>_xlfn.CONCAT(D358,", ",H358,", ",I358,", ","山西省")</f>
        <v>谷前堡镇, 天镇县, 大同市, 山西省</v>
      </c>
      <c r="G358">
        <v>19421</v>
      </c>
      <c r="H358" t="s">
        <v>2899</v>
      </c>
      <c r="I358" t="s">
        <v>2894</v>
      </c>
      <c r="J358">
        <f>VLOOKUP(F358,[1]!china_towns_second__2[[Column1]:[Y]],3,FALSE)</f>
        <v>40.470364136294599</v>
      </c>
      <c r="K358">
        <f>VLOOKUP(F358,[1]!china_towns_second__2[[Column1]:[Y]],2,FALSE)</f>
        <v>114.02202800000001</v>
      </c>
      <c r="L358" t="s">
        <v>3937</v>
      </c>
      <c r="M358" t="str">
        <f>VLOOKUP(H358,CHOOSE({1,2},Table12[Native],Table12[Name]),2,0)</f>
        <v>Tiānzhèn Xiàn</v>
      </c>
      <c r="N358" s="13" t="str">
        <f>VLOOKUP(I358,CHOOSE({1,2},Table12[Native],Table12[Name]),2,0)</f>
        <v>Dàtóng Shì</v>
      </c>
      <c r="O358" s="13" t="str">
        <f t="shared" si="10"/>
        <v>Guqianbao Zhen (Dàtóng Shì)</v>
      </c>
      <c r="P358" s="13" t="str">
        <f t="shared" si="11"/>
        <v>Guqianbao Zhen (Dàtóng Shì)</v>
      </c>
    </row>
    <row r="359" spans="1:16" hidden="1" x14ac:dyDescent="0.25">
      <c r="A359" t="s">
        <v>851</v>
      </c>
      <c r="B359" t="str">
        <f>IF(COUNTIF(A:A,A359)&gt;1,_xlfn.CONCAT(A359," (",N359,")"),A359)</f>
        <v>Gŭtáo Zhèn [incl. Gǔchéng Jiēdào, Chéngdōng Jiēdào, Chéngxī Jiēdào]</v>
      </c>
      <c r="C359" t="str">
        <f>IF(COUNTIF(B:B,B359)&gt;1,_xlfn.CONCAT(A359," (",M359,")"),B359)</f>
        <v>Gŭtáo Zhèn [incl. Gǔchéng Jiēdào, Chéngdōng Jiēdào, Chéngxī Jiēdào]</v>
      </c>
      <c r="D359" t="s">
        <v>852</v>
      </c>
      <c r="E359" t="s">
        <v>7</v>
      </c>
      <c r="F359" t="str">
        <f>_xlfn.CONCAT(D359,", ",H359,", ",I359,", ","山西省")</f>
        <v>古陶镇, 平遥县, 晋中市, 山西省</v>
      </c>
      <c r="G359">
        <v>133675</v>
      </c>
      <c r="H359" t="s">
        <v>2918</v>
      </c>
      <c r="I359" t="s">
        <v>2914</v>
      </c>
      <c r="J359">
        <f>VLOOKUP(F359,[1]!china_towns_second__2[[Column1]:[Y]],3,FALSE)</f>
        <v>37.201505848901398</v>
      </c>
      <c r="K359">
        <f>VLOOKUP(F359,[1]!china_towns_second__2[[Column1]:[Y]],2,FALSE)</f>
        <v>112.1754121</v>
      </c>
      <c r="L359" t="s">
        <v>3938</v>
      </c>
      <c r="M359" t="str">
        <f>VLOOKUP(H359,CHOOSE({1,2},Table12[Native],Table12[Name]),2,0)</f>
        <v>Píngyáo Xiàn</v>
      </c>
      <c r="N359" s="13" t="str">
        <f>VLOOKUP(I359,CHOOSE({1,2},Table12[Native],Table12[Name]),2,0)</f>
        <v>Jìnzhōng Shì</v>
      </c>
      <c r="O359" s="13" t="str">
        <f t="shared" si="10"/>
        <v>Gutao Zhen [incl. Gucheng Jiedao, Chengdong Jiedao, Chengxi Jiedao] (Jìnzhōng Shì)</v>
      </c>
      <c r="P359" s="13" t="str">
        <f t="shared" si="11"/>
        <v>Gutao Zhen [incl. Gucheng Jiedao, Chengdong Jiedao, Chengxi Jiedao] (Jìnzhōng Shì)</v>
      </c>
    </row>
    <row r="360" spans="1:16" hidden="1" x14ac:dyDescent="0.25">
      <c r="A360" t="s">
        <v>2658</v>
      </c>
      <c r="B360" t="str">
        <f>IF(COUNTIF(A:A,A360)&gt;1,_xlfn.CONCAT(A360," (",N360,")"),A360)</f>
        <v>Gǔwèi Zhèn</v>
      </c>
      <c r="C360" t="str">
        <f>IF(COUNTIF(B:B,B360)&gt;1,_xlfn.CONCAT(A360," (",M360,")"),B360)</f>
        <v>Gǔwèi Zhèn</v>
      </c>
      <c r="D360" t="s">
        <v>2659</v>
      </c>
      <c r="E360" t="s">
        <v>7</v>
      </c>
      <c r="F360" t="str">
        <f>_xlfn.CONCAT(D360,", ",H360,", ",I360,", ","山西省")</f>
        <v>古魏镇, 芮城县, 运城市, 山西省</v>
      </c>
      <c r="G360">
        <v>91225</v>
      </c>
      <c r="H360" t="s">
        <v>3009</v>
      </c>
      <c r="I360" t="s">
        <v>3003</v>
      </c>
      <c r="J360">
        <f>VLOOKUP(F360,[1]!china_towns_second__2[[Column1]:[Y]],3,FALSE)</f>
        <v>34.678588385141801</v>
      </c>
      <c r="K360">
        <f>VLOOKUP(F360,[1]!china_towns_second__2[[Column1]:[Y]],2,FALSE)</f>
        <v>110.67122209999999</v>
      </c>
      <c r="L360" t="s">
        <v>3939</v>
      </c>
      <c r="M360" t="str">
        <f>VLOOKUP(H360,CHOOSE({1,2},Table12[Native],Table12[Name]),2,0)</f>
        <v>Ruìchéng Xiàn</v>
      </c>
      <c r="N360" s="13" t="str">
        <f>VLOOKUP(I360,CHOOSE({1,2},Table12[Native],Table12[Name]),2,0)</f>
        <v>Yùnchéng Shì</v>
      </c>
      <c r="O360" s="13" t="str">
        <f t="shared" si="10"/>
        <v>Guwei Zhen (Yùnchéng Shì)</v>
      </c>
      <c r="P360" s="13" t="str">
        <f t="shared" si="11"/>
        <v>Guwei Zhen (Yùnchéng Shì)</v>
      </c>
    </row>
    <row r="361" spans="1:16" hidden="1" x14ac:dyDescent="0.25">
      <c r="A361" t="s">
        <v>103</v>
      </c>
      <c r="B361" t="str">
        <f>IF(COUNTIF(A:A,A361)&gt;1,_xlfn.CONCAT(A361," (",N361,")"),A361)</f>
        <v>Gùxiàn Jiēdào</v>
      </c>
      <c r="C361" t="str">
        <f>IF(COUNTIF(B:B,B361)&gt;1,_xlfn.CONCAT(A361," (",M361,")"),B361)</f>
        <v>Gùxiàn Jiēdào</v>
      </c>
      <c r="D361" t="s">
        <v>104</v>
      </c>
      <c r="E361" t="s">
        <v>31</v>
      </c>
      <c r="F361" t="str">
        <f>_xlfn.CONCAT(D361,", ",H361,", ",I361,", ","山西省")</f>
        <v>故县街道, 潞州区, 长治市, 山西省</v>
      </c>
      <c r="G361">
        <v>66978</v>
      </c>
      <c r="H361" t="s">
        <v>2885</v>
      </c>
      <c r="I361" t="s">
        <v>2878</v>
      </c>
      <c r="J361">
        <f>VLOOKUP(F361,[1]!china_towns_second__2[[Column1]:[Y]],3,FALSE)</f>
        <v>36.377259263608302</v>
      </c>
      <c r="K361">
        <f>VLOOKUP(F361,[1]!china_towns_second__2[[Column1]:[Y]],2,FALSE)</f>
        <v>113.05266760000001</v>
      </c>
      <c r="L361" t="s">
        <v>3940</v>
      </c>
      <c r="M361" t="str">
        <f>VLOOKUP(H361,CHOOSE({1,2},Table12[Native],Table12[Name]),2,0)</f>
        <v>Lùzhōu Qū</v>
      </c>
      <c r="N361" s="13" t="str">
        <f>VLOOKUP(I361,CHOOSE({1,2},Table12[Native],Table12[Name]),2,0)</f>
        <v>Chángzhì Shì</v>
      </c>
      <c r="O361" s="13" t="str">
        <f t="shared" si="10"/>
        <v>Guxian Jiedao (Chángzhì Shì)</v>
      </c>
      <c r="P361" s="13" t="str">
        <f t="shared" si="11"/>
        <v>Guxian Jiedao (Chángzhì Shì)</v>
      </c>
    </row>
    <row r="362" spans="1:16" hidden="1" x14ac:dyDescent="0.25">
      <c r="A362" t="s">
        <v>1486</v>
      </c>
      <c r="B362" t="str">
        <f>IF(COUNTIF(A:A,A362)&gt;1,_xlfn.CONCAT(A362," (",N362,")"),A362)</f>
        <v>Gùxián Xiāng</v>
      </c>
      <c r="C362" t="str">
        <f>IF(COUNTIF(B:B,B362)&gt;1,_xlfn.CONCAT(A362," (",M362,")"),B362)</f>
        <v>Gùxián Xiāng</v>
      </c>
      <c r="D362" t="s">
        <v>1487</v>
      </c>
      <c r="E362" t="s">
        <v>17</v>
      </c>
      <c r="F362" t="str">
        <f>_xlfn.CONCAT(D362,", ",H362,", ",I362,", ","山西省")</f>
        <v>固贤乡, 兴县, 吕梁市, 山西省</v>
      </c>
      <c r="G362">
        <v>9226</v>
      </c>
      <c r="H362" t="s">
        <v>2958</v>
      </c>
      <c r="I362" t="s">
        <v>2946</v>
      </c>
      <c r="J362" t="e">
        <f>VLOOKUP(F362,[1]!china_towns_second__2[[Column1]:[Y]],3,FALSE)</f>
        <v>#N/A</v>
      </c>
      <c r="K362" t="e">
        <f>VLOOKUP(F362,[1]!china_towns_second__2[[Column1]:[Y]],2,FALSE)</f>
        <v>#N/A</v>
      </c>
      <c r="L362" t="s">
        <v>3941</v>
      </c>
      <c r="M362" t="str">
        <f>VLOOKUP(H362,CHOOSE({1,2},Table12[Native],Table12[Name]),2,0)</f>
        <v>Xīng Xiàn</v>
      </c>
      <c r="N362" s="13" t="str">
        <f>VLOOKUP(I362,CHOOSE({1,2},Table12[Native],Table12[Name]),2,0)</f>
        <v>Lǚliáng Shì</v>
      </c>
      <c r="O362" s="13" t="str">
        <f t="shared" si="10"/>
        <v>Guxian Xiang (Lǚliáng Shì)</v>
      </c>
      <c r="P362" s="13" t="str">
        <f t="shared" si="11"/>
        <v>Guxian Xiang (Lǚliáng Shì)</v>
      </c>
    </row>
    <row r="363" spans="1:16" hidden="1" x14ac:dyDescent="0.25">
      <c r="A363" t="s">
        <v>105</v>
      </c>
      <c r="B363" t="str">
        <f>IF(COUNTIF(A:A,A363)&gt;1,_xlfn.CONCAT(A363," (",N363,")"),A363)</f>
        <v>Gùxiàn Xiāng (Chángzhì Shì)</v>
      </c>
      <c r="C363" t="str">
        <f>IF(COUNTIF(B:B,B363)&gt;1,_xlfn.CONCAT(A363," (",M363,")"),B363)</f>
        <v>Gùxiàn Xiāng (Chángzhì Shì)</v>
      </c>
      <c r="D363" t="s">
        <v>106</v>
      </c>
      <c r="E363" t="s">
        <v>17</v>
      </c>
      <c r="F363" t="str">
        <f>_xlfn.CONCAT(D363,", ",H363,", ",I363,", ","山西省")</f>
        <v>故县乡, 武乡县, 长治市, 山西省</v>
      </c>
      <c r="G363">
        <v>4298</v>
      </c>
      <c r="H363" t="s">
        <v>2891</v>
      </c>
      <c r="I363" t="s">
        <v>2878</v>
      </c>
      <c r="J363" t="e">
        <f>VLOOKUP(F363,[1]!china_towns_second__2[[Column1]:[Y]],3,FALSE)</f>
        <v>#N/A</v>
      </c>
      <c r="K363" t="e">
        <f>VLOOKUP(F363,[1]!china_towns_second__2[[Column1]:[Y]],2,FALSE)</f>
        <v>#N/A</v>
      </c>
      <c r="L363" t="s">
        <v>3942</v>
      </c>
      <c r="M363" t="str">
        <f>VLOOKUP(H363,CHOOSE({1,2},Table12[Native],Table12[Name]),2,0)</f>
        <v>Wŭxiāng Xiàn</v>
      </c>
      <c r="N363" s="13" t="str">
        <f>VLOOKUP(I363,CHOOSE({1,2},Table12[Native],Table12[Name]),2,0)</f>
        <v>Chángzhì Shì</v>
      </c>
      <c r="O363" s="13" t="str">
        <f t="shared" si="10"/>
        <v>Guxian Xiang (Changzhi Shi) (Chángzhì Shì)</v>
      </c>
      <c r="P363" s="13" t="str">
        <f t="shared" si="11"/>
        <v>Guxian Xiang (Changzhi Shi) (Chángzhì Shì)</v>
      </c>
    </row>
    <row r="364" spans="1:16" hidden="1" x14ac:dyDescent="0.25">
      <c r="A364" t="s">
        <v>105</v>
      </c>
      <c r="B364" t="str">
        <f>IF(COUNTIF(A:A,A364)&gt;1,_xlfn.CONCAT(A364," (",N364,")"),A364)</f>
        <v>Gùxiàn Xiāng (Jìnchéng Shì)</v>
      </c>
      <c r="C364" t="str">
        <f>IF(COUNTIF(B:B,B364)&gt;1,_xlfn.CONCAT(A364," (",M364,")"),B364)</f>
        <v>Gùxiàn Xiāng (Jìnchéng Shì)</v>
      </c>
      <c r="D364" t="s">
        <v>674</v>
      </c>
      <c r="E364" t="s">
        <v>17</v>
      </c>
      <c r="F364" t="str">
        <f>_xlfn.CONCAT(D364,", ",H364,", ",I364,", ","山西省")</f>
        <v>固县乡, 沁水县, 晋城市, 山西省</v>
      </c>
      <c r="G364">
        <v>6214</v>
      </c>
      <c r="H364" t="s">
        <v>2910</v>
      </c>
      <c r="I364" t="s">
        <v>2906</v>
      </c>
      <c r="J364" t="e">
        <f>VLOOKUP(F364,[1]!china_towns_second__2[[Column1]:[Y]],3,FALSE)</f>
        <v>#N/A</v>
      </c>
      <c r="K364" t="e">
        <f>VLOOKUP(F364,[1]!china_towns_second__2[[Column1]:[Y]],2,FALSE)</f>
        <v>#N/A</v>
      </c>
      <c r="L364" t="s">
        <v>3943</v>
      </c>
      <c r="M364" t="str">
        <f>VLOOKUP(H364,CHOOSE({1,2},Table12[Native],Table12[Name]),2,0)</f>
        <v>Qìnshuǐ Xiàn</v>
      </c>
      <c r="N364" s="13" t="str">
        <f>VLOOKUP(I364,CHOOSE({1,2},Table12[Native],Table12[Name]),2,0)</f>
        <v>Jìnchéng Shì</v>
      </c>
      <c r="O364" s="13" t="str">
        <f t="shared" si="10"/>
        <v>Guxian Xiang (Jincheng Shi) (Jìnchéng Shì)</v>
      </c>
      <c r="P364" s="13" t="str">
        <f t="shared" si="11"/>
        <v>Guxian Xiang (Jincheng Shi) (Jìnchéng Shì)</v>
      </c>
    </row>
    <row r="365" spans="1:16" hidden="1" x14ac:dyDescent="0.25">
      <c r="A365" t="s">
        <v>1158</v>
      </c>
      <c r="B365" t="str">
        <f>IF(COUNTIF(A:A,A365)&gt;1,_xlfn.CONCAT(A365," (",N365,")"),A365)</f>
        <v>Gŭxiàn Xiāng</v>
      </c>
      <c r="C365" t="str">
        <f>IF(COUNTIF(B:B,B365)&gt;1,_xlfn.CONCAT(A365," (",M365,")"),B365)</f>
        <v>Gŭxiàn Xiāng</v>
      </c>
      <c r="D365" t="s">
        <v>1159</v>
      </c>
      <c r="E365" t="s">
        <v>17</v>
      </c>
      <c r="F365" t="str">
        <f>_xlfn.CONCAT(D365,", ",H365,", ",I365,", ","山西省")</f>
        <v>古县乡, 蒲县, 临汾市, 山西省</v>
      </c>
      <c r="G365">
        <v>4814</v>
      </c>
      <c r="H365" t="s">
        <v>2937</v>
      </c>
      <c r="I365" t="s">
        <v>2927</v>
      </c>
      <c r="J365" t="e">
        <f>VLOOKUP(F365,[1]!china_towns_second__2[[Column1]:[Y]],3,FALSE)</f>
        <v>#N/A</v>
      </c>
      <c r="K365" t="e">
        <f>VLOOKUP(F365,[1]!china_towns_second__2[[Column1]:[Y]],2,FALSE)</f>
        <v>#N/A</v>
      </c>
      <c r="L365" t="s">
        <v>3941</v>
      </c>
      <c r="M365" t="str">
        <f>VLOOKUP(H365,CHOOSE({1,2},Table12[Native],Table12[Name]),2,0)</f>
        <v>Pú Xiàn</v>
      </c>
      <c r="N365" s="13" t="str">
        <f>VLOOKUP(I365,CHOOSE({1,2},Table12[Native],Table12[Name]),2,0)</f>
        <v>Línfén Shì</v>
      </c>
      <c r="O365" s="13" t="str">
        <f t="shared" si="10"/>
        <v>Guxian Xiang (Línfén Shì)</v>
      </c>
      <c r="P365" s="13" t="str">
        <f t="shared" si="11"/>
        <v>Guxian Xiang (Línfén Shì)</v>
      </c>
    </row>
    <row r="366" spans="1:16" x14ac:dyDescent="0.25">
      <c r="A366" t="s">
        <v>107</v>
      </c>
      <c r="B366" t="str">
        <f>IF(COUNTIF(A:A,A366)&gt;1,_xlfn.CONCAT(A366," (",N366,")"),A366)</f>
        <v>Gùxiàn Zhèn</v>
      </c>
      <c r="C366" t="str">
        <f>IF(COUNTIF(B:B,B366)&gt;1,_xlfn.CONCAT(A366," (",M366,")"),B366)</f>
        <v>Gùxiàn Zhèn</v>
      </c>
      <c r="D366" t="s">
        <v>108</v>
      </c>
      <c r="E366" t="s">
        <v>7</v>
      </c>
      <c r="F366" t="str">
        <f>_xlfn.CONCAT(D366,", ",H366,", ",I366,", ","山西省")</f>
        <v>故县镇, 沁县, 长治市, 山西省</v>
      </c>
      <c r="G366">
        <v>13003</v>
      </c>
      <c r="H366" t="s">
        <v>2887</v>
      </c>
      <c r="I366" t="s">
        <v>2878</v>
      </c>
      <c r="J366">
        <f>VLOOKUP(F366,[1]!china_towns_second__2[[Column1]:[Y]],3,FALSE)</f>
        <v>36.592480198443297</v>
      </c>
      <c r="K366">
        <f>VLOOKUP(F366,[1]!china_towns_second__2[[Column1]:[Y]],2,FALSE)</f>
        <v>112.5873799</v>
      </c>
      <c r="L366" t="s">
        <v>3944</v>
      </c>
      <c r="M366" t="str">
        <f>VLOOKUP(H366,CHOOSE({1,2},Table12[Native],Table12[Name]),2,0)</f>
        <v>Qìn Xiàn</v>
      </c>
      <c r="N366" s="13" t="str">
        <f>VLOOKUP(I366,CHOOSE({1,2},Table12[Native],Table12[Name]),2,0)</f>
        <v>Chángzhì Shì</v>
      </c>
      <c r="O366" s="13" t="str">
        <f t="shared" si="10"/>
        <v>Guxian Zhen (Chángzhì Shì)</v>
      </c>
      <c r="P366" s="13" t="str">
        <f t="shared" si="11"/>
        <v>Guxian Zhen (Chángzhì Shì)</v>
      </c>
    </row>
    <row r="367" spans="1:16" x14ac:dyDescent="0.25">
      <c r="A367" t="s">
        <v>853</v>
      </c>
      <c r="B367" t="str">
        <f>IF(COUNTIF(A:A,A367)&gt;1,_xlfn.CONCAT(A367," (",N367,")"),A367)</f>
        <v>Gŭxiàn Zhèn</v>
      </c>
      <c r="C367" t="str">
        <f>IF(COUNTIF(B:B,B367)&gt;1,_xlfn.CONCAT(A367," (",M367,")"),B367)</f>
        <v>Gŭxiàn Zhèn</v>
      </c>
      <c r="D367" t="s">
        <v>854</v>
      </c>
      <c r="E367" t="s">
        <v>7</v>
      </c>
      <c r="F367" t="str">
        <f>_xlfn.CONCAT(D367,", ",H367,", ",I367,", ","山西省")</f>
        <v>古县镇, 祁县, 晋中市, 山西省</v>
      </c>
      <c r="G367">
        <v>31538</v>
      </c>
      <c r="H367" t="s">
        <v>2919</v>
      </c>
      <c r="I367" t="s">
        <v>2914</v>
      </c>
      <c r="J367">
        <f>VLOOKUP(F367,[1]!china_towns_second__2[[Column1]:[Y]],3,FALSE)</f>
        <v>37.281778671868601</v>
      </c>
      <c r="K367">
        <f>VLOOKUP(F367,[1]!china_towns_second__2[[Column1]:[Y]],2,FALSE)</f>
        <v>112.3933157</v>
      </c>
      <c r="L367" t="s">
        <v>3944</v>
      </c>
      <c r="M367" t="str">
        <f>VLOOKUP(H367,CHOOSE({1,2},Table12[Native],Table12[Name]),2,0)</f>
        <v>Qí Xiàn</v>
      </c>
      <c r="N367" s="13" t="str">
        <f>VLOOKUP(I367,CHOOSE({1,2},Table12[Native],Table12[Name]),2,0)</f>
        <v>Jìnzhōng Shì</v>
      </c>
      <c r="O367" s="13" t="str">
        <f t="shared" si="10"/>
        <v>Guxian Zhen (Jìnzhōng Shì)</v>
      </c>
      <c r="P367" s="13" t="str">
        <f t="shared" si="11"/>
        <v>Guxian Zhen (Jìnzhōng Shì)</v>
      </c>
    </row>
    <row r="368" spans="1:16" hidden="1" x14ac:dyDescent="0.25">
      <c r="A368" t="s">
        <v>1161</v>
      </c>
      <c r="B368" t="str">
        <f>IF(COUNTIF(A:A,A368)&gt;1,_xlfn.CONCAT(A368," (",N368,")"),A368)</f>
        <v>Gŭyáng Zhèn</v>
      </c>
      <c r="C368" t="str">
        <f>IF(COUNTIF(B:B,B368)&gt;1,_xlfn.CONCAT(A368," (",M368,")"),B368)</f>
        <v>Gŭyáng Zhèn</v>
      </c>
      <c r="D368" t="s">
        <v>1162</v>
      </c>
      <c r="E368" t="s">
        <v>7</v>
      </c>
      <c r="F368" t="str">
        <f>_xlfn.CONCAT(D368,", ",H368,", ",I368,", ","山西省")</f>
        <v>古阳镇, 古县, 临汾市, 山西省</v>
      </c>
      <c r="G368">
        <v>12612</v>
      </c>
      <c r="H368" t="s">
        <v>2932</v>
      </c>
      <c r="I368" t="s">
        <v>2927</v>
      </c>
      <c r="J368">
        <f>VLOOKUP(F368,[1]!china_towns_second__2[[Column1]:[Y]],3,FALSE)</f>
        <v>36.444424524078698</v>
      </c>
      <c r="K368">
        <f>VLOOKUP(F368,[1]!china_towns_second__2[[Column1]:[Y]],2,FALSE)</f>
        <v>111.9804481</v>
      </c>
      <c r="L368" t="s">
        <v>3945</v>
      </c>
      <c r="M368" t="str">
        <f>VLOOKUP(H368,CHOOSE({1,2},Table12[Native],Table12[Name]),2,0)</f>
        <v>Gŭ Xiàn</v>
      </c>
      <c r="N368" s="13" t="str">
        <f>VLOOKUP(I368,CHOOSE({1,2},Table12[Native],Table12[Name]),2,0)</f>
        <v>Línfén Shì</v>
      </c>
      <c r="O368" s="13" t="str">
        <f t="shared" si="10"/>
        <v>Guyang Zhen (Línfén Shì)</v>
      </c>
      <c r="P368" s="13" t="str">
        <f t="shared" si="11"/>
        <v>Guyang Zhen (Línfén Shì)</v>
      </c>
    </row>
    <row r="369" spans="1:16" hidden="1" x14ac:dyDescent="0.25">
      <c r="A369" t="s">
        <v>1769</v>
      </c>
      <c r="B369" t="str">
        <f>IF(COUNTIF(A:A,A369)&gt;1,_xlfn.CONCAT(A369," (",N369,")"),A369)</f>
        <v>Hăibĕitóu Xiāng</v>
      </c>
      <c r="C369" t="str">
        <f>IF(COUNTIF(B:B,B369)&gt;1,_xlfn.CONCAT(A369," (",M369,")"),B369)</f>
        <v>Hăibĕitóu Xiāng</v>
      </c>
      <c r="D369" t="s">
        <v>1770</v>
      </c>
      <c r="E369" t="s">
        <v>17</v>
      </c>
      <c r="F369" t="str">
        <f>_xlfn.CONCAT(D369,", ",H369,", ",I369,", ","山西省")</f>
        <v>海北头乡, 怀仁市, 朔州市, 山西省</v>
      </c>
      <c r="G369">
        <v>14013</v>
      </c>
      <c r="H369" t="s">
        <v>2962</v>
      </c>
      <c r="I369" t="s">
        <v>2961</v>
      </c>
      <c r="J369" t="e">
        <f>VLOOKUP(F369,[1]!china_towns_second__2[[Column1]:[Y]],3,FALSE)</f>
        <v>#N/A</v>
      </c>
      <c r="K369" t="e">
        <f>VLOOKUP(F369,[1]!china_towns_second__2[[Column1]:[Y]],2,FALSE)</f>
        <v>#N/A</v>
      </c>
      <c r="L369" t="s">
        <v>3946</v>
      </c>
      <c r="M369" t="str">
        <f>VLOOKUP(H369,CHOOSE({1,2},Table12[Native],Table12[Name]),2,0)</f>
        <v>Huáirén Shì</v>
      </c>
      <c r="N369" s="13" t="str">
        <f>VLOOKUP(I369,CHOOSE({1,2},Table12[Native],Table12[Name]),2,0)</f>
        <v>Shuòzhōu Shì</v>
      </c>
      <c r="O369" s="13" t="str">
        <f t="shared" si="10"/>
        <v>Haibeitou Xiang (Shuòzhōu Shì)</v>
      </c>
      <c r="P369" s="13" t="str">
        <f t="shared" si="11"/>
        <v>Haibeitou Xiang (Shuòzhōu Shì)</v>
      </c>
    </row>
    <row r="370" spans="1:16" hidden="1" x14ac:dyDescent="0.25">
      <c r="A370" t="s">
        <v>109</v>
      </c>
      <c r="B370" t="str">
        <f>IF(COUNTIF(A:A,A370)&gt;1,_xlfn.CONCAT(A370," (",N370,")"),A370)</f>
        <v>Hánbĕi Xiāng</v>
      </c>
      <c r="C370" t="str">
        <f>IF(COUNTIF(B:B,B370)&gt;1,_xlfn.CONCAT(A370," (",M370,")"),B370)</f>
        <v>Hánbĕi Xiāng</v>
      </c>
      <c r="D370" t="s">
        <v>110</v>
      </c>
      <c r="E370" t="s">
        <v>17</v>
      </c>
      <c r="F370" t="str">
        <f>_xlfn.CONCAT(D370,", ",H370,", ",I370,", ","山西省")</f>
        <v>韩北乡, 武乡县, 长治市, 山西省</v>
      </c>
      <c r="G370">
        <v>11097</v>
      </c>
      <c r="H370" t="s">
        <v>2891</v>
      </c>
      <c r="I370" t="s">
        <v>2878</v>
      </c>
      <c r="J370" t="e">
        <f>VLOOKUP(F370,[1]!china_towns_second__2[[Column1]:[Y]],3,FALSE)</f>
        <v>#N/A</v>
      </c>
      <c r="K370" t="e">
        <f>VLOOKUP(F370,[1]!china_towns_second__2[[Column1]:[Y]],2,FALSE)</f>
        <v>#N/A</v>
      </c>
      <c r="L370" t="s">
        <v>3947</v>
      </c>
      <c r="M370" t="str">
        <f>VLOOKUP(H370,CHOOSE({1,2},Table12[Native],Table12[Name]),2,0)</f>
        <v>Wŭxiāng Xiàn</v>
      </c>
      <c r="N370" s="13" t="str">
        <f>VLOOKUP(I370,CHOOSE({1,2},Table12[Native],Table12[Name]),2,0)</f>
        <v>Chángzhì Shì</v>
      </c>
      <c r="O370" s="13" t="str">
        <f t="shared" si="10"/>
        <v>Hanbei Xiang (Chángzhì Shì)</v>
      </c>
      <c r="P370" s="13" t="str">
        <f t="shared" si="11"/>
        <v>Hanbei Xiang (Chángzhì Shì)</v>
      </c>
    </row>
    <row r="371" spans="1:16" hidden="1" x14ac:dyDescent="0.25">
      <c r="A371" t="s">
        <v>111</v>
      </c>
      <c r="B371" t="str">
        <f>IF(COUNTIF(A:A,A371)&gt;1,_xlfn.CONCAT(A371," (",N371,")"),A371)</f>
        <v>Hándiàn Jiēdào</v>
      </c>
      <c r="C371" t="str">
        <f>IF(COUNTIF(B:B,B371)&gt;1,_xlfn.CONCAT(A371," (",M371,")"),B371)</f>
        <v>Hándiàn Jiēdào</v>
      </c>
      <c r="D371" t="s">
        <v>112</v>
      </c>
      <c r="E371" t="s">
        <v>31</v>
      </c>
      <c r="F371" t="str">
        <f>_xlfn.CONCAT(D371,", ",H371,", ",I371,", ","山西省")</f>
        <v>韩店街道, 上党区, 长治市, 山西省</v>
      </c>
      <c r="G371">
        <v>69569</v>
      </c>
      <c r="H371" t="s">
        <v>2889</v>
      </c>
      <c r="I371" t="s">
        <v>2878</v>
      </c>
      <c r="J371" t="e">
        <f>VLOOKUP(F371,[1]!china_towns_second__2[[Column1]:[Y]],3,FALSE)</f>
        <v>#N/A</v>
      </c>
      <c r="K371" t="e">
        <f>VLOOKUP(F371,[1]!china_towns_second__2[[Column1]:[Y]],2,FALSE)</f>
        <v>#N/A</v>
      </c>
      <c r="L371" t="s">
        <v>3948</v>
      </c>
      <c r="M371" t="str">
        <f>VLOOKUP(H371,CHOOSE({1,2},Table12[Native],Table12[Name]),2,0)</f>
        <v>Shàngdăng Qū</v>
      </c>
      <c r="N371" s="13" t="str">
        <f>VLOOKUP(I371,CHOOSE({1,2},Table12[Native],Table12[Name]),2,0)</f>
        <v>Chángzhì Shì</v>
      </c>
      <c r="O371" s="13" t="str">
        <f t="shared" si="10"/>
        <v>Handian Jiedao (Chángzhì Shì)</v>
      </c>
      <c r="P371" s="13" t="str">
        <f t="shared" si="11"/>
        <v>Handian Jiedao (Chángzhì Shì)</v>
      </c>
    </row>
    <row r="372" spans="1:16" hidden="1" x14ac:dyDescent="0.25">
      <c r="A372" t="s">
        <v>113</v>
      </c>
      <c r="B372" t="str">
        <f>IF(COUNTIF(A:A,A372)&gt;1,_xlfn.CONCAT(A372," (",N372,")"),A372)</f>
        <v>Hánhóng Xiāng</v>
      </c>
      <c r="C372" t="str">
        <f>IF(COUNTIF(B:B,B372)&gt;1,_xlfn.CONCAT(A372," (",M372,")"),B372)</f>
        <v>Hánhóng Xiāng</v>
      </c>
      <c r="D372" t="s">
        <v>114</v>
      </c>
      <c r="E372" t="s">
        <v>17</v>
      </c>
      <c r="F372" t="str">
        <f>_xlfn.CONCAT(D372,", ",H372,", ",I372,", ","山西省")</f>
        <v>韩洪乡, 沁源县, 长治市, 山西省</v>
      </c>
      <c r="G372">
        <v>8313</v>
      </c>
      <c r="H372" t="s">
        <v>2888</v>
      </c>
      <c r="I372" t="s">
        <v>2878</v>
      </c>
      <c r="J372" t="e">
        <f>VLOOKUP(F372,[1]!china_towns_second__2[[Column1]:[Y]],3,FALSE)</f>
        <v>#N/A</v>
      </c>
      <c r="K372" t="e">
        <f>VLOOKUP(F372,[1]!china_towns_second__2[[Column1]:[Y]],2,FALSE)</f>
        <v>#N/A</v>
      </c>
      <c r="L372" t="s">
        <v>3949</v>
      </c>
      <c r="M372" t="str">
        <f>VLOOKUP(H372,CHOOSE({1,2},Table12[Native],Table12[Name]),2,0)</f>
        <v>Qìnyuán Xiàn</v>
      </c>
      <c r="N372" s="13" t="str">
        <f>VLOOKUP(I372,CHOOSE({1,2},Table12[Native],Table12[Name]),2,0)</f>
        <v>Chángzhì Shì</v>
      </c>
      <c r="O372" s="13" t="str">
        <f t="shared" si="10"/>
        <v>Hanhong Xiang (Chángzhì Shì)</v>
      </c>
      <c r="P372" s="13" t="str">
        <f t="shared" si="11"/>
        <v>Hanhong Xiang (Chángzhì Shì)</v>
      </c>
    </row>
    <row r="373" spans="1:16" hidden="1" x14ac:dyDescent="0.25">
      <c r="A373" t="s">
        <v>2215</v>
      </c>
      <c r="B373" t="str">
        <f>IF(COUNTIF(A:A,A373)&gt;1,_xlfn.CONCAT(A373," (",N373,")"),A373)</f>
        <v>Hánjiāchuān Xiāng</v>
      </c>
      <c r="C373" t="str">
        <f>IF(COUNTIF(B:B,B373)&gt;1,_xlfn.CONCAT(A373," (",M373,")"),B373)</f>
        <v>Hánjiāchuān Xiāng</v>
      </c>
      <c r="D373" t="s">
        <v>2216</v>
      </c>
      <c r="E373" t="s">
        <v>17</v>
      </c>
      <c r="F373" t="str">
        <f>_xlfn.CONCAT(D373,", ",H373,", ",I373,", ","山西省")</f>
        <v>韩家川乡, 保德县, 忻州市, 山西省</v>
      </c>
      <c r="G373">
        <v>4462</v>
      </c>
      <c r="H373" t="s">
        <v>2982</v>
      </c>
      <c r="I373" t="s">
        <v>2981</v>
      </c>
      <c r="J373" t="e">
        <f>VLOOKUP(F373,[1]!china_towns_second__2[[Column1]:[Y]],3,FALSE)</f>
        <v>#N/A</v>
      </c>
      <c r="K373" t="e">
        <f>VLOOKUP(F373,[1]!china_towns_second__2[[Column1]:[Y]],2,FALSE)</f>
        <v>#N/A</v>
      </c>
      <c r="L373" t="s">
        <v>3950</v>
      </c>
      <c r="M373" t="str">
        <f>VLOOKUP(H373,CHOOSE({1,2},Table12[Native],Table12[Name]),2,0)</f>
        <v>Băodé Xiàn</v>
      </c>
      <c r="N373" s="13" t="str">
        <f>VLOOKUP(I373,CHOOSE({1,2},Table12[Native],Table12[Name]),2,0)</f>
        <v>Xīnzhōu Shì</v>
      </c>
      <c r="O373" s="13" t="str">
        <f t="shared" si="10"/>
        <v>Hanjiachuan Xiang (Xīnzhōu Shì)</v>
      </c>
      <c r="P373" s="13" t="str">
        <f t="shared" si="11"/>
        <v>Hanjiachuan Xiang (Xīnzhōu Shì)</v>
      </c>
    </row>
    <row r="374" spans="1:16" hidden="1" x14ac:dyDescent="0.25">
      <c r="A374" t="s">
        <v>2217</v>
      </c>
      <c r="B374" t="str">
        <f>IF(COUNTIF(A:A,A374)&gt;1,_xlfn.CONCAT(A374," (",N374,")"),A374)</f>
        <v>Hánjiālóu Xiāng</v>
      </c>
      <c r="C374" t="str">
        <f>IF(COUNTIF(B:B,B374)&gt;1,_xlfn.CONCAT(A374," (",M374,")"),B374)</f>
        <v>Hánjiālóu Xiāng</v>
      </c>
      <c r="D374" t="s">
        <v>2218</v>
      </c>
      <c r="E374" t="s">
        <v>17</v>
      </c>
      <c r="F374" t="str">
        <f>_xlfn.CONCAT(D374,", ",H374,", ",I374,", ","山西省")</f>
        <v>韩家楼乡, 五寨县, 忻州市, 山西省</v>
      </c>
      <c r="G374">
        <v>5327</v>
      </c>
      <c r="H374" t="s">
        <v>2993</v>
      </c>
      <c r="I374" t="s">
        <v>2981</v>
      </c>
      <c r="J374" t="e">
        <f>VLOOKUP(F374,[1]!china_towns_second__2[[Column1]:[Y]],3,FALSE)</f>
        <v>#N/A</v>
      </c>
      <c r="K374" t="e">
        <f>VLOOKUP(F374,[1]!china_towns_second__2[[Column1]:[Y]],2,FALSE)</f>
        <v>#N/A</v>
      </c>
      <c r="L374" t="s">
        <v>3951</v>
      </c>
      <c r="M374" t="str">
        <f>VLOOKUP(H374,CHOOSE({1,2},Table12[Native],Table12[Name]),2,0)</f>
        <v>Wŭzhài Xiàn</v>
      </c>
      <c r="N374" s="13" t="str">
        <f>VLOOKUP(I374,CHOOSE({1,2},Table12[Native],Table12[Name]),2,0)</f>
        <v>Xīnzhōu Shì</v>
      </c>
      <c r="O374" s="13" t="str">
        <f t="shared" si="10"/>
        <v>Hanjialou Xiang (Xīnzhōu Shì)</v>
      </c>
      <c r="P374" s="13" t="str">
        <f t="shared" si="11"/>
        <v>Hanjialou Xiang (Xīnzhōu Shì)</v>
      </c>
    </row>
    <row r="375" spans="1:16" hidden="1" x14ac:dyDescent="0.25">
      <c r="A375" t="s">
        <v>855</v>
      </c>
      <c r="B375" t="str">
        <f>IF(COUNTIF(A:A,A375)&gt;1,_xlfn.CONCAT(A375," (",N375,")"),A375)</f>
        <v>Hánwáng Xiāng</v>
      </c>
      <c r="C375" t="str">
        <f>IF(COUNTIF(B:B,B375)&gt;1,_xlfn.CONCAT(A375," (",M375,")"),B375)</f>
        <v>Hánwáng Xiāng</v>
      </c>
      <c r="D375" t="s">
        <v>856</v>
      </c>
      <c r="E375" t="s">
        <v>17</v>
      </c>
      <c r="F375" t="str">
        <f>_xlfn.CONCAT(D375,", ",H375,", ",I375,", ","山西省")</f>
        <v>寒王乡, 左权县, 晋中市, 山西省</v>
      </c>
      <c r="G375">
        <v>12729</v>
      </c>
      <c r="H375" t="s">
        <v>2925</v>
      </c>
      <c r="I375" t="s">
        <v>2914</v>
      </c>
      <c r="J375" t="e">
        <f>VLOOKUP(F375,[1]!china_towns_second__2[[Column1]:[Y]],3,FALSE)</f>
        <v>#N/A</v>
      </c>
      <c r="K375" t="e">
        <f>VLOOKUP(F375,[1]!china_towns_second__2[[Column1]:[Y]],2,FALSE)</f>
        <v>#N/A</v>
      </c>
      <c r="L375" t="s">
        <v>3952</v>
      </c>
      <c r="M375" t="str">
        <f>VLOOKUP(H375,CHOOSE({1,2},Table12[Native],Table12[Name]),2,0)</f>
        <v>Zuǒquán Xiàn</v>
      </c>
      <c r="N375" s="13" t="str">
        <f>VLOOKUP(I375,CHOOSE({1,2},Table12[Native],Table12[Name]),2,0)</f>
        <v>Jìnzhōng Shì</v>
      </c>
      <c r="O375" s="13" t="str">
        <f t="shared" si="10"/>
        <v>Hanwang Xiang (Jìnzhōng Shì)</v>
      </c>
      <c r="P375" s="13" t="str">
        <f t="shared" si="11"/>
        <v>Hanwang Xiang (Jìnzhōng Shì)</v>
      </c>
    </row>
    <row r="376" spans="1:16" hidden="1" x14ac:dyDescent="0.25">
      <c r="A376" t="s">
        <v>2660</v>
      </c>
      <c r="B376" t="str">
        <f>IF(COUNTIF(A:A,A376)&gt;1,_xlfn.CONCAT(A376," (",N376,")"),A376)</f>
        <v>Hànxuē Zhèn</v>
      </c>
      <c r="C376" t="str">
        <f>IF(COUNTIF(B:B,B376)&gt;1,_xlfn.CONCAT(A376," (",M376,")"),B376)</f>
        <v>Hànxuē Zhèn</v>
      </c>
      <c r="D376" t="s">
        <v>2661</v>
      </c>
      <c r="E376" t="s">
        <v>7</v>
      </c>
      <c r="F376" t="str">
        <f>_xlfn.CONCAT(D376,", ",H376,", ",I376,", ","山西省")</f>
        <v>汉薛镇, 万荣县, 运城市, 山西省</v>
      </c>
      <c r="G376">
        <v>24910</v>
      </c>
      <c r="H376" t="s">
        <v>3010</v>
      </c>
      <c r="I376" t="s">
        <v>3003</v>
      </c>
      <c r="J376">
        <f>VLOOKUP(F376,[1]!china_towns_second__2[[Column1]:[Y]],3,FALSE)</f>
        <v>35.337619342897803</v>
      </c>
      <c r="K376">
        <f>VLOOKUP(F376,[1]!china_towns_second__2[[Column1]:[Y]],2,FALSE)</f>
        <v>110.9257258</v>
      </c>
      <c r="L376" t="s">
        <v>3953</v>
      </c>
      <c r="M376" t="str">
        <f>VLOOKUP(H376,CHOOSE({1,2},Table12[Native],Table12[Name]),2,0)</f>
        <v>Wànróng Xiàn</v>
      </c>
      <c r="N376" s="13" t="str">
        <f>VLOOKUP(I376,CHOOSE({1,2},Table12[Native],Table12[Name]),2,0)</f>
        <v>Yùnchéng Shì</v>
      </c>
      <c r="O376" s="13" t="str">
        <f t="shared" si="10"/>
        <v>Hanxue Zhen (Yùnchéng Shì)</v>
      </c>
      <c r="P376" s="13" t="str">
        <f t="shared" si="11"/>
        <v>Hanxue Zhen (Yùnchéng Shì)</v>
      </c>
    </row>
    <row r="377" spans="1:16" hidden="1" x14ac:dyDescent="0.25">
      <c r="A377" t="s">
        <v>2662</v>
      </c>
      <c r="B377" t="str">
        <f>IF(COUNTIF(A:A,A377)&gt;1,_xlfn.CONCAT(A377," (",N377,")"),A377)</f>
        <v>Hányáng Zhèn</v>
      </c>
      <c r="C377" t="str">
        <f>IF(COUNTIF(B:B,B377)&gt;1,_xlfn.CONCAT(A377," (",M377,")"),B377)</f>
        <v>Hányáng Zhèn</v>
      </c>
      <c r="D377" t="s">
        <v>2663</v>
      </c>
      <c r="E377" t="s">
        <v>7</v>
      </c>
      <c r="F377" t="str">
        <f>_xlfn.CONCAT(D377,", ",H377,", ",I377,", ","山西省")</f>
        <v>韩阳镇, 永济市, 运城市, 山西省</v>
      </c>
      <c r="G377">
        <v>22630</v>
      </c>
      <c r="H377" t="s">
        <v>3015</v>
      </c>
      <c r="I377" t="s">
        <v>3003</v>
      </c>
      <c r="J377">
        <f>VLOOKUP(F377,[1]!china_towns_second__2[[Column1]:[Y]],3,FALSE)</f>
        <v>34.754057128899099</v>
      </c>
      <c r="K377">
        <f>VLOOKUP(F377,[1]!china_towns_second__2[[Column1]:[Y]],2,FALSE)</f>
        <v>110.3005565</v>
      </c>
      <c r="L377" t="s">
        <v>3954</v>
      </c>
      <c r="M377" t="str">
        <f>VLOOKUP(H377,CHOOSE({1,2},Table12[Native],Table12[Name]),2,0)</f>
        <v>Yŏngjì Shì</v>
      </c>
      <c r="N377" s="13" t="str">
        <f>VLOOKUP(I377,CHOOSE({1,2},Table12[Native],Table12[Name]),2,0)</f>
        <v>Yùnchéng Shì</v>
      </c>
      <c r="O377" s="13" t="str">
        <f t="shared" si="10"/>
        <v>Hanyang Zhen (Yùnchéng Shì)</v>
      </c>
      <c r="P377" s="13" t="str">
        <f t="shared" si="11"/>
        <v>Hanyang Zhen (Yùnchéng Shì)</v>
      </c>
    </row>
    <row r="378" spans="1:16" hidden="1" x14ac:dyDescent="0.25">
      <c r="A378" t="s">
        <v>857</v>
      </c>
      <c r="B378" t="str">
        <f>IF(COUNTIF(A:A,A378)&gt;1,_xlfn.CONCAT(A378," (",N378,")"),A378)</f>
        <v>Hăobĕi Zhèn</v>
      </c>
      <c r="C378" t="str">
        <f>IF(COUNTIF(B:B,B378)&gt;1,_xlfn.CONCAT(A378," (",M378,")"),B378)</f>
        <v>Hăobĕi Zhèn</v>
      </c>
      <c r="D378" t="s">
        <v>858</v>
      </c>
      <c r="E378" t="s">
        <v>7</v>
      </c>
      <c r="F378" t="str">
        <f>_xlfn.CONCAT(D378,", ",H378,", ",I378,", ","山西省")</f>
        <v>郝北镇, 榆社县, 晋中市, 山西省</v>
      </c>
      <c r="G378">
        <v>13063</v>
      </c>
      <c r="H378" t="s">
        <v>2924</v>
      </c>
      <c r="I378" t="s">
        <v>2914</v>
      </c>
      <c r="J378">
        <f>VLOOKUP(F378,[1]!china_towns_second__2[[Column1]:[Y]],3,FALSE)</f>
        <v>36.933805574637603</v>
      </c>
      <c r="K378">
        <f>VLOOKUP(F378,[1]!china_towns_second__2[[Column1]:[Y]],2,FALSE)</f>
        <v>112.9342774</v>
      </c>
      <c r="L378" t="s">
        <v>3955</v>
      </c>
      <c r="M378" t="str">
        <f>VLOOKUP(H378,CHOOSE({1,2},Table12[Native],Table12[Name]),2,0)</f>
        <v>Yúshè Xiàn</v>
      </c>
      <c r="N378" s="13" t="str">
        <f>VLOOKUP(I378,CHOOSE({1,2},Table12[Native],Table12[Name]),2,0)</f>
        <v>Jìnzhōng Shì</v>
      </c>
      <c r="O378" s="13" t="str">
        <f t="shared" si="10"/>
        <v>Haobei Zhen (Jìnzhōng Shì)</v>
      </c>
      <c r="P378" s="13" t="str">
        <f t="shared" si="11"/>
        <v>Haobei Zhen (Jìnzhōng Shì)</v>
      </c>
    </row>
    <row r="379" spans="1:16" hidden="1" x14ac:dyDescent="0.25">
      <c r="A379" t="s">
        <v>115</v>
      </c>
      <c r="B379" t="str">
        <f>IF(COUNTIF(A:A,A379)&gt;1,_xlfn.CONCAT(A379," (",N379,")"),A379)</f>
        <v>Hăojiāzhuāng Zhèn</v>
      </c>
      <c r="C379" t="str">
        <f>IF(COUNTIF(B:B,B379)&gt;1,_xlfn.CONCAT(A379," (",M379,")"),B379)</f>
        <v>Hăojiāzhuāng Zhèn</v>
      </c>
      <c r="D379" t="s">
        <v>116</v>
      </c>
      <c r="E379" t="s">
        <v>7</v>
      </c>
      <c r="F379" t="str">
        <f>_xlfn.CONCAT(D379,", ",H379,", ",I379,", ","山西省")</f>
        <v>郝家庄镇, 上党区, 长治市, 山西省</v>
      </c>
      <c r="G379">
        <v>26480</v>
      </c>
      <c r="H379" t="s">
        <v>2889</v>
      </c>
      <c r="I379" t="s">
        <v>2878</v>
      </c>
      <c r="J379">
        <f>VLOOKUP(F379,[1]!china_towns_second__2[[Column1]:[Y]],3,FALSE)</f>
        <v>36.142167585494903</v>
      </c>
      <c r="K379">
        <f>VLOOKUP(F379,[1]!china_towns_second__2[[Column1]:[Y]],2,FALSE)</f>
        <v>113.0246827</v>
      </c>
      <c r="L379" t="s">
        <v>3956</v>
      </c>
      <c r="M379" t="str">
        <f>VLOOKUP(H379,CHOOSE({1,2},Table12[Native],Table12[Name]),2,0)</f>
        <v>Shàngdăng Qū</v>
      </c>
      <c r="N379" s="13" t="str">
        <f>VLOOKUP(I379,CHOOSE({1,2},Table12[Native],Table12[Name]),2,0)</f>
        <v>Chángzhì Shì</v>
      </c>
      <c r="O379" s="13" t="str">
        <f t="shared" si="10"/>
        <v>Haojiazhuang Zhen (Chángzhì Shì)</v>
      </c>
      <c r="P379" s="13" t="str">
        <f t="shared" si="11"/>
        <v>Haojiazhuang Zhen (Chángzhì Shì)</v>
      </c>
    </row>
    <row r="380" spans="1:16" hidden="1" x14ac:dyDescent="0.25">
      <c r="A380" t="s">
        <v>2664</v>
      </c>
      <c r="B380" t="str">
        <f>IF(COUNTIF(A:A,A380)&gt;1,_xlfn.CONCAT(A380," (",N380,")"),A380)</f>
        <v>Hăozhuāng Xiāng</v>
      </c>
      <c r="C380" t="str">
        <f>IF(COUNTIF(B:B,B380)&gt;1,_xlfn.CONCAT(A380," (",M380,")"),B380)</f>
        <v>Hăozhuāng Xiāng</v>
      </c>
      <c r="D380" t="s">
        <v>2665</v>
      </c>
      <c r="E380" t="s">
        <v>17</v>
      </c>
      <c r="F380" t="str">
        <f>_xlfn.CONCAT(D380,", ",H380,", ",I380,", ","山西省")</f>
        <v>郝庄乡, 绛县, 运城市, 山西省</v>
      </c>
      <c r="G380">
        <v>18790</v>
      </c>
      <c r="H380" t="s">
        <v>3005</v>
      </c>
      <c r="I380" t="s">
        <v>3003</v>
      </c>
      <c r="J380" t="e">
        <f>VLOOKUP(F380,[1]!china_towns_second__2[[Column1]:[Y]],3,FALSE)</f>
        <v>#N/A</v>
      </c>
      <c r="K380" t="e">
        <f>VLOOKUP(F380,[1]!china_towns_second__2[[Column1]:[Y]],2,FALSE)</f>
        <v>#N/A</v>
      </c>
      <c r="L380" t="s">
        <v>3957</v>
      </c>
      <c r="M380" t="str">
        <f>VLOOKUP(H380,CHOOSE({1,2},Table12[Native],Table12[Name]),2,0)</f>
        <v>Jiàng Xiàn</v>
      </c>
      <c r="N380" s="13" t="str">
        <f>VLOOKUP(I380,CHOOSE({1,2},Table12[Native],Table12[Name]),2,0)</f>
        <v>Yùnchéng Shì</v>
      </c>
      <c r="O380" s="13" t="str">
        <f t="shared" si="10"/>
        <v>Haozhuang Xiang (Yùnchéng Shì)</v>
      </c>
      <c r="P380" s="13" t="str">
        <f t="shared" si="11"/>
        <v>Haozhuang Xiang (Yùnchéng Shì)</v>
      </c>
    </row>
    <row r="381" spans="1:16" hidden="1" x14ac:dyDescent="0.25">
      <c r="A381" t="s">
        <v>1936</v>
      </c>
      <c r="B381" t="str">
        <f>IF(COUNTIF(A:A,A381)&gt;1,_xlfn.CONCAT(A381," (",N381,")"),A381)</f>
        <v>Hăozhuāng Zhèn</v>
      </c>
      <c r="C381" t="str">
        <f>IF(COUNTIF(B:B,B381)&gt;1,_xlfn.CONCAT(A381," (",M381,")"),B381)</f>
        <v>Hăozhuāng Zhèn</v>
      </c>
      <c r="D381" t="s">
        <v>1937</v>
      </c>
      <c r="E381" t="s">
        <v>7</v>
      </c>
      <c r="F381" t="str">
        <f>_xlfn.CONCAT(D381,", ",H381,", ",I381,", ","山西省")</f>
        <v>郝庄镇, 迎泽区, 太原市, 山西省</v>
      </c>
      <c r="G381">
        <v>84298</v>
      </c>
      <c r="H381" t="s">
        <v>2979</v>
      </c>
      <c r="I381" t="s">
        <v>2969</v>
      </c>
      <c r="J381">
        <f>VLOOKUP(F381,[1]!china_towns_second__2[[Column1]:[Y]],3,FALSE)</f>
        <v>37.867419106027199</v>
      </c>
      <c r="K381">
        <f>VLOOKUP(F381,[1]!china_towns_second__2[[Column1]:[Y]],2,FALSE)</f>
        <v>112.67948749999999</v>
      </c>
      <c r="L381" t="s">
        <v>3958</v>
      </c>
      <c r="M381" t="str">
        <f>VLOOKUP(H381,CHOOSE({1,2},Table12[Native],Table12[Name]),2,0)</f>
        <v>Yíngzé Qū</v>
      </c>
      <c r="N381" s="13" t="str">
        <f>VLOOKUP(I381,CHOOSE({1,2},Table12[Native],Table12[Name]),2,0)</f>
        <v>Tàiyuán Shì</v>
      </c>
      <c r="O381" s="13" t="str">
        <f t="shared" si="10"/>
        <v>Haozhuang Zhen (Tàiyuán Shì)</v>
      </c>
      <c r="P381" s="13" t="str">
        <f t="shared" si="11"/>
        <v>Haozhuang Zhen (Tàiyuán Shì)</v>
      </c>
    </row>
    <row r="382" spans="1:16" hidden="1" x14ac:dyDescent="0.25">
      <c r="A382" t="s">
        <v>675</v>
      </c>
      <c r="B382" t="str">
        <f>IF(COUNTIF(A:A,A382)&gt;1,_xlfn.CONCAT(A382," (",N382,")"),A382)</f>
        <v>Hébĕi Zhèn</v>
      </c>
      <c r="C382" t="str">
        <f>IF(COUNTIF(B:B,B382)&gt;1,_xlfn.CONCAT(A382," (",M382,")"),B382)</f>
        <v>Hébĕi Zhèn</v>
      </c>
      <c r="D382" t="s">
        <v>676</v>
      </c>
      <c r="E382" t="s">
        <v>7</v>
      </c>
      <c r="F382" t="str">
        <f>_xlfn.CONCAT(D382,", ",H382,", ",I382,", ","山西省")</f>
        <v>河北镇, 阳城县, 晋城市, 山西省</v>
      </c>
      <c r="G382">
        <v>12116</v>
      </c>
      <c r="H382" t="s">
        <v>2911</v>
      </c>
      <c r="I382" t="s">
        <v>2906</v>
      </c>
      <c r="J382">
        <f>VLOOKUP(F382,[1]!china_towns_second__2[[Column1]:[Y]],3,FALSE)</f>
        <v>35.3400251964757</v>
      </c>
      <c r="K382">
        <f>VLOOKUP(F382,[1]!china_towns_second__2[[Column1]:[Y]],2,FALSE)</f>
        <v>112.2957293</v>
      </c>
      <c r="L382" t="s">
        <v>3959</v>
      </c>
      <c r="M382" t="str">
        <f>VLOOKUP(H382,CHOOSE({1,2},Table12[Native],Table12[Name]),2,0)</f>
        <v>Yángchéng Xiàn</v>
      </c>
      <c r="N382" s="13" t="str">
        <f>VLOOKUP(I382,CHOOSE({1,2},Table12[Native],Table12[Name]),2,0)</f>
        <v>Jìnchéng Shì</v>
      </c>
      <c r="O382" s="13" t="str">
        <f t="shared" si="10"/>
        <v>Hebei Zhen (Jìnchéng Shì)</v>
      </c>
      <c r="P382" s="13" t="str">
        <f t="shared" si="11"/>
        <v>Hebei Zhen (Jìnchéng Shì)</v>
      </c>
    </row>
    <row r="383" spans="1:16" hidden="1" x14ac:dyDescent="0.25">
      <c r="A383" t="s">
        <v>2219</v>
      </c>
      <c r="B383" t="str">
        <f>IF(COUNTIF(A:A,A383)&gt;1,_xlfn.CONCAT(A383," (",N383,")"),A383)</f>
        <v>Hébiān Zhèn</v>
      </c>
      <c r="C383" t="str">
        <f>IF(COUNTIF(B:B,B383)&gt;1,_xlfn.CONCAT(A383," (",M383,")"),B383)</f>
        <v>Hébiān Zhèn</v>
      </c>
      <c r="D383" t="s">
        <v>2220</v>
      </c>
      <c r="E383" t="s">
        <v>7</v>
      </c>
      <c r="F383" t="str">
        <f>_xlfn.CONCAT(D383,", ",H383,", ",I383,", ","山西省")</f>
        <v>河边镇, 定襄县, 忻州市, 山西省</v>
      </c>
      <c r="G383">
        <v>27363</v>
      </c>
      <c r="H383" t="s">
        <v>2984</v>
      </c>
      <c r="I383" t="s">
        <v>2981</v>
      </c>
      <c r="J383">
        <f>VLOOKUP(F383,[1]!china_towns_second__2[[Column1]:[Y]],3,FALSE)</f>
        <v>38.508268257535399</v>
      </c>
      <c r="K383">
        <f>VLOOKUP(F383,[1]!china_towns_second__2[[Column1]:[Y]],2,FALSE)</f>
        <v>113.16404369999999</v>
      </c>
      <c r="L383" t="s">
        <v>3960</v>
      </c>
      <c r="M383" t="str">
        <f>VLOOKUP(H383,CHOOSE({1,2},Table12[Native],Table12[Name]),2,0)</f>
        <v>Dìngxiāng Xiàn</v>
      </c>
      <c r="N383" s="13" t="str">
        <f>VLOOKUP(I383,CHOOSE({1,2},Table12[Native],Table12[Name]),2,0)</f>
        <v>Xīnzhōu Shì</v>
      </c>
      <c r="O383" s="13" t="str">
        <f t="shared" si="10"/>
        <v>Hebian Zhen (Xīnzhōu Shì)</v>
      </c>
      <c r="P383" s="13" t="str">
        <f t="shared" si="11"/>
        <v>Hebian Zhen (Xīnzhōu Shì)</v>
      </c>
    </row>
    <row r="384" spans="1:16" hidden="1" x14ac:dyDescent="0.25">
      <c r="A384" t="s">
        <v>1163</v>
      </c>
      <c r="B384" t="str">
        <f>IF(COUNTIF(A:A,A384)&gt;1,_xlfn.CONCAT(A384," (",N384,")"),A384)</f>
        <v>Héchuān Zhèn</v>
      </c>
      <c r="C384" t="str">
        <f>IF(COUNTIF(B:B,B384)&gt;1,_xlfn.CONCAT(A384," (",M384,")"),B384)</f>
        <v>Héchuān Zhèn</v>
      </c>
      <c r="D384" t="s">
        <v>1164</v>
      </c>
      <c r="E384" t="s">
        <v>7</v>
      </c>
      <c r="F384" t="str">
        <f>_xlfn.CONCAT(D384,", ",H384,", ",I384,", ","山西省")</f>
        <v>和川镇, 安泽县, 临汾市, 山西省</v>
      </c>
      <c r="G384">
        <v>10123</v>
      </c>
      <c r="H384" t="s">
        <v>2928</v>
      </c>
      <c r="I384" t="s">
        <v>2927</v>
      </c>
      <c r="J384">
        <f>VLOOKUP(F384,[1]!china_towns_second__2[[Column1]:[Y]],3,FALSE)</f>
        <v>36.300722038194699</v>
      </c>
      <c r="K384">
        <f>VLOOKUP(F384,[1]!china_towns_second__2[[Column1]:[Y]],2,FALSE)</f>
        <v>112.2944502</v>
      </c>
      <c r="L384" t="s">
        <v>3961</v>
      </c>
      <c r="M384" t="str">
        <f>VLOOKUP(H384,CHOOSE({1,2},Table12[Native],Table12[Name]),2,0)</f>
        <v>Ānzé Xiàn</v>
      </c>
      <c r="N384" s="13" t="str">
        <f>VLOOKUP(I384,CHOOSE({1,2},Table12[Native],Table12[Name]),2,0)</f>
        <v>Línfén Shì</v>
      </c>
      <c r="O384" s="13" t="str">
        <f t="shared" si="10"/>
        <v>Hechuan Zhen (Línfén Shì)</v>
      </c>
      <c r="P384" s="13" t="str">
        <f t="shared" si="11"/>
        <v>Hechuan Zhen (Línfén Shì)</v>
      </c>
    </row>
    <row r="385" spans="1:16" hidden="1" x14ac:dyDescent="0.25">
      <c r="A385" t="s">
        <v>1165</v>
      </c>
      <c r="B385" t="str">
        <f>IF(COUNTIF(A:A,A385)&gt;1,_xlfn.CONCAT(A385," (",N385,")"),A385)</f>
        <v>Hédĭ Xiāng</v>
      </c>
      <c r="C385" t="str">
        <f>IF(COUNTIF(B:B,B385)&gt;1,_xlfn.CONCAT(A385," (",M385,")"),B385)</f>
        <v>Hédĭ Xiāng</v>
      </c>
      <c r="D385" t="s">
        <v>1166</v>
      </c>
      <c r="E385" t="s">
        <v>17</v>
      </c>
      <c r="F385" t="str">
        <f>_xlfn.CONCAT(D385,", ",H385,", ",I385,", ","山西省")</f>
        <v>河底乡, 尧都区, 临汾市, 山西省</v>
      </c>
      <c r="G385">
        <v>10111</v>
      </c>
      <c r="H385" t="s">
        <v>2942</v>
      </c>
      <c r="I385" t="s">
        <v>2927</v>
      </c>
      <c r="J385" t="e">
        <f>VLOOKUP(F385,[1]!china_towns_second__2[[Column1]:[Y]],3,FALSE)</f>
        <v>#N/A</v>
      </c>
      <c r="K385" t="e">
        <f>VLOOKUP(F385,[1]!china_towns_second__2[[Column1]:[Y]],2,FALSE)</f>
        <v>#N/A</v>
      </c>
      <c r="L385" t="s">
        <v>3962</v>
      </c>
      <c r="M385" t="str">
        <f>VLOOKUP(H385,CHOOSE({1,2},Table12[Native],Table12[Name]),2,0)</f>
        <v>Yáodū Qū</v>
      </c>
      <c r="N385" s="13" t="str">
        <f>VLOOKUP(I385,CHOOSE({1,2},Table12[Native],Table12[Name]),2,0)</f>
        <v>Línfén Shì</v>
      </c>
      <c r="O385" s="13" t="str">
        <f t="shared" si="10"/>
        <v>Hedi Xiang (Línfén Shì)</v>
      </c>
      <c r="P385" s="13" t="str">
        <f t="shared" si="11"/>
        <v>Hedi Xiang (Línfén Shì)</v>
      </c>
    </row>
    <row r="386" spans="1:16" hidden="1" x14ac:dyDescent="0.25">
      <c r="A386" t="s">
        <v>2511</v>
      </c>
      <c r="B386" t="str">
        <f>IF(COUNTIF(A:A,A386)&gt;1,_xlfn.CONCAT(A386," (",N386,")"),A386)</f>
        <v>Hédĭ Zhèn (Yángquán Shì)</v>
      </c>
      <c r="C386" t="str">
        <f>IF(COUNTIF(B:B,B386)&gt;1,_xlfn.CONCAT(A386," (",M386,")"),B386)</f>
        <v>Hédĭ Zhèn (Yángquán Shì)</v>
      </c>
      <c r="D386" t="s">
        <v>2512</v>
      </c>
      <c r="E386" t="s">
        <v>7</v>
      </c>
      <c r="F386" t="str">
        <f>_xlfn.CONCAT(D386,", ",H386,", ",I386,", ","山西省")</f>
        <v>河底镇, 郊区, 阳泉市, 山西省</v>
      </c>
      <c r="G386">
        <v>44032</v>
      </c>
      <c r="H386" t="s">
        <v>2998</v>
      </c>
      <c r="I386" t="s">
        <v>2997</v>
      </c>
      <c r="J386">
        <f>VLOOKUP(F386,[1]!china_towns_second__2[[Column1]:[Y]],3,FALSE)</f>
        <v>38.002964573271498</v>
      </c>
      <c r="K386">
        <f>VLOOKUP(F386,[1]!china_towns_second__2[[Column1]:[Y]],2,FALSE)</f>
        <v>113.5280684</v>
      </c>
      <c r="L386" t="s">
        <v>3963</v>
      </c>
      <c r="M386" t="str">
        <f>VLOOKUP(H386,CHOOSE({1,2},Table12[Native],Table12[Name]),2,0)</f>
        <v>Jiāo Qū</v>
      </c>
      <c r="N386" s="13" t="str">
        <f>VLOOKUP(I386,CHOOSE({1,2},Table12[Native],Table12[Name]),2,0)</f>
        <v>Yángquán Shì</v>
      </c>
      <c r="O386" s="13" t="str">
        <f t="shared" ref="O386:O449" si="12">_xlfn.CONCAT(L386," (",N386,")")</f>
        <v>Hedi Zhen (Yangquan Shi) (Yángquán Shì)</v>
      </c>
      <c r="P386" s="13" t="str">
        <f t="shared" ref="P386:P449" si="13">IF(COUNTIF(O:O,O386)&gt;1,_xlfn.CONCAT(L386," (",M386,")"),O386)</f>
        <v>Hedi Zhen (Yangquan Shi) (Yángquán Shì)</v>
      </c>
    </row>
    <row r="387" spans="1:16" hidden="1" x14ac:dyDescent="0.25">
      <c r="A387" t="s">
        <v>2511</v>
      </c>
      <c r="B387" t="str">
        <f>IF(COUNTIF(A:A,A387)&gt;1,_xlfn.CONCAT(A387," (",N387,")"),A387)</f>
        <v>Hédĭ Zhèn (Yùnchéng Shì)</v>
      </c>
      <c r="C387" t="str">
        <f>IF(COUNTIF(B:B,B387)&gt;1,_xlfn.CONCAT(A387," (",M387,")"),B387)</f>
        <v>Hédĭ Zhèn (Yùnchéng Shì)</v>
      </c>
      <c r="D387" t="s">
        <v>2512</v>
      </c>
      <c r="E387" t="s">
        <v>7</v>
      </c>
      <c r="F387" t="str">
        <f>_xlfn.CONCAT(D387,", ",H387,", ",I387,", ","山西省")</f>
        <v>河底镇, 闻喜县, 运城市, 山西省</v>
      </c>
      <c r="G387">
        <v>35092</v>
      </c>
      <c r="H387" t="s">
        <v>3011</v>
      </c>
      <c r="I387" t="s">
        <v>3003</v>
      </c>
      <c r="J387">
        <f>VLOOKUP(F387,[1]!china_towns_second__2[[Column1]:[Y]],3,FALSE)</f>
        <v>35.329667292707498</v>
      </c>
      <c r="K387">
        <f>VLOOKUP(F387,[1]!china_towns_second__2[[Column1]:[Y]],2,FALSE)</f>
        <v>111.38690769999999</v>
      </c>
      <c r="L387" t="s">
        <v>3964</v>
      </c>
      <c r="M387" t="str">
        <f>VLOOKUP(H387,CHOOSE({1,2},Table12[Native],Table12[Name]),2,0)</f>
        <v>Wénxĭ Xiàn</v>
      </c>
      <c r="N387" s="13" t="str">
        <f>VLOOKUP(I387,CHOOSE({1,2},Table12[Native],Table12[Name]),2,0)</f>
        <v>Yùnchéng Shì</v>
      </c>
      <c r="O387" s="13" t="str">
        <f t="shared" si="12"/>
        <v>Hedi Zhen (Yuncheng Shi) (Yùnchéng Shì)</v>
      </c>
      <c r="P387" s="13" t="str">
        <f t="shared" si="13"/>
        <v>Hedi Zhen (Yuncheng Shi) (Yùnchéng Shì)</v>
      </c>
    </row>
    <row r="388" spans="1:16" hidden="1" x14ac:dyDescent="0.25">
      <c r="A388" t="s">
        <v>1488</v>
      </c>
      <c r="B388" t="str">
        <f>IF(COUNTIF(A:A,A388)&gt;1,_xlfn.CONCAT(A388," (",N388,")"),A388)</f>
        <v>Héhé Xiāng</v>
      </c>
      <c r="C388" t="str">
        <f>IF(COUNTIF(B:B,B388)&gt;1,_xlfn.CONCAT(A388," (",M388,")"),B388)</f>
        <v>Héhé Xiāng</v>
      </c>
      <c r="D388" t="s">
        <v>1489</v>
      </c>
      <c r="E388" t="s">
        <v>17</v>
      </c>
      <c r="F388" t="str">
        <f>_xlfn.CONCAT(D388,", ",H388,", ",I388,", ","山西省")</f>
        <v>和合乡, 石楼县, 吕梁市, 山西省</v>
      </c>
      <c r="G388">
        <v>9793</v>
      </c>
      <c r="H388" t="s">
        <v>2955</v>
      </c>
      <c r="I388" t="s">
        <v>2946</v>
      </c>
      <c r="J388" t="e">
        <f>VLOOKUP(F388,[1]!china_towns_second__2[[Column1]:[Y]],3,FALSE)</f>
        <v>#N/A</v>
      </c>
      <c r="K388" t="e">
        <f>VLOOKUP(F388,[1]!china_towns_second__2[[Column1]:[Y]],2,FALSE)</f>
        <v>#N/A</v>
      </c>
      <c r="L388" t="s">
        <v>3965</v>
      </c>
      <c r="M388" t="str">
        <f>VLOOKUP(H388,CHOOSE({1,2},Table12[Native],Table12[Name]),2,0)</f>
        <v>Shílóu Xiàn</v>
      </c>
      <c r="N388" s="13" t="str">
        <f>VLOOKUP(I388,CHOOSE({1,2},Table12[Native],Table12[Name]),2,0)</f>
        <v>Lǚliáng Shì</v>
      </c>
      <c r="O388" s="13" t="str">
        <f t="shared" si="12"/>
        <v>Hehe Xiang (Lǚliáng Shì)</v>
      </c>
      <c r="P388" s="13" t="str">
        <f t="shared" si="13"/>
        <v>Hehe Xiang (Lǚliáng Shì)</v>
      </c>
    </row>
    <row r="389" spans="1:16" hidden="1" x14ac:dyDescent="0.25">
      <c r="A389" t="s">
        <v>1167</v>
      </c>
      <c r="B389" t="str">
        <f>IF(COUNTIF(A:A,A389)&gt;1,_xlfn.CONCAT(A389," (",N389,")"),A389)</f>
        <v>Hēilóngguān Zhèn</v>
      </c>
      <c r="C389" t="str">
        <f>IF(COUNTIF(B:B,B389)&gt;1,_xlfn.CONCAT(A389," (",M389,")"),B389)</f>
        <v>Hēilóngguān Zhèn</v>
      </c>
      <c r="D389" t="s">
        <v>1168</v>
      </c>
      <c r="E389" t="s">
        <v>7</v>
      </c>
      <c r="F389" t="str">
        <f>_xlfn.CONCAT(D389,", ",H389,", ",I389,", ","山西省")</f>
        <v>黑龙关镇, 蒲县, 临汾市, 山西省</v>
      </c>
      <c r="G389">
        <v>20121</v>
      </c>
      <c r="H389" t="s">
        <v>2937</v>
      </c>
      <c r="I389" t="s">
        <v>2927</v>
      </c>
      <c r="J389">
        <f>VLOOKUP(F389,[1]!china_towns_second__2[[Column1]:[Y]],3,FALSE)</f>
        <v>36.306951330867697</v>
      </c>
      <c r="K389">
        <f>VLOOKUP(F389,[1]!china_towns_second__2[[Column1]:[Y]],2,FALSE)</f>
        <v>111.23104720000001</v>
      </c>
      <c r="L389" t="s">
        <v>3966</v>
      </c>
      <c r="M389" t="str">
        <f>VLOOKUP(H389,CHOOSE({1,2},Table12[Native],Table12[Name]),2,0)</f>
        <v>Pú Xiàn</v>
      </c>
      <c r="N389" s="13" t="str">
        <f>VLOOKUP(I389,CHOOSE({1,2},Table12[Native],Table12[Name]),2,0)</f>
        <v>Línfén Shì</v>
      </c>
      <c r="O389" s="13" t="str">
        <f t="shared" si="12"/>
        <v>Heilongguan Zhen (Línfén Shì)</v>
      </c>
      <c r="P389" s="13" t="str">
        <f t="shared" si="13"/>
        <v>Heilongguan Zhen (Línfén Shì)</v>
      </c>
    </row>
    <row r="390" spans="1:16" hidden="1" x14ac:dyDescent="0.25">
      <c r="A390" t="s">
        <v>1772</v>
      </c>
      <c r="B390" t="str">
        <f>IF(COUNTIF(A:A,A390)&gt;1,_xlfn.CONCAT(A390," (",N390,")"),A390)</f>
        <v>Héjiābăo Xiāng</v>
      </c>
      <c r="C390" t="str">
        <f>IF(COUNTIF(B:B,B390)&gt;1,_xlfn.CONCAT(A390," (",M390,")"),B390)</f>
        <v>Héjiābăo Xiāng</v>
      </c>
      <c r="D390" t="s">
        <v>1773</v>
      </c>
      <c r="E390" t="s">
        <v>17</v>
      </c>
      <c r="F390" t="str">
        <f>_xlfn.CONCAT(D390,", ",H390,", ",I390,", ","山西省")</f>
        <v>何家堡乡, 怀仁市, 朔州市, 山西省</v>
      </c>
      <c r="G390">
        <v>21186</v>
      </c>
      <c r="H390" t="s">
        <v>2962</v>
      </c>
      <c r="I390" t="s">
        <v>2961</v>
      </c>
      <c r="J390" t="e">
        <f>VLOOKUP(F390,[1]!china_towns_second__2[[Column1]:[Y]],3,FALSE)</f>
        <v>#N/A</v>
      </c>
      <c r="K390" t="e">
        <f>VLOOKUP(F390,[1]!china_towns_second__2[[Column1]:[Y]],2,FALSE)</f>
        <v>#N/A</v>
      </c>
      <c r="L390" t="s">
        <v>3967</v>
      </c>
      <c r="M390" t="str">
        <f>VLOOKUP(H390,CHOOSE({1,2},Table12[Native],Table12[Name]),2,0)</f>
        <v>Huáirén Shì</v>
      </c>
      <c r="N390" s="13" t="str">
        <f>VLOOKUP(I390,CHOOSE({1,2},Table12[Native],Table12[Name]),2,0)</f>
        <v>Shuòzhōu Shì</v>
      </c>
      <c r="O390" s="13" t="str">
        <f t="shared" si="12"/>
        <v>Hejiabao Xiang (Shuòzhōu Shì)</v>
      </c>
      <c r="P390" s="13" t="str">
        <f t="shared" si="13"/>
        <v>Hejiabao Xiang (Shuòzhōu Shì)</v>
      </c>
    </row>
    <row r="391" spans="1:16" hidden="1" x14ac:dyDescent="0.25">
      <c r="A391" t="s">
        <v>1490</v>
      </c>
      <c r="B391" t="str">
        <f>IF(COUNTIF(A:A,A391)&gt;1,_xlfn.CONCAT(A391," (",N391,")"),A391)</f>
        <v>Hèjiāhuì Xiāng</v>
      </c>
      <c r="C391" t="str">
        <f>IF(COUNTIF(B:B,B391)&gt;1,_xlfn.CONCAT(A391," (",M391,")"),B391)</f>
        <v>Hèjiāhuì Xiāng</v>
      </c>
      <c r="D391" t="s">
        <v>1491</v>
      </c>
      <c r="E391" t="s">
        <v>17</v>
      </c>
      <c r="F391" t="str">
        <f>_xlfn.CONCAT(D391,", ",H391,", ",I391,", ","山西省")</f>
        <v>贺家会乡, 兴县, 吕梁市, 山西省</v>
      </c>
      <c r="G391">
        <v>6537</v>
      </c>
      <c r="H391" t="s">
        <v>2958</v>
      </c>
      <c r="I391" t="s">
        <v>2946</v>
      </c>
      <c r="J391" t="e">
        <f>VLOOKUP(F391,[1]!china_towns_second__2[[Column1]:[Y]],3,FALSE)</f>
        <v>#N/A</v>
      </c>
      <c r="K391" t="e">
        <f>VLOOKUP(F391,[1]!china_towns_second__2[[Column1]:[Y]],2,FALSE)</f>
        <v>#N/A</v>
      </c>
      <c r="L391" t="s">
        <v>3968</v>
      </c>
      <c r="M391" t="str">
        <f>VLOOKUP(H391,CHOOSE({1,2},Table12[Native],Table12[Name]),2,0)</f>
        <v>Xīng Xiàn</v>
      </c>
      <c r="N391" s="13" t="str">
        <f>VLOOKUP(I391,CHOOSE({1,2},Table12[Native],Table12[Name]),2,0)</f>
        <v>Lǚliáng Shì</v>
      </c>
      <c r="O391" s="13" t="str">
        <f t="shared" si="12"/>
        <v>Hejiahui Xiang (Lǚliáng Shì)</v>
      </c>
      <c r="P391" s="13" t="str">
        <f t="shared" si="13"/>
        <v>Hejiahui Xiang (Lǚliáng Shì)</v>
      </c>
    </row>
    <row r="392" spans="1:16" hidden="1" x14ac:dyDescent="0.25">
      <c r="A392" t="s">
        <v>1169</v>
      </c>
      <c r="B392" t="str">
        <f>IF(COUNTIF(A:A,A392)&gt;1,_xlfn.CONCAT(A392," (",N392,")"),A392)</f>
        <v>Hèjiāzhuāng Xiāng</v>
      </c>
      <c r="C392" t="str">
        <f>IF(COUNTIF(B:B,B392)&gt;1,_xlfn.CONCAT(A392," (",M392,")"),B392)</f>
        <v>Hèjiāzhuāng Xiāng</v>
      </c>
      <c r="D392" t="s">
        <v>1170</v>
      </c>
      <c r="E392" t="s">
        <v>17</v>
      </c>
      <c r="F392" t="str">
        <f>_xlfn.CONCAT(D392,", ",H392,", ",I392,", ","山西省")</f>
        <v>贺家庄乡, 尧都区, 临汾市, 山西省</v>
      </c>
      <c r="G392">
        <v>4352</v>
      </c>
      <c r="H392" t="s">
        <v>2942</v>
      </c>
      <c r="I392" t="s">
        <v>2927</v>
      </c>
      <c r="J392" t="e">
        <f>VLOOKUP(F392,[1]!china_towns_second__2[[Column1]:[Y]],3,FALSE)</f>
        <v>#N/A</v>
      </c>
      <c r="K392" t="e">
        <f>VLOOKUP(F392,[1]!china_towns_second__2[[Column1]:[Y]],2,FALSE)</f>
        <v>#N/A</v>
      </c>
      <c r="L392" t="s">
        <v>3969</v>
      </c>
      <c r="M392" t="str">
        <f>VLOOKUP(H392,CHOOSE({1,2},Table12[Native],Table12[Name]),2,0)</f>
        <v>Yáodū Qū</v>
      </c>
      <c r="N392" s="13" t="str">
        <f>VLOOKUP(I392,CHOOSE({1,2},Table12[Native],Table12[Name]),2,0)</f>
        <v>Línfén Shì</v>
      </c>
      <c r="O392" s="13" t="str">
        <f t="shared" si="12"/>
        <v>Hejiazhuang Xiang (Línfén Shì)</v>
      </c>
      <c r="P392" s="13" t="str">
        <f t="shared" si="13"/>
        <v>Hejiazhuang Xiang (Línfén Shì)</v>
      </c>
    </row>
    <row r="393" spans="1:16" hidden="1" x14ac:dyDescent="0.25">
      <c r="A393" t="s">
        <v>1492</v>
      </c>
      <c r="B393" t="str">
        <f>IF(COUNTIF(A:A,A393)&gt;1,_xlfn.CONCAT(A393," (",N393,")"),A393)</f>
        <v>Hékŏu Xiāng</v>
      </c>
      <c r="C393" t="str">
        <f>IF(COUNTIF(B:B,B393)&gt;1,_xlfn.CONCAT(A393," (",M393,")"),B393)</f>
        <v>Hékŏu Xiāng</v>
      </c>
      <c r="D393" t="s">
        <v>1493</v>
      </c>
      <c r="E393" t="s">
        <v>17</v>
      </c>
      <c r="F393" t="str">
        <f>_xlfn.CONCAT(D393,", ",H393,", ",I393,", ","山西省")</f>
        <v>河口乡, 岚县, 吕梁市, 山西省</v>
      </c>
      <c r="G393">
        <v>5005</v>
      </c>
      <c r="H393" t="s">
        <v>2951</v>
      </c>
      <c r="I393" t="s">
        <v>2946</v>
      </c>
      <c r="J393" t="e">
        <f>VLOOKUP(F393,[1]!china_towns_second__2[[Column1]:[Y]],3,FALSE)</f>
        <v>#N/A</v>
      </c>
      <c r="K393" t="e">
        <f>VLOOKUP(F393,[1]!china_towns_second__2[[Column1]:[Y]],2,FALSE)</f>
        <v>#N/A</v>
      </c>
      <c r="L393" t="s">
        <v>3970</v>
      </c>
      <c r="M393" t="str">
        <f>VLOOKUP(H393,CHOOSE({1,2},Table12[Native],Table12[Name]),2,0)</f>
        <v>Lán Xiàn</v>
      </c>
      <c r="N393" s="13" t="str">
        <f>VLOOKUP(I393,CHOOSE({1,2},Table12[Native],Table12[Name]),2,0)</f>
        <v>Lǚliáng Shì</v>
      </c>
      <c r="O393" s="13" t="str">
        <f t="shared" si="12"/>
        <v>Hekou Xiang (Lǚliáng Shì)</v>
      </c>
      <c r="P393" s="13" t="str">
        <f t="shared" si="13"/>
        <v>Hekou Xiang (Lǚliáng Shì)</v>
      </c>
    </row>
    <row r="394" spans="1:16" hidden="1" x14ac:dyDescent="0.25">
      <c r="A394" t="s">
        <v>1939</v>
      </c>
      <c r="B394" t="str">
        <f>IF(COUNTIF(A:A,A394)&gt;1,_xlfn.CONCAT(A394," (",N394,")"),A394)</f>
        <v>Hékŏu Zhèn</v>
      </c>
      <c r="C394" t="str">
        <f>IF(COUNTIF(B:B,B394)&gt;1,_xlfn.CONCAT(A394," (",M394,")"),B394)</f>
        <v>Hékŏu Zhèn</v>
      </c>
      <c r="D394" t="s">
        <v>1940</v>
      </c>
      <c r="E394" t="s">
        <v>7</v>
      </c>
      <c r="F394" t="str">
        <f>_xlfn.CONCAT(D394,", ",H394,", ",I394,", ","山西省")</f>
        <v>河口镇, 古交市, 太原市, 山西省</v>
      </c>
      <c r="G394">
        <v>15161</v>
      </c>
      <c r="H394" t="s">
        <v>2970</v>
      </c>
      <c r="I394" t="s">
        <v>2969</v>
      </c>
      <c r="J394">
        <f>VLOOKUP(F394,[1]!china_towns_second__2[[Column1]:[Y]],3,FALSE)</f>
        <v>37.9890660238175</v>
      </c>
      <c r="K394">
        <f>VLOOKUP(F394,[1]!china_towns_second__2[[Column1]:[Y]],2,FALSE)</f>
        <v>112.2333824</v>
      </c>
      <c r="L394" t="s">
        <v>3971</v>
      </c>
      <c r="M394" t="str">
        <f>VLOOKUP(H394,CHOOSE({1,2},Table12[Native],Table12[Name]),2,0)</f>
        <v>Gŭjiāo Shì</v>
      </c>
      <c r="N394" s="13" t="str">
        <f>VLOOKUP(I394,CHOOSE({1,2},Table12[Native],Table12[Name]),2,0)</f>
        <v>Tàiyuán Shì</v>
      </c>
      <c r="O394" s="13" t="str">
        <f t="shared" si="12"/>
        <v>Hekou Zhen (Tàiyuán Shì)</v>
      </c>
      <c r="P394" s="13" t="str">
        <f t="shared" si="13"/>
        <v>Hekou Zhen (Tàiyuán Shì)</v>
      </c>
    </row>
    <row r="395" spans="1:16" hidden="1" x14ac:dyDescent="0.25">
      <c r="A395" t="s">
        <v>677</v>
      </c>
      <c r="B395" t="str">
        <f>IF(COUNTIF(A:A,A395)&gt;1,_xlfn.CONCAT(A395," (",N395,")"),A395)</f>
        <v>Hénghé Zhèn</v>
      </c>
      <c r="C395" t="str">
        <f>IF(COUNTIF(B:B,B395)&gt;1,_xlfn.CONCAT(A395," (",M395,")"),B395)</f>
        <v>Hénghé Zhèn</v>
      </c>
      <c r="D395" t="s">
        <v>678</v>
      </c>
      <c r="E395" t="s">
        <v>7</v>
      </c>
      <c r="F395" t="str">
        <f>_xlfn.CONCAT(D395,", ",H395,", ",I395,", ","山西省")</f>
        <v>横河镇, 阳城县, 晋城市, 山西省</v>
      </c>
      <c r="G395">
        <v>3826</v>
      </c>
      <c r="H395" t="s">
        <v>2911</v>
      </c>
      <c r="I395" t="s">
        <v>2906</v>
      </c>
      <c r="J395">
        <f>VLOOKUP(F395,[1]!china_towns_second__2[[Column1]:[Y]],3,FALSE)</f>
        <v>35.331590399149199</v>
      </c>
      <c r="K395">
        <f>VLOOKUP(F395,[1]!china_towns_second__2[[Column1]:[Y]],2,FALSE)</f>
        <v>112.1536509</v>
      </c>
      <c r="L395" t="s">
        <v>3972</v>
      </c>
      <c r="M395" t="str">
        <f>VLOOKUP(H395,CHOOSE({1,2},Table12[Native],Table12[Name]),2,0)</f>
        <v>Yángchéng Xiàn</v>
      </c>
      <c r="N395" s="13" t="str">
        <f>VLOOKUP(I395,CHOOSE({1,2},Table12[Native],Table12[Name]),2,0)</f>
        <v>Jìnchéng Shì</v>
      </c>
      <c r="O395" s="13" t="str">
        <f t="shared" si="12"/>
        <v>Henghe Zhen (Jìnchéng Shì)</v>
      </c>
      <c r="P395" s="13" t="str">
        <f t="shared" si="13"/>
        <v>Henghe Zhen (Jìnchéng Shì)</v>
      </c>
    </row>
    <row r="396" spans="1:16" hidden="1" x14ac:dyDescent="0.25">
      <c r="A396" t="s">
        <v>859</v>
      </c>
      <c r="B396" t="str">
        <f>IF(COUNTIF(A:A,A396)&gt;1,_xlfn.CONCAT(A396," (",N396,")"),A396)</f>
        <v>Hénglĭng Zhèn</v>
      </c>
      <c r="C396" t="str">
        <f>IF(COUNTIF(B:B,B396)&gt;1,_xlfn.CONCAT(A396," (",M396,")"),B396)</f>
        <v>Hénglĭng Zhèn</v>
      </c>
      <c r="D396" t="s">
        <v>860</v>
      </c>
      <c r="E396" t="s">
        <v>7</v>
      </c>
      <c r="F396" t="str">
        <f>_xlfn.CONCAT(D396,", ",H396,", ",I396,", ","山西省")</f>
        <v>横岭镇, 和顺县, 晋中市, 山西省</v>
      </c>
      <c r="G396">
        <v>4540</v>
      </c>
      <c r="H396" t="s">
        <v>2915</v>
      </c>
      <c r="I396" t="s">
        <v>2914</v>
      </c>
      <c r="J396">
        <f>VLOOKUP(F396,[1]!china_towns_second__2[[Column1]:[Y]],3,FALSE)</f>
        <v>37.351488916450201</v>
      </c>
      <c r="K396">
        <f>VLOOKUP(F396,[1]!china_towns_second__2[[Column1]:[Y]],2,FALSE)</f>
        <v>113.1739565</v>
      </c>
      <c r="L396" t="s">
        <v>3973</v>
      </c>
      <c r="M396" t="str">
        <f>VLOOKUP(H396,CHOOSE({1,2},Table12[Native],Table12[Name]),2,0)</f>
        <v>Héshùn Xiàn</v>
      </c>
      <c r="N396" s="13" t="str">
        <f>VLOOKUP(I396,CHOOSE({1,2},Table12[Native],Table12[Name]),2,0)</f>
        <v>Jìnzhōng Shì</v>
      </c>
      <c r="O396" s="13" t="str">
        <f t="shared" si="12"/>
        <v>Hengling Zhen (Jìnzhōng Shì)</v>
      </c>
      <c r="P396" s="13" t="str">
        <f t="shared" si="13"/>
        <v>Hengling Zhen (Jìnzhōng Shì)</v>
      </c>
    </row>
    <row r="397" spans="1:16" hidden="1" x14ac:dyDescent="0.25">
      <c r="A397" t="s">
        <v>2666</v>
      </c>
      <c r="B397" t="str">
        <f>IF(COUNTIF(A:A,A397)&gt;1,_xlfn.CONCAT(A397," (",N397,")"),A397)</f>
        <v>Héngqiáo Zhèn</v>
      </c>
      <c r="C397" t="str">
        <f>IF(COUNTIF(B:B,B397)&gt;1,_xlfn.CONCAT(A397," (",M397,")"),B397)</f>
        <v>Héngqiáo Zhèn</v>
      </c>
      <c r="D397" t="s">
        <v>2667</v>
      </c>
      <c r="E397" t="s">
        <v>7</v>
      </c>
      <c r="F397" t="str">
        <f>_xlfn.CONCAT(D397,", ",H397,", ",I397,", ","山西省")</f>
        <v>横桥镇, 新绛县, 运城市, 山西省</v>
      </c>
      <c r="G397">
        <v>40154</v>
      </c>
      <c r="H397" t="s">
        <v>3013</v>
      </c>
      <c r="I397" t="s">
        <v>3003</v>
      </c>
      <c r="J397">
        <f>VLOOKUP(F397,[1]!china_towns_second__2[[Column1]:[Y]],3,FALSE)</f>
        <v>35.540674840122698</v>
      </c>
      <c r="K397">
        <f>VLOOKUP(F397,[1]!china_towns_second__2[[Column1]:[Y]],2,FALSE)</f>
        <v>111.2173195</v>
      </c>
      <c r="L397" t="s">
        <v>3974</v>
      </c>
      <c r="M397" t="str">
        <f>VLOOKUP(H397,CHOOSE({1,2},Table12[Native],Table12[Name]),2,0)</f>
        <v>Xīnjiàng Xiàn</v>
      </c>
      <c r="N397" s="13" t="str">
        <f>VLOOKUP(I397,CHOOSE({1,2},Table12[Native],Table12[Name]),2,0)</f>
        <v>Yùnchéng Shì</v>
      </c>
      <c r="O397" s="13" t="str">
        <f t="shared" si="12"/>
        <v>Hengqiao Zhen (Yùnchéng Shì)</v>
      </c>
      <c r="P397" s="13" t="str">
        <f t="shared" si="13"/>
        <v>Hengqiao Zhen (Yùnchéng Shì)</v>
      </c>
    </row>
    <row r="398" spans="1:16" hidden="1" x14ac:dyDescent="0.25">
      <c r="A398" t="s">
        <v>2668</v>
      </c>
      <c r="B398" t="str">
        <f>IF(COUNTIF(A:A,A398)&gt;1,_xlfn.CONCAT(A398," (",N398,")"),A398)</f>
        <v>Héngshuĭ Zhèn</v>
      </c>
      <c r="C398" t="str">
        <f>IF(COUNTIF(B:B,B398)&gt;1,_xlfn.CONCAT(A398," (",M398,")"),B398)</f>
        <v>Héngshuĭ Zhèn</v>
      </c>
      <c r="D398" t="s">
        <v>2669</v>
      </c>
      <c r="E398" t="s">
        <v>7</v>
      </c>
      <c r="F398" t="str">
        <f>_xlfn.CONCAT(D398,", ",H398,", ",I398,", ","山西省")</f>
        <v>横水镇, 绛县, 运城市, 山西省</v>
      </c>
      <c r="G398">
        <v>46681</v>
      </c>
      <c r="H398" t="s">
        <v>3005</v>
      </c>
      <c r="I398" t="s">
        <v>3003</v>
      </c>
      <c r="J398">
        <f>VLOOKUP(F398,[1]!china_towns_second__2[[Column1]:[Y]],3,FALSE)</f>
        <v>35.457389488592803</v>
      </c>
      <c r="K398">
        <f>VLOOKUP(F398,[1]!china_towns_second__2[[Column1]:[Y]],2,FALSE)</f>
        <v>111.4394552</v>
      </c>
      <c r="L398" t="s">
        <v>3975</v>
      </c>
      <c r="M398" t="str">
        <f>VLOOKUP(H398,CHOOSE({1,2},Table12[Native],Table12[Name]),2,0)</f>
        <v>Jiàng Xiàn</v>
      </c>
      <c r="N398" s="13" t="str">
        <f>VLOOKUP(I398,CHOOSE({1,2},Table12[Native],Table12[Name]),2,0)</f>
        <v>Yùnchéng Shì</v>
      </c>
      <c r="O398" s="13" t="str">
        <f t="shared" si="12"/>
        <v>Hengshui Zhen (Yùnchéng Shì)</v>
      </c>
      <c r="P398" s="13" t="str">
        <f t="shared" si="13"/>
        <v>Hengshui Zhen (Yùnchéng Shì)</v>
      </c>
    </row>
    <row r="399" spans="1:16" hidden="1" x14ac:dyDescent="0.25">
      <c r="A399" t="s">
        <v>1941</v>
      </c>
      <c r="B399" t="str">
        <f>IF(COUNTIF(A:A,A399)&gt;1,_xlfn.CONCAT(A399," (",N399,")"),A399)</f>
        <v>Hépíng Jiēdào</v>
      </c>
      <c r="C399" t="str">
        <f>IF(COUNTIF(B:B,B399)&gt;1,_xlfn.CONCAT(A399," (",M399,")"),B399)</f>
        <v>Hépíng Jiēdào</v>
      </c>
      <c r="D399" t="s">
        <v>1942</v>
      </c>
      <c r="E399" t="s">
        <v>31</v>
      </c>
      <c r="F399" t="str">
        <f>_xlfn.CONCAT(D399,", ",H399,", ",I399,", ","山西省")</f>
        <v>和平街道, 万柏林区, 太原市, 山西省</v>
      </c>
      <c r="G399">
        <v>86169</v>
      </c>
      <c r="H399" t="s">
        <v>2975</v>
      </c>
      <c r="I399" t="s">
        <v>2969</v>
      </c>
      <c r="J399">
        <f>VLOOKUP(F399,[1]!china_towns_second__2[[Column1]:[Y]],3,FALSE)</f>
        <v>37.8700193923518</v>
      </c>
      <c r="K399">
        <f>VLOOKUP(F399,[1]!china_towns_second__2[[Column1]:[Y]],2,FALSE)</f>
        <v>112.48468870000001</v>
      </c>
      <c r="L399" t="s">
        <v>3976</v>
      </c>
      <c r="M399" t="str">
        <f>VLOOKUP(H399,CHOOSE({1,2},Table12[Native],Table12[Name]),2,0)</f>
        <v>Wànbǎilín Qū</v>
      </c>
      <c r="N399" s="13" t="str">
        <f>VLOOKUP(I399,CHOOSE({1,2},Table12[Native],Table12[Name]),2,0)</f>
        <v>Tàiyuán Shì</v>
      </c>
      <c r="O399" s="13" t="str">
        <f t="shared" si="12"/>
        <v>Heping Jiedao (Tàiyuán Shì)</v>
      </c>
      <c r="P399" s="13" t="str">
        <f t="shared" si="13"/>
        <v>Heping Jiedao (Tàiyuán Shì)</v>
      </c>
    </row>
    <row r="400" spans="1:16" hidden="1" x14ac:dyDescent="0.25">
      <c r="A400" t="s">
        <v>1171</v>
      </c>
      <c r="B400" t="str">
        <f>IF(COUNTIF(A:A,A400)&gt;1,_xlfn.CONCAT(A400," (",N400,")"),A400)</f>
        <v>Hépíng Zhèn</v>
      </c>
      <c r="C400" t="str">
        <f>IF(COUNTIF(B:B,B400)&gt;1,_xlfn.CONCAT(A400," (",M400,")"),B400)</f>
        <v>Hépíng Zhèn</v>
      </c>
      <c r="D400" t="s">
        <v>1172</v>
      </c>
      <c r="E400" t="s">
        <v>7</v>
      </c>
      <c r="F400" t="str">
        <f>_xlfn.CONCAT(D400,", ",H400,", ",I400,", ","山西省")</f>
        <v>和平镇, 汾西县, 临汾市, 山西省</v>
      </c>
      <c r="G400">
        <v>13853</v>
      </c>
      <c r="H400" t="s">
        <v>2930</v>
      </c>
      <c r="I400" t="s">
        <v>2927</v>
      </c>
      <c r="J400">
        <f>VLOOKUP(F400,[1]!china_towns_second__2[[Column1]:[Y]],3,FALSE)</f>
        <v>36.520642455312</v>
      </c>
      <c r="K400">
        <f>VLOOKUP(F400,[1]!china_towns_second__2[[Column1]:[Y]],2,FALSE)</f>
        <v>111.54470379999999</v>
      </c>
      <c r="L400" t="s">
        <v>3977</v>
      </c>
      <c r="M400" t="str">
        <f>VLOOKUP(H400,CHOOSE({1,2},Table12[Native],Table12[Name]),2,0)</f>
        <v>Fénxī Xiàn</v>
      </c>
      <c r="N400" s="13" t="str">
        <f>VLOOKUP(I400,CHOOSE({1,2},Table12[Native],Table12[Name]),2,0)</f>
        <v>Línfén Shì</v>
      </c>
      <c r="O400" s="13" t="str">
        <f t="shared" si="12"/>
        <v>Heping Zhen (Línfén Shì)</v>
      </c>
      <c r="P400" s="13" t="str">
        <f t="shared" si="13"/>
        <v>Heping Zhen (Línfén Shì)</v>
      </c>
    </row>
    <row r="401" spans="1:16" hidden="1" x14ac:dyDescent="0.25">
      <c r="A401" t="s">
        <v>396</v>
      </c>
      <c r="B401" t="str">
        <f>IF(COUNTIF(A:A,A401)&gt;1,_xlfn.CONCAT(A401," (",N401,")"),A401)</f>
        <v>Héruì Jiēdào</v>
      </c>
      <c r="C401" t="str">
        <f>IF(COUNTIF(B:B,B401)&gt;1,_xlfn.CONCAT(A401," (",M401,")"),B401)</f>
        <v>Héruì Jiēdào</v>
      </c>
      <c r="D401" t="s">
        <v>397</v>
      </c>
      <c r="E401" t="s">
        <v>31</v>
      </c>
      <c r="F401" t="str">
        <f>_xlfn.CONCAT(D401,", ",H401,", ",I401,", ","山西省")</f>
        <v>和瑞街道, 云冈区, 大同市, 山西省</v>
      </c>
      <c r="G401">
        <v>52081</v>
      </c>
      <c r="H401" t="s">
        <v>2902</v>
      </c>
      <c r="I401" t="s">
        <v>2894</v>
      </c>
      <c r="J401" t="e">
        <f>VLOOKUP(F401,[1]!china_towns_second__2[[Column1]:[Y]],3,FALSE)</f>
        <v>#N/A</v>
      </c>
      <c r="K401" t="e">
        <f>VLOOKUP(F401,[1]!china_towns_second__2[[Column1]:[Y]],2,FALSE)</f>
        <v>#N/A</v>
      </c>
      <c r="L401" t="s">
        <v>3978</v>
      </c>
      <c r="M401" t="str">
        <f>VLOOKUP(H401,CHOOSE({1,2},Table12[Native],Table12[Name]),2,0)</f>
        <v>Yúngāng Qū</v>
      </c>
      <c r="N401" s="13" t="str">
        <f>VLOOKUP(I401,CHOOSE({1,2},Table12[Native],Table12[Name]),2,0)</f>
        <v>Dàtóng Shì</v>
      </c>
      <c r="O401" s="13" t="str">
        <f t="shared" si="12"/>
        <v>Herui Jiedao (Dàtóng Shì)</v>
      </c>
      <c r="P401" s="13" t="str">
        <f t="shared" si="13"/>
        <v>Herui Jiedao (Dàtóng Shì)</v>
      </c>
    </row>
    <row r="402" spans="1:16" hidden="1" x14ac:dyDescent="0.25">
      <c r="A402" t="s">
        <v>1774</v>
      </c>
      <c r="B402" t="str">
        <f>IF(COUNTIF(A:A,A402)&gt;1,_xlfn.CONCAT(A402," (",N402,")"),A402)</f>
        <v>Héshèngbăo Xiāng</v>
      </c>
      <c r="C402" t="str">
        <f>IF(COUNTIF(B:B,B402)&gt;1,_xlfn.CONCAT(A402," (",M402,")"),B402)</f>
        <v>Héshèngbăo Xiāng</v>
      </c>
      <c r="D402" t="s">
        <v>1775</v>
      </c>
      <c r="E402" t="s">
        <v>17</v>
      </c>
      <c r="F402" t="str">
        <f>_xlfn.CONCAT(D402,", ",H402,", ",I402,", ","山西省")</f>
        <v>合盛堡乡, 山阴县, 朔州市, 山西省</v>
      </c>
      <c r="G402">
        <v>8861</v>
      </c>
      <c r="H402" t="s">
        <v>2964</v>
      </c>
      <c r="I402" t="s">
        <v>2961</v>
      </c>
      <c r="J402" t="e">
        <f>VLOOKUP(F402,[1]!china_towns_second__2[[Column1]:[Y]],3,FALSE)</f>
        <v>#N/A</v>
      </c>
      <c r="K402" t="e">
        <f>VLOOKUP(F402,[1]!china_towns_second__2[[Column1]:[Y]],2,FALSE)</f>
        <v>#N/A</v>
      </c>
      <c r="L402" t="s">
        <v>3979</v>
      </c>
      <c r="M402" t="str">
        <f>VLOOKUP(H402,CHOOSE({1,2},Table12[Native],Table12[Name]),2,0)</f>
        <v>Shānyīn Xiàn</v>
      </c>
      <c r="N402" s="13" t="str">
        <f>VLOOKUP(I402,CHOOSE({1,2},Table12[Native],Table12[Name]),2,0)</f>
        <v>Shuòzhōu Shì</v>
      </c>
      <c r="O402" s="13" t="str">
        <f t="shared" si="12"/>
        <v>Heshengbao Xiang (Shuòzhōu Shì)</v>
      </c>
      <c r="P402" s="13" t="str">
        <f t="shared" si="13"/>
        <v>Heshengbao Xiang (Shuòzhōu Shì)</v>
      </c>
    </row>
    <row r="403" spans="1:16" hidden="1" x14ac:dyDescent="0.25">
      <c r="A403" t="s">
        <v>117</v>
      </c>
      <c r="B403" t="str">
        <f>IF(COUNTIF(A:A,A403)&gt;1,_xlfn.CONCAT(A403," (",N403,")"),A403)</f>
        <v>Héshénmiào Xiāng</v>
      </c>
      <c r="C403" t="str">
        <f>IF(COUNTIF(B:B,B403)&gt;1,_xlfn.CONCAT(A403," (",M403,")"),B403)</f>
        <v>Héshénmiào Xiāng</v>
      </c>
      <c r="D403" t="s">
        <v>118</v>
      </c>
      <c r="E403" t="s">
        <v>17</v>
      </c>
      <c r="F403" t="str">
        <f>_xlfn.CONCAT(D403,", ",H403,", ",I403,", ","山西省")</f>
        <v>河神庙乡, 屯留区, 长治市, 山西省</v>
      </c>
      <c r="G403">
        <v>16999</v>
      </c>
      <c r="H403" t="s">
        <v>2890</v>
      </c>
      <c r="I403" t="s">
        <v>2878</v>
      </c>
      <c r="J403" t="e">
        <f>VLOOKUP(F403,[1]!china_towns_second__2[[Column1]:[Y]],3,FALSE)</f>
        <v>#N/A</v>
      </c>
      <c r="K403" t="e">
        <f>VLOOKUP(F403,[1]!china_towns_second__2[[Column1]:[Y]],2,FALSE)</f>
        <v>#N/A</v>
      </c>
      <c r="L403" t="s">
        <v>3980</v>
      </c>
      <c r="M403" t="str">
        <f>VLOOKUP(H403,CHOOSE({1,2},Table12[Native],Table12[Name]),2,0)</f>
        <v>Túnliú Qū</v>
      </c>
      <c r="N403" s="13" t="str">
        <f>VLOOKUP(I403,CHOOSE({1,2},Table12[Native],Table12[Name]),2,0)</f>
        <v>Chángzhì Shì</v>
      </c>
      <c r="O403" s="13" t="str">
        <f t="shared" si="12"/>
        <v>Heshenmiao Xiang (Chángzhì Shì)</v>
      </c>
      <c r="P403" s="13" t="str">
        <f t="shared" si="13"/>
        <v>Heshenmiao Xiang (Chángzhì Shì)</v>
      </c>
    </row>
    <row r="404" spans="1:16" hidden="1" x14ac:dyDescent="0.25">
      <c r="A404" t="s">
        <v>119</v>
      </c>
      <c r="B404" t="str">
        <f>IF(COUNTIF(A:A,A404)&gt;1,_xlfn.CONCAT(A404," (",N404,")"),A404)</f>
        <v>Héshì Xiāng</v>
      </c>
      <c r="C404" t="str">
        <f>IF(COUNTIF(B:B,B404)&gt;1,_xlfn.CONCAT(A404," (",M404,")"),B404)</f>
        <v>Héshì Xiāng</v>
      </c>
      <c r="D404" t="s">
        <v>120</v>
      </c>
      <c r="E404" t="s">
        <v>17</v>
      </c>
      <c r="F404" t="str">
        <f>_xlfn.CONCAT(D404,", ",H404,", ",I404,", ","山西省")</f>
        <v>合室乡, 潞城区, 长治市, 山西省</v>
      </c>
      <c r="G404">
        <v>8275</v>
      </c>
      <c r="H404" t="s">
        <v>2884</v>
      </c>
      <c r="I404" t="s">
        <v>2878</v>
      </c>
      <c r="J404" t="e">
        <f>VLOOKUP(F404,[1]!china_towns_second__2[[Column1]:[Y]],3,FALSE)</f>
        <v>#N/A</v>
      </c>
      <c r="K404" t="e">
        <f>VLOOKUP(F404,[1]!china_towns_second__2[[Column1]:[Y]],2,FALSE)</f>
        <v>#N/A</v>
      </c>
      <c r="L404" t="s">
        <v>3981</v>
      </c>
      <c r="M404" t="str">
        <f>VLOOKUP(H404,CHOOSE({1,2},Table12[Native],Table12[Name]),2,0)</f>
        <v>Lùchéng Qū</v>
      </c>
      <c r="N404" s="13" t="str">
        <f>VLOOKUP(I404,CHOOSE({1,2},Table12[Native],Table12[Name]),2,0)</f>
        <v>Chángzhì Shì</v>
      </c>
      <c r="O404" s="13" t="str">
        <f t="shared" si="12"/>
        <v>Heshi Xiang (Chángzhì Shì)</v>
      </c>
      <c r="P404" s="13" t="str">
        <f t="shared" si="13"/>
        <v>Heshi Xiang (Chángzhì Shì)</v>
      </c>
    </row>
    <row r="405" spans="1:16" hidden="1" x14ac:dyDescent="0.25">
      <c r="A405" t="s">
        <v>398</v>
      </c>
      <c r="B405" t="str">
        <f>IF(COUNTIF(A:A,A405)&gt;1,_xlfn.CONCAT(A405," (",N405,")"),A405)</f>
        <v>Héshùn Jiēdào</v>
      </c>
      <c r="C405" t="str">
        <f>IF(COUNTIF(B:B,B405)&gt;1,_xlfn.CONCAT(A405," (",M405,")"),B405)</f>
        <v>Héshùn Jiēdào</v>
      </c>
      <c r="D405" t="s">
        <v>399</v>
      </c>
      <c r="E405" t="s">
        <v>31</v>
      </c>
      <c r="F405" t="str">
        <f>_xlfn.CONCAT(D405,", ",H405,", ",I405,", ","山西省")</f>
        <v>和顺街道, 云冈区, 大同市, 山西省</v>
      </c>
      <c r="G405">
        <v>44800</v>
      </c>
      <c r="H405" t="s">
        <v>2902</v>
      </c>
      <c r="I405" t="s">
        <v>2894</v>
      </c>
      <c r="J405" t="e">
        <f>VLOOKUP(F405,[1]!china_towns_second__2[[Column1]:[Y]],3,FALSE)</f>
        <v>#N/A</v>
      </c>
      <c r="K405" t="e">
        <f>VLOOKUP(F405,[1]!china_towns_second__2[[Column1]:[Y]],2,FALSE)</f>
        <v>#N/A</v>
      </c>
      <c r="L405" t="s">
        <v>3982</v>
      </c>
      <c r="M405" t="str">
        <f>VLOOKUP(H405,CHOOSE({1,2},Table12[Native],Table12[Name]),2,0)</f>
        <v>Yúngāng Qū</v>
      </c>
      <c r="N405" s="13" t="str">
        <f>VLOOKUP(I405,CHOOSE({1,2},Table12[Native],Table12[Name]),2,0)</f>
        <v>Dàtóng Shì</v>
      </c>
      <c r="O405" s="13" t="str">
        <f t="shared" si="12"/>
        <v>Heshun Jiedao (Dàtóng Shì)</v>
      </c>
      <c r="P405" s="13" t="str">
        <f t="shared" si="13"/>
        <v>Heshun Jiedao (Dàtóng Shì)</v>
      </c>
    </row>
    <row r="406" spans="1:16" hidden="1" x14ac:dyDescent="0.25">
      <c r="A406" t="s">
        <v>2222</v>
      </c>
      <c r="B406" t="str">
        <f>IF(COUNTIF(A:A,A406)&gt;1,_xlfn.CONCAT(A406," (",N406,")"),A406)</f>
        <v>Hésuŏ Xiāng</v>
      </c>
      <c r="C406" t="str">
        <f>IF(COUNTIF(B:B,B406)&gt;1,_xlfn.CONCAT(A406," (",M406,")"),B406)</f>
        <v>Hésuŏ Xiāng</v>
      </c>
      <c r="D406" t="s">
        <v>2223</v>
      </c>
      <c r="E406" t="s">
        <v>17</v>
      </c>
      <c r="F406" t="str">
        <f>_xlfn.CONCAT(D406,", ",H406,", ",I406,", ","山西省")</f>
        <v>合索乡, 忻府区, 忻州市, 山西省</v>
      </c>
      <c r="G406">
        <v>16363</v>
      </c>
      <c r="H406" t="s">
        <v>2994</v>
      </c>
      <c r="I406" t="s">
        <v>2981</v>
      </c>
      <c r="J406" t="e">
        <f>VLOOKUP(F406,[1]!china_towns_second__2[[Column1]:[Y]],3,FALSE)</f>
        <v>#N/A</v>
      </c>
      <c r="K406" t="e">
        <f>VLOOKUP(F406,[1]!china_towns_second__2[[Column1]:[Y]],2,FALSE)</f>
        <v>#N/A</v>
      </c>
      <c r="L406" t="s">
        <v>3983</v>
      </c>
      <c r="M406" t="str">
        <f>VLOOKUP(H406,CHOOSE({1,2},Table12[Native],Table12[Name]),2,0)</f>
        <v>Xīnfŭ Qū</v>
      </c>
      <c r="N406" s="13" t="str">
        <f>VLOOKUP(I406,CHOOSE({1,2},Table12[Native],Table12[Name]),2,0)</f>
        <v>Xīnzhōu Shì</v>
      </c>
      <c r="O406" s="13" t="str">
        <f t="shared" si="12"/>
        <v>Hesuo Xiang (Xīnzhōu Shì)</v>
      </c>
      <c r="P406" s="13" t="str">
        <f t="shared" si="13"/>
        <v>Hesuo Xiang (Xīnzhōu Shì)</v>
      </c>
    </row>
    <row r="407" spans="1:16" hidden="1" x14ac:dyDescent="0.25">
      <c r="A407" t="s">
        <v>1776</v>
      </c>
      <c r="B407" t="str">
        <f>IF(COUNTIF(A:A,A407)&gt;1,_xlfn.CONCAT(A407," (",N407,")"),A407)</f>
        <v>Hétóu Xiāng</v>
      </c>
      <c r="C407" t="str">
        <f>IF(COUNTIF(B:B,B407)&gt;1,_xlfn.CONCAT(A407," (",M407,")"),B407)</f>
        <v>Hétóu Xiāng</v>
      </c>
      <c r="D407" t="s">
        <v>1777</v>
      </c>
      <c r="E407" t="s">
        <v>17</v>
      </c>
      <c r="F407" t="str">
        <f>_xlfn.CONCAT(D407,", ",H407,", ",I407,", ","山西省")</f>
        <v>河头乡, 怀仁市, 朔州市, 山西省</v>
      </c>
      <c r="G407">
        <v>8682</v>
      </c>
      <c r="H407" t="s">
        <v>2962</v>
      </c>
      <c r="I407" t="s">
        <v>2961</v>
      </c>
      <c r="J407" t="e">
        <f>VLOOKUP(F407,[1]!china_towns_second__2[[Column1]:[Y]],3,FALSE)</f>
        <v>#N/A</v>
      </c>
      <c r="K407" t="e">
        <f>VLOOKUP(F407,[1]!china_towns_second__2[[Column1]:[Y]],2,FALSE)</f>
        <v>#N/A</v>
      </c>
      <c r="L407" t="s">
        <v>3984</v>
      </c>
      <c r="M407" t="str">
        <f>VLOOKUP(H407,CHOOSE({1,2},Table12[Native],Table12[Name]),2,0)</f>
        <v>Huáirén Shì</v>
      </c>
      <c r="N407" s="13" t="str">
        <f>VLOOKUP(I407,CHOOSE({1,2},Table12[Native],Table12[Name]),2,0)</f>
        <v>Shuòzhōu Shì</v>
      </c>
      <c r="O407" s="13" t="str">
        <f t="shared" si="12"/>
        <v>Hetou Xiang (Shuòzhōu Shì)</v>
      </c>
      <c r="P407" s="13" t="str">
        <f t="shared" si="13"/>
        <v>Hetou Xiang (Shuòzhōu Shì)</v>
      </c>
    </row>
    <row r="408" spans="1:16" hidden="1" x14ac:dyDescent="0.25">
      <c r="A408" t="s">
        <v>679</v>
      </c>
      <c r="B408" t="str">
        <f>IF(COUNTIF(A:A,A408)&gt;1,_xlfn.CONCAT(A408," (",N408,")"),A408)</f>
        <v>Héxī Zhèn</v>
      </c>
      <c r="C408" t="str">
        <f>IF(COUNTIF(B:B,B408)&gt;1,_xlfn.CONCAT(A408," (",M408,")"),B408)</f>
        <v>Héxī Zhèn</v>
      </c>
      <c r="D408" t="s">
        <v>680</v>
      </c>
      <c r="E408" t="s">
        <v>7</v>
      </c>
      <c r="F408" t="str">
        <f>_xlfn.CONCAT(D408,", ",H408,", ",I408,", ","山西省")</f>
        <v>河西镇, 高平市, 晋城市, 山西省</v>
      </c>
      <c r="G408">
        <v>43539</v>
      </c>
      <c r="H408" t="s">
        <v>2908</v>
      </c>
      <c r="I408" t="s">
        <v>2906</v>
      </c>
      <c r="J408">
        <f>VLOOKUP(F408,[1]!china_towns_second__2[[Column1]:[Y]],3,FALSE)</f>
        <v>35.704503566364998</v>
      </c>
      <c r="K408">
        <f>VLOOKUP(F408,[1]!china_towns_second__2[[Column1]:[Y]],2,FALSE)</f>
        <v>112.9424167</v>
      </c>
      <c r="L408" t="s">
        <v>3985</v>
      </c>
      <c r="M408" t="str">
        <f>VLOOKUP(H408,CHOOSE({1,2},Table12[Native],Table12[Name]),2,0)</f>
        <v>Gāopíng Shì</v>
      </c>
      <c r="N408" s="13" t="str">
        <f>VLOOKUP(I408,CHOOSE({1,2},Table12[Native],Table12[Name]),2,0)</f>
        <v>Jìnchéng Shì</v>
      </c>
      <c r="O408" s="13" t="str">
        <f t="shared" si="12"/>
        <v>Hexi Zhen (Jìnchéng Shì)</v>
      </c>
      <c r="P408" s="13" t="str">
        <f t="shared" si="13"/>
        <v>Hexi Zhen (Jìnchéng Shì)</v>
      </c>
    </row>
    <row r="409" spans="1:16" hidden="1" x14ac:dyDescent="0.25">
      <c r="A409" t="s">
        <v>862</v>
      </c>
      <c r="B409" t="str">
        <f>IF(COUNTIF(A:A,A409)&gt;1,_xlfn.CONCAT(A409," (",N409,")"),A409)</f>
        <v>Héyù Xiāng</v>
      </c>
      <c r="C409" t="str">
        <f>IF(COUNTIF(B:B,B409)&gt;1,_xlfn.CONCAT(A409," (",M409,")"),B409)</f>
        <v>Héyù Xiāng</v>
      </c>
      <c r="D409" t="s">
        <v>863</v>
      </c>
      <c r="E409" t="s">
        <v>17</v>
      </c>
      <c r="F409" t="str">
        <f>_xlfn.CONCAT(D409,", ",H409,", ",I409,", ","山西省")</f>
        <v>河峪乡, 榆社县, 晋中市, 山西省</v>
      </c>
      <c r="G409">
        <v>11141</v>
      </c>
      <c r="H409" t="s">
        <v>2924</v>
      </c>
      <c r="I409" t="s">
        <v>2914</v>
      </c>
      <c r="J409" t="e">
        <f>VLOOKUP(F409,[1]!china_towns_second__2[[Column1]:[Y]],3,FALSE)</f>
        <v>#N/A</v>
      </c>
      <c r="K409" t="e">
        <f>VLOOKUP(F409,[1]!china_towns_second__2[[Column1]:[Y]],2,FALSE)</f>
        <v>#N/A</v>
      </c>
      <c r="L409" t="s">
        <v>3986</v>
      </c>
      <c r="M409" t="str">
        <f>VLOOKUP(H409,CHOOSE({1,2},Table12[Native],Table12[Name]),2,0)</f>
        <v>Yúshè Xiàn</v>
      </c>
      <c r="N409" s="13" t="str">
        <f>VLOOKUP(I409,CHOOSE({1,2},Table12[Native],Table12[Name]),2,0)</f>
        <v>Jìnzhōng Shì</v>
      </c>
      <c r="O409" s="13" t="str">
        <f t="shared" si="12"/>
        <v>Heyu Xiang (Jìnzhōng Shì)</v>
      </c>
      <c r="P409" s="13" t="str">
        <f t="shared" si="13"/>
        <v>Heyu Xiang (Jìnzhōng Shì)</v>
      </c>
    </row>
    <row r="410" spans="1:16" hidden="1" x14ac:dyDescent="0.25">
      <c r="A410" t="s">
        <v>2224</v>
      </c>
      <c r="B410" t="str">
        <f>IF(COUNTIF(A:A,A410)&gt;1,_xlfn.CONCAT(A410," (",N410,")"),A410)</f>
        <v>Hèzhí Xiāng</v>
      </c>
      <c r="C410" t="str">
        <f>IF(COUNTIF(B:B,B410)&gt;1,_xlfn.CONCAT(A410," (",M410,")"),B410)</f>
        <v>Hèzhí Xiāng</v>
      </c>
      <c r="D410" t="s">
        <v>2225</v>
      </c>
      <c r="E410" t="s">
        <v>17</v>
      </c>
      <c r="F410" t="str">
        <f>_xlfn.CONCAT(D410,", ",H410,", ",I410,", ","山西省")</f>
        <v>贺职乡, 神池县, 忻州市, 山西省</v>
      </c>
      <c r="G410">
        <v>7992</v>
      </c>
      <c r="H410" t="s">
        <v>2991</v>
      </c>
      <c r="I410" t="s">
        <v>2981</v>
      </c>
      <c r="J410" t="e">
        <f>VLOOKUP(F410,[1]!china_towns_second__2[[Column1]:[Y]],3,FALSE)</f>
        <v>#N/A</v>
      </c>
      <c r="K410" t="e">
        <f>VLOOKUP(F410,[1]!china_towns_second__2[[Column1]:[Y]],2,FALSE)</f>
        <v>#N/A</v>
      </c>
      <c r="L410" t="s">
        <v>3987</v>
      </c>
      <c r="M410" t="str">
        <f>VLOOKUP(H410,CHOOSE({1,2},Table12[Native],Table12[Name]),2,0)</f>
        <v>Shénchí Xiàn</v>
      </c>
      <c r="N410" s="13" t="str">
        <f>VLOOKUP(I410,CHOOSE({1,2},Table12[Native],Table12[Name]),2,0)</f>
        <v>Xīnzhōu Shì</v>
      </c>
      <c r="O410" s="13" t="str">
        <f t="shared" si="12"/>
        <v>Hezhi Xiang (Xīnzhōu Shì)</v>
      </c>
      <c r="P410" s="13" t="str">
        <f t="shared" si="13"/>
        <v>Hezhi Xiang (Xīnzhōu Shì)</v>
      </c>
    </row>
    <row r="411" spans="1:16" hidden="1" x14ac:dyDescent="0.25">
      <c r="A411" t="s">
        <v>2670</v>
      </c>
      <c r="B411" t="str">
        <f>IF(COUNTIF(A:A,A411)&gt;1,_xlfn.CONCAT(A411," (",N411,")"),A411)</f>
        <v>Hóngchí Xiāng</v>
      </c>
      <c r="C411" t="str">
        <f>IF(COUNTIF(B:B,B411)&gt;1,_xlfn.CONCAT(A411," (",M411,")"),B411)</f>
        <v>Hóngchí Xiāng</v>
      </c>
      <c r="D411" t="s">
        <v>2671</v>
      </c>
      <c r="E411" t="s">
        <v>17</v>
      </c>
      <c r="F411" t="str">
        <f>_xlfn.CONCAT(D411,", ",H411,", ",I411,", ","山西省")</f>
        <v>洪池乡, 平陆县, 运城市, 山西省</v>
      </c>
      <c r="G411">
        <v>15407</v>
      </c>
      <c r="H411" t="s">
        <v>3008</v>
      </c>
      <c r="I411" t="s">
        <v>3003</v>
      </c>
      <c r="J411" t="e">
        <f>VLOOKUP(F411,[1]!china_towns_second__2[[Column1]:[Y]],3,FALSE)</f>
        <v>#N/A</v>
      </c>
      <c r="K411" t="e">
        <f>VLOOKUP(F411,[1]!china_towns_second__2[[Column1]:[Y]],2,FALSE)</f>
        <v>#N/A</v>
      </c>
      <c r="L411" t="s">
        <v>3988</v>
      </c>
      <c r="M411" t="str">
        <f>VLOOKUP(H411,CHOOSE({1,2},Table12[Native],Table12[Name]),2,0)</f>
        <v>Pínglù Xiàn</v>
      </c>
      <c r="N411" s="13" t="str">
        <f>VLOOKUP(I411,CHOOSE({1,2},Table12[Native],Table12[Name]),2,0)</f>
        <v>Yùnchéng Shì</v>
      </c>
      <c r="O411" s="13" t="str">
        <f t="shared" si="12"/>
        <v>Hongchi Xiang (Yùnchéng Shì)</v>
      </c>
      <c r="P411" s="13" t="str">
        <f t="shared" si="13"/>
        <v>Hongchi Xiang (Yùnchéng Shì)</v>
      </c>
    </row>
    <row r="412" spans="1:16" hidden="1" x14ac:dyDescent="0.25">
      <c r="A412" t="s">
        <v>1173</v>
      </c>
      <c r="B412" t="str">
        <f>IF(COUNTIF(A:A,A412)&gt;1,_xlfn.CONCAT(A412," (",N412,")"),A412)</f>
        <v>Hóngdào Xiāng</v>
      </c>
      <c r="C412" t="str">
        <f>IF(COUNTIF(B:B,B412)&gt;1,_xlfn.CONCAT(A412," (",M412,")"),B412)</f>
        <v>Hóngdào Xiāng</v>
      </c>
      <c r="D412" t="s">
        <v>1174</v>
      </c>
      <c r="E412" t="s">
        <v>17</v>
      </c>
      <c r="F412" t="str">
        <f>_xlfn.CONCAT(D412,", ",H412,", ",I412,", ","山西省")</f>
        <v>红道乡, 蒲县, 临汾市, 山西省</v>
      </c>
      <c r="G412">
        <v>2616</v>
      </c>
      <c r="H412" t="s">
        <v>2937</v>
      </c>
      <c r="I412" t="s">
        <v>2927</v>
      </c>
      <c r="J412" t="e">
        <f>VLOOKUP(F412,[1]!china_towns_second__2[[Column1]:[Y]],3,FALSE)</f>
        <v>#N/A</v>
      </c>
      <c r="K412" t="e">
        <f>VLOOKUP(F412,[1]!china_towns_second__2[[Column1]:[Y]],2,FALSE)</f>
        <v>#N/A</v>
      </c>
      <c r="L412" t="s">
        <v>3989</v>
      </c>
      <c r="M412" t="str">
        <f>VLOOKUP(H412,CHOOSE({1,2},Table12[Native],Table12[Name]),2,0)</f>
        <v>Pú Xiàn</v>
      </c>
      <c r="N412" s="13" t="str">
        <f>VLOOKUP(I412,CHOOSE({1,2},Table12[Native],Table12[Name]),2,0)</f>
        <v>Línfén Shì</v>
      </c>
      <c r="O412" s="13" t="str">
        <f t="shared" si="12"/>
        <v>Hongdao Xiang (Línfén Shì)</v>
      </c>
      <c r="P412" s="13" t="str">
        <f t="shared" si="13"/>
        <v>Hongdao Xiang (Línfén Shì)</v>
      </c>
    </row>
    <row r="413" spans="1:16" hidden="1" x14ac:dyDescent="0.25">
      <c r="A413" t="s">
        <v>2226</v>
      </c>
      <c r="B413" t="str">
        <f>IF(COUNTIF(A:A,A413)&gt;1,_xlfn.CONCAT(A413," (",N413,")"),A413)</f>
        <v>Hóngdào Zhèn</v>
      </c>
      <c r="C413" t="str">
        <f>IF(COUNTIF(B:B,B413)&gt;1,_xlfn.CONCAT(A413," (",M413,")"),B413)</f>
        <v>Hóngdào Zhèn</v>
      </c>
      <c r="D413" t="s">
        <v>2227</v>
      </c>
      <c r="E413" t="s">
        <v>7</v>
      </c>
      <c r="F413" t="str">
        <f>_xlfn.CONCAT(D413,", ",H413,", ",I413,", ","山西省")</f>
        <v>宏道镇, 定襄县, 忻州市, 山西省</v>
      </c>
      <c r="G413">
        <v>26760</v>
      </c>
      <c r="H413" t="s">
        <v>2984</v>
      </c>
      <c r="I413" t="s">
        <v>2981</v>
      </c>
      <c r="J413">
        <f>VLOOKUP(F413,[1]!china_towns_second__2[[Column1]:[Y]],3,FALSE)</f>
        <v>38.612863397421201</v>
      </c>
      <c r="K413">
        <f>VLOOKUP(F413,[1]!china_towns_second__2[[Column1]:[Y]],2,FALSE)</f>
        <v>113.0353956</v>
      </c>
      <c r="L413" t="s">
        <v>3990</v>
      </c>
      <c r="M413" t="str">
        <f>VLOOKUP(H413,CHOOSE({1,2},Table12[Native],Table12[Name]),2,0)</f>
        <v>Dìngxiāng Xiàn</v>
      </c>
      <c r="N413" s="13" t="str">
        <f>VLOOKUP(I413,CHOOSE({1,2},Table12[Native],Table12[Name]),2,0)</f>
        <v>Xīnzhōu Shì</v>
      </c>
      <c r="O413" s="13" t="str">
        <f t="shared" si="12"/>
        <v>Hongdao Zhen (Xīnzhōu Shì)</v>
      </c>
      <c r="P413" s="13" t="str">
        <f t="shared" si="13"/>
        <v>Hongdao Zhen (Xīnzhōu Shì)</v>
      </c>
    </row>
    <row r="414" spans="1:16" hidden="1" x14ac:dyDescent="0.25">
      <c r="A414" t="s">
        <v>121</v>
      </c>
      <c r="B414" t="str">
        <f>IF(COUNTIF(A:A,A414)&gt;1,_xlfn.CONCAT(A414," (",N414,")"),A414)</f>
        <v>Hóngjĭng Xiāng</v>
      </c>
      <c r="C414" t="str">
        <f>IF(COUNTIF(B:B,B414)&gt;1,_xlfn.CONCAT(A414," (",M414,")"),B414)</f>
        <v>Hóngjĭng Xiāng</v>
      </c>
      <c r="D414" t="s">
        <v>122</v>
      </c>
      <c r="E414" t="s">
        <v>17</v>
      </c>
      <c r="F414" t="str">
        <f>_xlfn.CONCAT(D414,", ",H414,", ",I414,", ","山西省")</f>
        <v>洪井乡, 黎城县, 长治市, 山西省</v>
      </c>
      <c r="G414">
        <v>8340</v>
      </c>
      <c r="H414" t="s">
        <v>2882</v>
      </c>
      <c r="I414" t="s">
        <v>2878</v>
      </c>
      <c r="J414" t="e">
        <f>VLOOKUP(F414,[1]!china_towns_second__2[[Column1]:[Y]],3,FALSE)</f>
        <v>#N/A</v>
      </c>
      <c r="K414" t="e">
        <f>VLOOKUP(F414,[1]!china_towns_second__2[[Column1]:[Y]],2,FALSE)</f>
        <v>#N/A</v>
      </c>
      <c r="L414" t="s">
        <v>3991</v>
      </c>
      <c r="M414" t="str">
        <f>VLOOKUP(H414,CHOOSE({1,2},Table12[Native],Table12[Name]),2,0)</f>
        <v>Líchéng Xiàn</v>
      </c>
      <c r="N414" s="13" t="str">
        <f>VLOOKUP(I414,CHOOSE({1,2},Table12[Native],Table12[Name]),2,0)</f>
        <v>Chángzhì Shì</v>
      </c>
      <c r="O414" s="13" t="str">
        <f t="shared" si="12"/>
        <v>Hongjing Xiang (Chángzhì Shì)</v>
      </c>
      <c r="P414" s="13" t="str">
        <f t="shared" si="13"/>
        <v>Hongjing Xiang (Chángzhì Shì)</v>
      </c>
    </row>
    <row r="415" spans="1:16" x14ac:dyDescent="0.25">
      <c r="A415" t="s">
        <v>864</v>
      </c>
      <c r="B415" t="str">
        <f>IF(COUNTIF(A:A,A415)&gt;1,_xlfn.CONCAT(A415," (",N415,")"),A415)</f>
        <v>Hóngshàn Zhèn</v>
      </c>
      <c r="C415" t="str">
        <f>IF(COUNTIF(B:B,B415)&gt;1,_xlfn.CONCAT(A415," (",M415,")"),B415)</f>
        <v>Hóngshàn Zhèn</v>
      </c>
      <c r="D415" t="s">
        <v>865</v>
      </c>
      <c r="E415" t="s">
        <v>7</v>
      </c>
      <c r="F415" t="str">
        <f>_xlfn.CONCAT(D415,", ",H415,", ",I415,", ","山西省")</f>
        <v>洪善镇, 平遥县, 晋中市, 山西省</v>
      </c>
      <c r="G415">
        <v>35318</v>
      </c>
      <c r="H415" t="s">
        <v>2918</v>
      </c>
      <c r="I415" t="s">
        <v>2914</v>
      </c>
      <c r="J415">
        <f>VLOOKUP(F415,[1]!china_towns_second__2[[Column1]:[Y]],3,FALSE)</f>
        <v>37.277927774544999</v>
      </c>
      <c r="K415">
        <f>VLOOKUP(F415,[1]!china_towns_second__2[[Column1]:[Y]],2,FALSE)</f>
        <v>112.23344229999999</v>
      </c>
      <c r="L415" t="s">
        <v>3992</v>
      </c>
      <c r="M415" t="str">
        <f>VLOOKUP(H415,CHOOSE({1,2},Table12[Native],Table12[Name]),2,0)</f>
        <v>Píngyáo Xiàn</v>
      </c>
      <c r="N415" s="13" t="str">
        <f>VLOOKUP(I415,CHOOSE({1,2},Table12[Native],Table12[Name]),2,0)</f>
        <v>Jìnzhōng Shì</v>
      </c>
      <c r="O415" s="13" t="str">
        <f t="shared" si="12"/>
        <v>Hongshan Zhen (Jìnzhōng Shì)</v>
      </c>
      <c r="P415" s="13" t="str">
        <f t="shared" si="13"/>
        <v>Hongshan Zhen (Píngyáo Xiàn)</v>
      </c>
    </row>
    <row r="416" spans="1:16" x14ac:dyDescent="0.25">
      <c r="A416" t="s">
        <v>866</v>
      </c>
      <c r="B416" t="str">
        <f>IF(COUNTIF(A:A,A416)&gt;1,_xlfn.CONCAT(A416," (",N416,")"),A416)</f>
        <v>Hóngshān Zhèn</v>
      </c>
      <c r="C416" t="str">
        <f>IF(COUNTIF(B:B,B416)&gt;1,_xlfn.CONCAT(A416," (",M416,")"),B416)</f>
        <v>Hóngshān Zhèn</v>
      </c>
      <c r="D416" t="s">
        <v>867</v>
      </c>
      <c r="E416" t="s">
        <v>7</v>
      </c>
      <c r="F416" t="str">
        <f>_xlfn.CONCAT(D416,", ",H416,", ",I416,", ","山西省")</f>
        <v>洪山镇, 介休市, 晋中市, 山西省</v>
      </c>
      <c r="G416">
        <v>11335</v>
      </c>
      <c r="H416" t="s">
        <v>2916</v>
      </c>
      <c r="I416" t="s">
        <v>2914</v>
      </c>
      <c r="J416">
        <f>VLOOKUP(F416,[1]!china_towns_second__2[[Column1]:[Y]],3,FALSE)</f>
        <v>37.029959486501603</v>
      </c>
      <c r="K416">
        <f>VLOOKUP(F416,[1]!china_towns_second__2[[Column1]:[Y]],2,FALSE)</f>
        <v>112.02316519999999</v>
      </c>
      <c r="L416" t="s">
        <v>3992</v>
      </c>
      <c r="M416" t="str">
        <f>VLOOKUP(H416,CHOOSE({1,2},Table12[Native],Table12[Name]),2,0)</f>
        <v>Jièxiū Shì</v>
      </c>
      <c r="N416" s="13" t="str">
        <f>VLOOKUP(I416,CHOOSE({1,2},Table12[Native],Table12[Name]),2,0)</f>
        <v>Jìnzhōng Shì</v>
      </c>
      <c r="O416" s="13" t="str">
        <f t="shared" si="12"/>
        <v>Hongshan Zhen (Jìnzhōng Shì)</v>
      </c>
      <c r="P416" s="13" t="str">
        <f t="shared" si="13"/>
        <v>Hongshan Zhen (Jièxiū Shì)</v>
      </c>
    </row>
    <row r="417" spans="1:16" hidden="1" x14ac:dyDescent="0.25">
      <c r="A417" t="s">
        <v>400</v>
      </c>
      <c r="B417" t="str">
        <f>IF(COUNTIF(A:A,A417)&gt;1,_xlfn.CONCAT(A417," (",N417,")"),A417)</f>
        <v>Hóngshíléng Xiāng</v>
      </c>
      <c r="C417" t="str">
        <f>IF(COUNTIF(B:B,B417)&gt;1,_xlfn.CONCAT(A417," (",M417,")"),B417)</f>
        <v>Hóngshíléng Xiāng</v>
      </c>
      <c r="D417" t="s">
        <v>401</v>
      </c>
      <c r="E417" t="s">
        <v>17</v>
      </c>
      <c r="F417" t="str">
        <f>_xlfn.CONCAT(D417,", ",H417,", ",I417,", ","山西省")</f>
        <v>红石塄乡, 灵丘县, 大同市, 山西省</v>
      </c>
      <c r="G417">
        <v>3286</v>
      </c>
      <c r="H417" t="s">
        <v>2897</v>
      </c>
      <c r="I417" t="s">
        <v>2894</v>
      </c>
      <c r="J417" t="e">
        <f>VLOOKUP(F417,[1]!china_towns_second__2[[Column1]:[Y]],3,FALSE)</f>
        <v>#N/A</v>
      </c>
      <c r="K417" t="e">
        <f>VLOOKUP(F417,[1]!china_towns_second__2[[Column1]:[Y]],2,FALSE)</f>
        <v>#N/A</v>
      </c>
      <c r="L417" t="s">
        <v>3993</v>
      </c>
      <c r="M417" t="str">
        <f>VLOOKUP(H417,CHOOSE({1,2},Table12[Native],Table12[Name]),2,0)</f>
        <v>Língqiū Xiàn</v>
      </c>
      <c r="N417" s="13" t="str">
        <f>VLOOKUP(I417,CHOOSE({1,2},Table12[Native],Table12[Name]),2,0)</f>
        <v>Dàtóng Shì</v>
      </c>
      <c r="O417" s="13" t="str">
        <f t="shared" si="12"/>
        <v>Hongshileng Xiang (Dàtóng Shì)</v>
      </c>
      <c r="P417" s="13" t="str">
        <f t="shared" si="13"/>
        <v>Hongshileng Xiang (Dàtóng Shì)</v>
      </c>
    </row>
    <row r="418" spans="1:16" hidden="1" x14ac:dyDescent="0.25">
      <c r="A418" t="s">
        <v>123</v>
      </c>
      <c r="B418" t="str">
        <f>IF(COUNTIF(A:A,A418)&gt;1,_xlfn.CONCAT(A418," (",N418,")"),A418)</f>
        <v>Hóngshuĭ Zhèn</v>
      </c>
      <c r="C418" t="str">
        <f>IF(COUNTIF(B:B,B418)&gt;1,_xlfn.CONCAT(A418," (",M418,")"),B418)</f>
        <v>Hóngshuĭ Zhèn</v>
      </c>
      <c r="D418" t="s">
        <v>124</v>
      </c>
      <c r="E418" t="s">
        <v>7</v>
      </c>
      <c r="F418" t="str">
        <f>_xlfn.CONCAT(D418,", ",H418,", ",I418,", ","山西省")</f>
        <v>洪水镇, 武乡县, 长治市, 山西省</v>
      </c>
      <c r="G418">
        <v>22508</v>
      </c>
      <c r="H418" t="s">
        <v>2891</v>
      </c>
      <c r="I418" t="s">
        <v>2878</v>
      </c>
      <c r="J418">
        <f>VLOOKUP(F418,[1]!china_towns_second__2[[Column1]:[Y]],3,FALSE)</f>
        <v>36.868050940914301</v>
      </c>
      <c r="K418">
        <f>VLOOKUP(F418,[1]!china_towns_second__2[[Column1]:[Y]],2,FALSE)</f>
        <v>113.2527825</v>
      </c>
      <c r="L418" t="s">
        <v>3994</v>
      </c>
      <c r="M418" t="str">
        <f>VLOOKUP(H418,CHOOSE({1,2},Table12[Native],Table12[Name]),2,0)</f>
        <v>Wŭxiāng Xiàn</v>
      </c>
      <c r="N418" s="13" t="str">
        <f>VLOOKUP(I418,CHOOSE({1,2},Table12[Native],Table12[Name]),2,0)</f>
        <v>Chángzhì Shì</v>
      </c>
      <c r="O418" s="13" t="str">
        <f t="shared" si="12"/>
        <v>Hongshui Zhen (Chángzhì Shì)</v>
      </c>
      <c r="P418" s="13" t="str">
        <f t="shared" si="13"/>
        <v>Hongshui Zhen (Chángzhì Shì)</v>
      </c>
    </row>
    <row r="419" spans="1:16" hidden="1" x14ac:dyDescent="0.25">
      <c r="A419" t="s">
        <v>125</v>
      </c>
      <c r="B419" t="str">
        <f>IF(COUNTIF(A:A,A419)&gt;1,_xlfn.CONCAT(A419," (",N419,")"),A419)</f>
        <v>Hóngtīguān Xiāng</v>
      </c>
      <c r="C419" t="str">
        <f>IF(COUNTIF(B:B,B419)&gt;1,_xlfn.CONCAT(A419," (",M419,")"),B419)</f>
        <v>Hóngtīguān Xiāng</v>
      </c>
      <c r="D419" t="s">
        <v>126</v>
      </c>
      <c r="E419" t="s">
        <v>17</v>
      </c>
      <c r="F419" t="str">
        <f>_xlfn.CONCAT(D419,", ",H419,", ",I419,", ","山西省")</f>
        <v>虹梯关乡, 平顺县, 长治市, 山西省</v>
      </c>
      <c r="G419">
        <v>7780</v>
      </c>
      <c r="H419" t="s">
        <v>2886</v>
      </c>
      <c r="I419" t="s">
        <v>2878</v>
      </c>
      <c r="J419" t="e">
        <f>VLOOKUP(F419,[1]!china_towns_second__2[[Column1]:[Y]],3,FALSE)</f>
        <v>#N/A</v>
      </c>
      <c r="K419" t="e">
        <f>VLOOKUP(F419,[1]!china_towns_second__2[[Column1]:[Y]],2,FALSE)</f>
        <v>#N/A</v>
      </c>
      <c r="L419" t="s">
        <v>3995</v>
      </c>
      <c r="M419" t="str">
        <f>VLOOKUP(H419,CHOOSE({1,2},Table12[Native],Table12[Name]),2,0)</f>
        <v>Píngshùn Xiàn</v>
      </c>
      <c r="N419" s="13" t="str">
        <f>VLOOKUP(I419,CHOOSE({1,2},Table12[Native],Table12[Name]),2,0)</f>
        <v>Chángzhì Shì</v>
      </c>
      <c r="O419" s="13" t="str">
        <f t="shared" si="12"/>
        <v>Hongtiguan Xiang (Chángzhì Shì)</v>
      </c>
      <c r="P419" s="13" t="str">
        <f t="shared" si="13"/>
        <v>Hongtiguan Xiang (Chángzhì Shì)</v>
      </c>
    </row>
    <row r="420" spans="1:16" hidden="1" x14ac:dyDescent="0.25">
      <c r="A420" t="s">
        <v>1494</v>
      </c>
      <c r="B420" t="str">
        <f>IF(COUNTIF(A:A,A420)&gt;1,_xlfn.CONCAT(A420," (",N420,")"),A420)</f>
        <v>Hóngxiāng Xiāng</v>
      </c>
      <c r="C420" t="str">
        <f>IF(COUNTIF(B:B,B420)&gt;1,_xlfn.CONCAT(A420," (",M420,")"),B420)</f>
        <v>Hóngxiāng Xiāng</v>
      </c>
      <c r="D420" t="s">
        <v>1495</v>
      </c>
      <c r="E420" t="s">
        <v>17</v>
      </c>
      <c r="F420" t="str">
        <f>_xlfn.CONCAT(D420,", ",H420,", ",I420,", ","山西省")</f>
        <v>洪相乡, 交城县, 吕梁市, 山西省</v>
      </c>
      <c r="G420">
        <v>21198</v>
      </c>
      <c r="H420" t="s">
        <v>2949</v>
      </c>
      <c r="I420" t="s">
        <v>2946</v>
      </c>
      <c r="J420" t="e">
        <f>VLOOKUP(F420,[1]!china_towns_second__2[[Column1]:[Y]],3,FALSE)</f>
        <v>#N/A</v>
      </c>
      <c r="K420" t="e">
        <f>VLOOKUP(F420,[1]!china_towns_second__2[[Column1]:[Y]],2,FALSE)</f>
        <v>#N/A</v>
      </c>
      <c r="L420" t="s">
        <v>3996</v>
      </c>
      <c r="M420" t="str">
        <f>VLOOKUP(H420,CHOOSE({1,2},Table12[Native],Table12[Name]),2,0)</f>
        <v>Jiāochéng Xiàn</v>
      </c>
      <c r="N420" s="13" t="str">
        <f>VLOOKUP(I420,CHOOSE({1,2},Table12[Native],Table12[Name]),2,0)</f>
        <v>Lǚliáng Shì</v>
      </c>
      <c r="O420" s="13" t="str">
        <f t="shared" si="12"/>
        <v>Hongxiang Xiang (Lǚliáng Shì)</v>
      </c>
      <c r="P420" s="13" t="str">
        <f t="shared" si="13"/>
        <v>Hongxiang Xiang (Lǚliáng Shì)</v>
      </c>
    </row>
    <row r="421" spans="1:16" hidden="1" x14ac:dyDescent="0.25">
      <c r="A421" t="s">
        <v>1496</v>
      </c>
      <c r="B421" t="str">
        <f>IF(COUNTIF(A:A,A421)&gt;1,_xlfn.CONCAT(A421," (",N421,")"),A421)</f>
        <v>Hóngyănchuān Xiāng</v>
      </c>
      <c r="C421" t="str">
        <f>IF(COUNTIF(B:B,B421)&gt;1,_xlfn.CONCAT(A421," (",M421,")"),B421)</f>
        <v>Hóngyănchuān Xiāng</v>
      </c>
      <c r="D421" t="s">
        <v>1497</v>
      </c>
      <c r="E421" t="s">
        <v>17</v>
      </c>
      <c r="F421" t="str">
        <f>_xlfn.CONCAT(D421,", ",H421,", ",I421,", ","山西省")</f>
        <v>红眼川乡, 离石区, 吕梁市, 山西省</v>
      </c>
      <c r="G421">
        <v>1745</v>
      </c>
      <c r="H421" t="s">
        <v>2953</v>
      </c>
      <c r="I421" t="s">
        <v>2946</v>
      </c>
      <c r="J421" t="e">
        <f>VLOOKUP(F421,[1]!china_towns_second__2[[Column1]:[Y]],3,FALSE)</f>
        <v>#N/A</v>
      </c>
      <c r="K421" t="e">
        <f>VLOOKUP(F421,[1]!china_towns_second__2[[Column1]:[Y]],2,FALSE)</f>
        <v>#N/A</v>
      </c>
      <c r="L421" t="s">
        <v>3997</v>
      </c>
      <c r="M421" t="str">
        <f>VLOOKUP(H421,CHOOSE({1,2},Table12[Native],Table12[Name]),2,0)</f>
        <v>Líshí Qū</v>
      </c>
      <c r="N421" s="13" t="str">
        <f>VLOOKUP(I421,CHOOSE({1,2},Table12[Native],Table12[Name]),2,0)</f>
        <v>Lǚliáng Shì</v>
      </c>
      <c r="O421" s="13" t="str">
        <f t="shared" si="12"/>
        <v>Hongyanchuan Xiang (Lǚliáng Shì)</v>
      </c>
      <c r="P421" s="13" t="str">
        <f t="shared" si="13"/>
        <v>Hongyanchuan Xiang (Lǚliáng Shì)</v>
      </c>
    </row>
    <row r="422" spans="1:16" hidden="1" x14ac:dyDescent="0.25">
      <c r="A422" t="s">
        <v>2672</v>
      </c>
      <c r="B422" t="str">
        <f>IF(COUNTIF(A:A,A422)&gt;1,_xlfn.CONCAT(A422," (",N422,")"),A422)</f>
        <v>Hóngzhīyì Zhèn</v>
      </c>
      <c r="C422" t="str">
        <f>IF(COUNTIF(B:B,B422)&gt;1,_xlfn.CONCAT(A422," (",M422,")"),B422)</f>
        <v>Hóngzhīyì Zhèn</v>
      </c>
      <c r="D422" t="s">
        <v>2673</v>
      </c>
      <c r="E422" t="s">
        <v>7</v>
      </c>
      <c r="F422" t="str">
        <f>_xlfn.CONCAT(D422,", ",H422,", ",I422,", ","山西省")</f>
        <v>泓芝驿镇, 盐湖区, 运城市, 山西省</v>
      </c>
      <c r="G422">
        <v>17956</v>
      </c>
      <c r="H422" t="s">
        <v>3014</v>
      </c>
      <c r="I422" t="s">
        <v>3003</v>
      </c>
      <c r="J422">
        <f>VLOOKUP(F422,[1]!china_towns_second__2[[Column1]:[Y]],3,FALSE)</f>
        <v>35.179748381393303</v>
      </c>
      <c r="K422">
        <f>VLOOKUP(F422,[1]!china_towns_second__2[[Column1]:[Y]],2,FALSE)</f>
        <v>110.8868975</v>
      </c>
      <c r="L422" t="s">
        <v>3998</v>
      </c>
      <c r="M422" t="str">
        <f>VLOOKUP(H422,CHOOSE({1,2},Table12[Native],Table12[Name]),2,0)</f>
        <v>Yánhú Qū</v>
      </c>
      <c r="N422" s="13" t="str">
        <f>VLOOKUP(I422,CHOOSE({1,2},Table12[Native],Table12[Name]),2,0)</f>
        <v>Yùnchéng Shì</v>
      </c>
      <c r="O422" s="13" t="str">
        <f t="shared" si="12"/>
        <v>Hongzhiyi Zhen (Yùnchéng Shì)</v>
      </c>
      <c r="P422" s="13" t="str">
        <f t="shared" si="13"/>
        <v>Hongzhiyi Zhen (Yùnchéng Shì)</v>
      </c>
    </row>
    <row r="423" spans="1:16" hidden="1" x14ac:dyDescent="0.25">
      <c r="A423" t="s">
        <v>127</v>
      </c>
      <c r="B423" t="str">
        <f>IF(COUNTIF(A:A,A423)&gt;1,_xlfn.CONCAT(A423," (",N423,")"),A423)</f>
        <v>Hòubăo Zhèn</v>
      </c>
      <c r="C423" t="str">
        <f>IF(COUNTIF(B:B,B423)&gt;1,_xlfn.CONCAT(A423," (",M423,")"),B423)</f>
        <v>Hòubăo Zhèn</v>
      </c>
      <c r="D423" t="s">
        <v>128</v>
      </c>
      <c r="E423" t="s">
        <v>7</v>
      </c>
      <c r="F423" t="str">
        <f>_xlfn.CONCAT(D423,", ",H423,", ",I423,", ","山西省")</f>
        <v>侯堡镇, 襄垣县, 长治市, 山西省</v>
      </c>
      <c r="G423">
        <v>44360</v>
      </c>
      <c r="H423" t="s">
        <v>2892</v>
      </c>
      <c r="I423" t="s">
        <v>2878</v>
      </c>
      <c r="J423">
        <f>VLOOKUP(F423,[1]!china_towns_second__2[[Column1]:[Y]],3,FALSE)</f>
        <v>36.436214504379201</v>
      </c>
      <c r="K423">
        <f>VLOOKUP(F423,[1]!china_towns_second__2[[Column1]:[Y]],2,FALSE)</f>
        <v>112.95088490000001</v>
      </c>
      <c r="L423" t="s">
        <v>3999</v>
      </c>
      <c r="M423" t="str">
        <f>VLOOKUP(H423,CHOOSE({1,2},Table12[Native],Table12[Name]),2,0)</f>
        <v>Xiāngyuán Xiàn</v>
      </c>
      <c r="N423" s="13" t="str">
        <f>VLOOKUP(I423,CHOOSE({1,2},Table12[Native],Table12[Name]),2,0)</f>
        <v>Chángzhì Shì</v>
      </c>
      <c r="O423" s="13" t="str">
        <f t="shared" si="12"/>
        <v>Houbao Zhen (Chángzhì Shì)</v>
      </c>
      <c r="P423" s="13" t="str">
        <f t="shared" si="13"/>
        <v>Houbao Zhen (Chángzhì Shì)</v>
      </c>
    </row>
    <row r="424" spans="1:16" hidden="1" x14ac:dyDescent="0.25">
      <c r="A424" t="s">
        <v>129</v>
      </c>
      <c r="B424" t="str">
        <f>IF(COUNTIF(A:A,A424)&gt;1,_xlfn.CONCAT(A424," (",N424,")"),A424)</f>
        <v>Hòubĕizhuāng Zhèn</v>
      </c>
      <c r="C424" t="str">
        <f>IF(COUNTIF(B:B,B424)&gt;1,_xlfn.CONCAT(A424," (",M424,")"),B424)</f>
        <v>Hòubĕizhuāng Zhèn</v>
      </c>
      <c r="D424" t="s">
        <v>130</v>
      </c>
      <c r="E424" t="s">
        <v>7</v>
      </c>
      <c r="F424" t="str">
        <f>_xlfn.CONCAT(D424,", ",H424,", ",I424,", ","山西省")</f>
        <v>堠北庄镇, 潞州区, 长治市, 山西省</v>
      </c>
      <c r="G424">
        <v>41006</v>
      </c>
      <c r="H424" t="s">
        <v>2885</v>
      </c>
      <c r="I424" t="s">
        <v>2878</v>
      </c>
      <c r="J424">
        <f>VLOOKUP(F424,[1]!china_towns_second__2[[Column1]:[Y]],3,FALSE)</f>
        <v>36.198208357894202</v>
      </c>
      <c r="K424">
        <f>VLOOKUP(F424,[1]!china_towns_second__2[[Column1]:[Y]],2,FALSE)</f>
        <v>113.0320037</v>
      </c>
      <c r="L424" t="s">
        <v>4000</v>
      </c>
      <c r="M424" t="str">
        <f>VLOOKUP(H424,CHOOSE({1,2},Table12[Native],Table12[Name]),2,0)</f>
        <v>Lùzhōu Qū</v>
      </c>
      <c r="N424" s="13" t="str">
        <f>VLOOKUP(I424,CHOOSE({1,2},Table12[Native],Table12[Name]),2,0)</f>
        <v>Chángzhì Shì</v>
      </c>
      <c r="O424" s="13" t="str">
        <f t="shared" si="12"/>
        <v>Houbeizhuang Zhen (Chángzhì Shì)</v>
      </c>
      <c r="P424" s="13" t="str">
        <f t="shared" si="13"/>
        <v>Houbeizhuang Zhen (Chángzhì Shì)</v>
      </c>
    </row>
    <row r="425" spans="1:16" hidden="1" x14ac:dyDescent="0.25">
      <c r="A425" t="s">
        <v>868</v>
      </c>
      <c r="B425" t="str">
        <f>IF(COUNTIF(A:A,A425)&gt;1,_xlfn.CONCAT(A425," (",N425,")"),A425)</f>
        <v>Hòuchéng Xiāng</v>
      </c>
      <c r="C425" t="str">
        <f>IF(COUNTIF(B:B,B425)&gt;1,_xlfn.CONCAT(A425," (",M425,")"),B425)</f>
        <v>Hòuchéng Xiāng</v>
      </c>
      <c r="D425" t="s">
        <v>869</v>
      </c>
      <c r="E425" t="s">
        <v>17</v>
      </c>
      <c r="F425" t="str">
        <f>_xlfn.CONCAT(D425,", ",H425,", ",I425,", ","山西省")</f>
        <v>侯城乡, 太谷区, 晋中市, 山西省</v>
      </c>
      <c r="G425">
        <v>56420</v>
      </c>
      <c r="H425" t="s">
        <v>2921</v>
      </c>
      <c r="I425" t="s">
        <v>2914</v>
      </c>
      <c r="J425" t="e">
        <f>VLOOKUP(F425,[1]!china_towns_second__2[[Column1]:[Y]],3,FALSE)</f>
        <v>#N/A</v>
      </c>
      <c r="K425" t="e">
        <f>VLOOKUP(F425,[1]!china_towns_second__2[[Column1]:[Y]],2,FALSE)</f>
        <v>#N/A</v>
      </c>
      <c r="L425" t="s">
        <v>4001</v>
      </c>
      <c r="M425" t="str">
        <f>VLOOKUP(H425,CHOOSE({1,2},Table12[Native],Table12[Name]),2,0)</f>
        <v>Tàigŭ Qū</v>
      </c>
      <c r="N425" s="13" t="str">
        <f>VLOOKUP(I425,CHOOSE({1,2},Table12[Native],Table12[Name]),2,0)</f>
        <v>Jìnzhōng Shì</v>
      </c>
      <c r="O425" s="13" t="str">
        <f t="shared" si="12"/>
        <v>Houcheng Xiang (Jìnzhōng Shì)</v>
      </c>
      <c r="P425" s="13" t="str">
        <f t="shared" si="13"/>
        <v>Houcheng Xiang (Jìnzhōng Shì)</v>
      </c>
    </row>
    <row r="426" spans="1:16" hidden="1" x14ac:dyDescent="0.25">
      <c r="A426" t="s">
        <v>1943</v>
      </c>
      <c r="B426" t="str">
        <f>IF(COUNTIF(A:A,A426)&gt;1,_xlfn.CONCAT(A426," (",N426,")"),A426)</f>
        <v>Hòucūn Xiāng (Tàiyuán Shì)</v>
      </c>
      <c r="C426" t="str">
        <f>IF(COUNTIF(B:B,B426)&gt;1,_xlfn.CONCAT(A426," (",M426,")"),B426)</f>
        <v>Hòucūn Xiāng (Tàiyuán Shì)</v>
      </c>
      <c r="D426" t="s">
        <v>1944</v>
      </c>
      <c r="E426" t="s">
        <v>17</v>
      </c>
      <c r="F426" t="str">
        <f>_xlfn.CONCAT(D426,", ",H426,", ",I426,", ","山西省")</f>
        <v>侯村乡, 阳曲县, 太原市, 山西省</v>
      </c>
      <c r="G426">
        <v>10356</v>
      </c>
      <c r="H426" t="s">
        <v>2978</v>
      </c>
      <c r="I426" t="s">
        <v>2969</v>
      </c>
      <c r="J426" t="e">
        <f>VLOOKUP(F426,[1]!china_towns_second__2[[Column1]:[Y]],3,FALSE)</f>
        <v>#N/A</v>
      </c>
      <c r="K426" t="e">
        <f>VLOOKUP(F426,[1]!china_towns_second__2[[Column1]:[Y]],2,FALSE)</f>
        <v>#N/A</v>
      </c>
      <c r="L426" t="s">
        <v>4002</v>
      </c>
      <c r="M426" t="str">
        <f>VLOOKUP(H426,CHOOSE({1,2},Table12[Native],Table12[Name]),2,0)</f>
        <v>Yángqŭ Xiàn</v>
      </c>
      <c r="N426" s="13" t="str">
        <f>VLOOKUP(I426,CHOOSE({1,2},Table12[Native],Table12[Name]),2,0)</f>
        <v>Tàiyuán Shì</v>
      </c>
      <c r="O426" s="13" t="str">
        <f t="shared" si="12"/>
        <v>Houcun Xiang (Taiyuan Shi) (Tàiyuán Shì)</v>
      </c>
      <c r="P426" s="13" t="str">
        <f t="shared" si="13"/>
        <v>Houcun Xiang (Taiyuan Shi) (Tàiyuán Shì)</v>
      </c>
    </row>
    <row r="427" spans="1:16" hidden="1" x14ac:dyDescent="0.25">
      <c r="A427" t="s">
        <v>1943</v>
      </c>
      <c r="B427" t="str">
        <f>IF(COUNTIF(A:A,A427)&gt;1,_xlfn.CONCAT(A427," (",N427,")"),A427)</f>
        <v>Hòucūn Xiāng (Yùnchéng Shì)</v>
      </c>
      <c r="C427" t="str">
        <f>IF(COUNTIF(B:B,B427)&gt;1,_xlfn.CONCAT(A427," (",M427,")"),B427)</f>
        <v>Hòucūn Xiāng (Yùnchéng Shì)</v>
      </c>
      <c r="D427" t="s">
        <v>1944</v>
      </c>
      <c r="E427" t="s">
        <v>17</v>
      </c>
      <c r="F427" t="str">
        <f>_xlfn.CONCAT(D427,", ",H427,", ",I427,", ","山西省")</f>
        <v>侯村乡, 闻喜县, 运城市, 山西省</v>
      </c>
      <c r="G427">
        <v>23188</v>
      </c>
      <c r="H427" t="s">
        <v>3011</v>
      </c>
      <c r="I427" t="s">
        <v>3003</v>
      </c>
      <c r="J427" t="e">
        <f>VLOOKUP(F427,[1]!china_towns_second__2[[Column1]:[Y]],3,FALSE)</f>
        <v>#N/A</v>
      </c>
      <c r="K427" t="e">
        <f>VLOOKUP(F427,[1]!china_towns_second__2[[Column1]:[Y]],2,FALSE)</f>
        <v>#N/A</v>
      </c>
      <c r="L427" t="s">
        <v>4003</v>
      </c>
      <c r="M427" t="str">
        <f>VLOOKUP(H427,CHOOSE({1,2},Table12[Native],Table12[Name]),2,0)</f>
        <v>Wénxĭ Xiàn</v>
      </c>
      <c r="N427" s="13" t="str">
        <f>VLOOKUP(I427,CHOOSE({1,2},Table12[Native],Table12[Name]),2,0)</f>
        <v>Yùnchéng Shì</v>
      </c>
      <c r="O427" s="13" t="str">
        <f t="shared" si="12"/>
        <v>Houcun Xiang (Yuncheng Shi) (Yùnchéng Shì)</v>
      </c>
      <c r="P427" s="13" t="str">
        <f t="shared" si="13"/>
        <v>Houcun Xiang (Yuncheng Shi) (Yùnchéng Shì)</v>
      </c>
    </row>
    <row r="428" spans="1:16" hidden="1" x14ac:dyDescent="0.25">
      <c r="A428" t="s">
        <v>2674</v>
      </c>
      <c r="B428" t="str">
        <f>IF(COUNTIF(A:A,A428)&gt;1,_xlfn.CONCAT(A428," (",N428,")"),A428)</f>
        <v>Hòugōng Xiāng</v>
      </c>
      <c r="C428" t="str">
        <f>IF(COUNTIF(B:B,B428)&gt;1,_xlfn.CONCAT(A428," (",M428,")"),B428)</f>
        <v>Hòugōng Xiāng</v>
      </c>
      <c r="D428" t="s">
        <v>2675</v>
      </c>
      <c r="E428" t="s">
        <v>17</v>
      </c>
      <c r="F428" t="str">
        <f>_xlfn.CONCAT(D428,", ",H428,", ",I428,", ","山西省")</f>
        <v>后宫乡, 闻喜县, 运城市, 山西省</v>
      </c>
      <c r="G428">
        <v>18425</v>
      </c>
      <c r="H428" t="s">
        <v>3011</v>
      </c>
      <c r="I428" t="s">
        <v>3003</v>
      </c>
      <c r="J428" t="e">
        <f>VLOOKUP(F428,[1]!china_towns_second__2[[Column1]:[Y]],3,FALSE)</f>
        <v>#N/A</v>
      </c>
      <c r="K428" t="e">
        <f>VLOOKUP(F428,[1]!china_towns_second__2[[Column1]:[Y]],2,FALSE)</f>
        <v>#N/A</v>
      </c>
      <c r="L428" t="s">
        <v>4004</v>
      </c>
      <c r="M428" t="str">
        <f>VLOOKUP(H428,CHOOSE({1,2},Table12[Native],Table12[Name]),2,0)</f>
        <v>Wénxĭ Xiàn</v>
      </c>
      <c r="N428" s="13" t="str">
        <f>VLOOKUP(I428,CHOOSE({1,2},Table12[Native],Table12[Name]),2,0)</f>
        <v>Yùnchéng Shì</v>
      </c>
      <c r="O428" s="13" t="str">
        <f t="shared" si="12"/>
        <v>Hougong Xiang (Yùnchéng Shì)</v>
      </c>
      <c r="P428" s="13" t="str">
        <f t="shared" si="13"/>
        <v>Hougong Xiang (Yùnchéng Shì)</v>
      </c>
    </row>
    <row r="429" spans="1:16" hidden="1" x14ac:dyDescent="0.25">
      <c r="A429" t="s">
        <v>1778</v>
      </c>
      <c r="B429" t="str">
        <f>IF(COUNTIF(A:A,A429)&gt;1,_xlfn.CONCAT(A429," (",N429,")"),A429)</f>
        <v>Hòusuŏ Xiāng</v>
      </c>
      <c r="C429" t="str">
        <f>IF(COUNTIF(B:B,B429)&gt;1,_xlfn.CONCAT(A429," (",M429,")"),B429)</f>
        <v>Hòusuŏ Xiāng</v>
      </c>
      <c r="D429" t="s">
        <v>1779</v>
      </c>
      <c r="E429" t="s">
        <v>17</v>
      </c>
      <c r="F429" t="str">
        <f>_xlfn.CONCAT(D429,", ",H429,", ",I429,", ","山西省")</f>
        <v>后所乡, 山阴县, 朔州市, 山西省</v>
      </c>
      <c r="G429">
        <v>14110</v>
      </c>
      <c r="H429" t="s">
        <v>2964</v>
      </c>
      <c r="I429" t="s">
        <v>2961</v>
      </c>
      <c r="J429" t="e">
        <f>VLOOKUP(F429,[1]!china_towns_second__2[[Column1]:[Y]],3,FALSE)</f>
        <v>#N/A</v>
      </c>
      <c r="K429" t="e">
        <f>VLOOKUP(F429,[1]!china_towns_second__2[[Column1]:[Y]],2,FALSE)</f>
        <v>#N/A</v>
      </c>
      <c r="L429" t="s">
        <v>4005</v>
      </c>
      <c r="M429" t="str">
        <f>VLOOKUP(H429,CHOOSE({1,2},Table12[Native],Table12[Name]),2,0)</f>
        <v>Shānyīn Xiàn</v>
      </c>
      <c r="N429" s="13" t="str">
        <f>VLOOKUP(I429,CHOOSE({1,2},Table12[Native],Table12[Name]),2,0)</f>
        <v>Shuòzhōu Shì</v>
      </c>
      <c r="O429" s="13" t="str">
        <f t="shared" si="12"/>
        <v>Housuo Xiang (Shuòzhōu Shì)</v>
      </c>
      <c r="P429" s="13" t="str">
        <f t="shared" si="13"/>
        <v>Housuo Xiang (Shuòzhōu Shì)</v>
      </c>
    </row>
    <row r="430" spans="1:16" hidden="1" x14ac:dyDescent="0.25">
      <c r="A430" t="s">
        <v>2228</v>
      </c>
      <c r="B430" t="str">
        <f>IF(COUNTIF(A:A,A430)&gt;1,_xlfn.CONCAT(A430," (",N430,")"),A430)</f>
        <v>Huàbĕitún Xiāng</v>
      </c>
      <c r="C430" t="str">
        <f>IF(COUNTIF(B:B,B430)&gt;1,_xlfn.CONCAT(A430," (",M430,")"),B430)</f>
        <v>Huàbĕitún Xiāng</v>
      </c>
      <c r="D430" t="s">
        <v>2229</v>
      </c>
      <c r="E430" t="s">
        <v>17</v>
      </c>
      <c r="F430" t="str">
        <f>_xlfn.CONCAT(D430,", ",H430,", ",I430,", ","山西省")</f>
        <v>化北屯乡, 宁武县, 忻州市, 山西省</v>
      </c>
      <c r="G430">
        <v>12818</v>
      </c>
      <c r="H430" t="s">
        <v>2989</v>
      </c>
      <c r="I430" t="s">
        <v>2981</v>
      </c>
      <c r="J430" t="e">
        <f>VLOOKUP(F430,[1]!china_towns_second__2[[Column1]:[Y]],3,FALSE)</f>
        <v>#N/A</v>
      </c>
      <c r="K430" t="e">
        <f>VLOOKUP(F430,[1]!china_towns_second__2[[Column1]:[Y]],2,FALSE)</f>
        <v>#N/A</v>
      </c>
      <c r="L430" t="s">
        <v>4006</v>
      </c>
      <c r="M430" t="str">
        <f>VLOOKUP(H430,CHOOSE({1,2},Table12[Native],Table12[Name]),2,0)</f>
        <v>Níngwŭ Xiàn</v>
      </c>
      <c r="N430" s="13" t="str">
        <f>VLOOKUP(I430,CHOOSE({1,2},Table12[Native],Table12[Name]),2,0)</f>
        <v>Xīnzhōu Shì</v>
      </c>
      <c r="O430" s="13" t="str">
        <f t="shared" si="12"/>
        <v>Huabeitun Xiang (Xīnzhōu Shì)</v>
      </c>
      <c r="P430" s="13" t="str">
        <f t="shared" si="13"/>
        <v>Huabeitun Xiang (Xīnzhōu Shì)</v>
      </c>
    </row>
    <row r="431" spans="1:16" hidden="1" x14ac:dyDescent="0.25">
      <c r="A431" t="s">
        <v>2676</v>
      </c>
      <c r="B431" t="str">
        <f>IF(COUNTIF(A:A,A431)&gt;1,_xlfn.CONCAT(A431," (",N431,")"),A431)</f>
        <v>Huáfēng Xiāng</v>
      </c>
      <c r="C431" t="str">
        <f>IF(COUNTIF(B:B,B431)&gt;1,_xlfn.CONCAT(A431," (",M431,")"),B431)</f>
        <v>Huáfēng Xiāng</v>
      </c>
      <c r="D431" t="s">
        <v>2677</v>
      </c>
      <c r="E431" t="s">
        <v>17</v>
      </c>
      <c r="F431" t="str">
        <f>_xlfn.CONCAT(D431,", ",H431,", ",I431,", ","山西省")</f>
        <v>华峰乡, 垣曲县, 运城市, 山西省</v>
      </c>
      <c r="G431">
        <v>21591</v>
      </c>
      <c r="H431" t="s">
        <v>3016</v>
      </c>
      <c r="I431" t="s">
        <v>3003</v>
      </c>
      <c r="J431" t="e">
        <f>VLOOKUP(F431,[1]!china_towns_second__2[[Column1]:[Y]],3,FALSE)</f>
        <v>#N/A</v>
      </c>
      <c r="K431" t="e">
        <f>VLOOKUP(F431,[1]!china_towns_second__2[[Column1]:[Y]],2,FALSE)</f>
        <v>#N/A</v>
      </c>
      <c r="L431" t="s">
        <v>4007</v>
      </c>
      <c r="M431" t="str">
        <f>VLOOKUP(H431,CHOOSE({1,2},Table12[Native],Table12[Name]),2,0)</f>
        <v>Yuánqŭ Xiàn</v>
      </c>
      <c r="N431" s="13" t="str">
        <f>VLOOKUP(I431,CHOOSE({1,2},Table12[Native],Table12[Name]),2,0)</f>
        <v>Yùnchéng Shì</v>
      </c>
      <c r="O431" s="13" t="str">
        <f t="shared" si="12"/>
        <v>Huafeng Xiang (Yùnchéng Shì)</v>
      </c>
      <c r="P431" s="13" t="str">
        <f t="shared" si="13"/>
        <v>Huafeng Xiang (Yùnchéng Shì)</v>
      </c>
    </row>
    <row r="432" spans="1:16" hidden="1" x14ac:dyDescent="0.25">
      <c r="A432" t="s">
        <v>2230</v>
      </c>
      <c r="B432" t="str">
        <f>IF(COUNTIF(A:A,A432)&gt;1,_xlfn.CONCAT(A432," (",N432,")"),A432)</f>
        <v>Huáidào Xiāng</v>
      </c>
      <c r="C432" t="str">
        <f>IF(COUNTIF(B:B,B432)&gt;1,_xlfn.CONCAT(A432," (",M432,")"),B432)</f>
        <v>Huáidào Xiāng</v>
      </c>
      <c r="D432" t="s">
        <v>2231</v>
      </c>
      <c r="E432" t="s">
        <v>17</v>
      </c>
      <c r="F432" t="str">
        <f>_xlfn.CONCAT(D432,", ",H432,", ",I432,", ","山西省")</f>
        <v>怀道乡, 宁武县, 忻州市, 山西省</v>
      </c>
      <c r="G432">
        <v>5042</v>
      </c>
      <c r="H432" t="s">
        <v>2989</v>
      </c>
      <c r="I432" t="s">
        <v>2981</v>
      </c>
      <c r="J432" t="e">
        <f>VLOOKUP(F432,[1]!china_towns_second__2[[Column1]:[Y]],3,FALSE)</f>
        <v>#N/A</v>
      </c>
      <c r="K432" t="e">
        <f>VLOOKUP(F432,[1]!china_towns_second__2[[Column1]:[Y]],2,FALSE)</f>
        <v>#N/A</v>
      </c>
      <c r="L432" t="s">
        <v>4008</v>
      </c>
      <c r="M432" t="str">
        <f>VLOOKUP(H432,CHOOSE({1,2},Table12[Native],Table12[Name]),2,0)</f>
        <v>Níngwŭ Xiàn</v>
      </c>
      <c r="N432" s="13" t="str">
        <f>VLOOKUP(I432,CHOOSE({1,2},Table12[Native],Table12[Name]),2,0)</f>
        <v>Xīnzhōu Shì</v>
      </c>
      <c r="O432" s="13" t="str">
        <f t="shared" si="12"/>
        <v>Huaidao Xiang (Xīnzhōu Shì)</v>
      </c>
      <c r="P432" s="13" t="str">
        <f t="shared" si="13"/>
        <v>Huaidao Xiang (Xīnzhōu Shì)</v>
      </c>
    </row>
    <row r="433" spans="1:16" hidden="1" x14ac:dyDescent="0.25">
      <c r="A433" t="s">
        <v>1175</v>
      </c>
      <c r="B433" t="str">
        <f>IF(COUNTIF(A:A,A433)&gt;1,_xlfn.CONCAT(A433," (",N433,")"),A433)</f>
        <v>Huáiniàn Xiāng</v>
      </c>
      <c r="C433" t="str">
        <f>IF(COUNTIF(B:B,B433)&gt;1,_xlfn.CONCAT(A433," (",M433,")"),B433)</f>
        <v>Huáiniàn Xiāng</v>
      </c>
      <c r="D433" t="s">
        <v>1176</v>
      </c>
      <c r="E433" t="s">
        <v>17</v>
      </c>
      <c r="F433" t="str">
        <f>_xlfn.CONCAT(D433,", ",H433,", ",I433,", ","山西省")</f>
        <v>槐埝乡, 浮山县, 临汾市, 山西省</v>
      </c>
      <c r="G433">
        <v>6952</v>
      </c>
      <c r="H433" t="s">
        <v>2931</v>
      </c>
      <c r="I433" t="s">
        <v>2927</v>
      </c>
      <c r="J433" t="e">
        <f>VLOOKUP(F433,[1]!china_towns_second__2[[Column1]:[Y]],3,FALSE)</f>
        <v>#N/A</v>
      </c>
      <c r="K433" t="e">
        <f>VLOOKUP(F433,[1]!china_towns_second__2[[Column1]:[Y]],2,FALSE)</f>
        <v>#N/A</v>
      </c>
      <c r="L433" t="s">
        <v>4009</v>
      </c>
      <c r="M433" t="str">
        <f>VLOOKUP(H433,CHOOSE({1,2},Table12[Native],Table12[Name]),2,0)</f>
        <v>Fúshān Xiàn</v>
      </c>
      <c r="N433" s="13" t="str">
        <f>VLOOKUP(I433,CHOOSE({1,2},Table12[Native],Table12[Name]),2,0)</f>
        <v>Línfén Shì</v>
      </c>
      <c r="O433" s="13" t="str">
        <f t="shared" si="12"/>
        <v>Huainian Xiang (Línfén Shì)</v>
      </c>
      <c r="P433" s="13" t="str">
        <f t="shared" si="13"/>
        <v>Huainian Xiang (Línfén Shì)</v>
      </c>
    </row>
    <row r="434" spans="1:16" hidden="1" x14ac:dyDescent="0.25">
      <c r="A434" t="s">
        <v>1945</v>
      </c>
      <c r="B434" t="str">
        <f>IF(COUNTIF(A:A,A434)&gt;1,_xlfn.CONCAT(A434," (",N434,")"),A434)</f>
        <v>Huàkètóu Jiēdào</v>
      </c>
      <c r="C434" t="str">
        <f>IF(COUNTIF(B:B,B434)&gt;1,_xlfn.CONCAT(A434," (",M434,")"),B434)</f>
        <v>Huàkètóu Jiēdào</v>
      </c>
      <c r="D434" t="s">
        <v>1946</v>
      </c>
      <c r="E434" t="s">
        <v>31</v>
      </c>
      <c r="F434" t="str">
        <f>_xlfn.CONCAT(D434,", ",H434,", ",I434,", ","山西省")</f>
        <v>化客头街道, 万柏林区, 太原市, 山西省</v>
      </c>
      <c r="G434">
        <v>12462</v>
      </c>
      <c r="H434" t="s">
        <v>2975</v>
      </c>
      <c r="I434" t="s">
        <v>2969</v>
      </c>
      <c r="J434">
        <f>VLOOKUP(F434,[1]!china_towns_second__2[[Column1]:[Y]],3,FALSE)</f>
        <v>37.880200119762797</v>
      </c>
      <c r="K434">
        <f>VLOOKUP(F434,[1]!china_towns_second__2[[Column1]:[Y]],2,FALSE)</f>
        <v>112.3818321</v>
      </c>
      <c r="L434" t="s">
        <v>4010</v>
      </c>
      <c r="M434" t="str">
        <f>VLOOKUP(H434,CHOOSE({1,2},Table12[Native],Table12[Name]),2,0)</f>
        <v>Wànbǎilín Qū</v>
      </c>
      <c r="N434" s="13" t="str">
        <f>VLOOKUP(I434,CHOOSE({1,2},Table12[Native],Table12[Name]),2,0)</f>
        <v>Tàiyuán Shì</v>
      </c>
      <c r="O434" s="13" t="str">
        <f t="shared" si="12"/>
        <v>Huaketou Jiedao (Tàiyuán Shì)</v>
      </c>
      <c r="P434" s="13" t="str">
        <f t="shared" si="13"/>
        <v>Huaketou Jiedao (Tàiyuán Shì)</v>
      </c>
    </row>
    <row r="435" spans="1:16" hidden="1" x14ac:dyDescent="0.25">
      <c r="A435" t="s">
        <v>2678</v>
      </c>
      <c r="B435" t="str">
        <f>IF(COUNTIF(A:A,A435)&gt;1,_xlfn.CONCAT(A435," (",N435,")"),A435)</f>
        <v>Huángfŭ Xiāng</v>
      </c>
      <c r="C435" t="str">
        <f>IF(COUNTIF(B:B,B435)&gt;1,_xlfn.CONCAT(A435," (",M435,")"),B435)</f>
        <v>Huángfŭ Xiāng</v>
      </c>
      <c r="D435" t="s">
        <v>2679</v>
      </c>
      <c r="E435" t="s">
        <v>17</v>
      </c>
      <c r="F435" t="str">
        <f>_xlfn.CONCAT(D435,", ",H435,", ",I435,", ","山西省")</f>
        <v>皇甫乡, 万荣县, 运城市, 山西省</v>
      </c>
      <c r="G435">
        <v>20697</v>
      </c>
      <c r="H435" t="s">
        <v>3010</v>
      </c>
      <c r="I435" t="s">
        <v>3003</v>
      </c>
      <c r="J435" t="e">
        <f>VLOOKUP(F435,[1]!china_towns_second__2[[Column1]:[Y]],3,FALSE)</f>
        <v>#N/A</v>
      </c>
      <c r="K435" t="e">
        <f>VLOOKUP(F435,[1]!china_towns_second__2[[Column1]:[Y]],2,FALSE)</f>
        <v>#N/A</v>
      </c>
      <c r="L435" t="s">
        <v>4011</v>
      </c>
      <c r="M435" t="str">
        <f>VLOOKUP(H435,CHOOSE({1,2},Table12[Native],Table12[Name]),2,0)</f>
        <v>Wànróng Xiàn</v>
      </c>
      <c r="N435" s="13" t="str">
        <f>VLOOKUP(I435,CHOOSE({1,2},Table12[Native],Table12[Name]),2,0)</f>
        <v>Yùnchéng Shì</v>
      </c>
      <c r="O435" s="13" t="str">
        <f t="shared" si="12"/>
        <v>Huangfu Xiang (Yùnchéng Shì)</v>
      </c>
      <c r="P435" s="13" t="str">
        <f t="shared" si="13"/>
        <v>Huangfu Xiang (Yùnchéng Shì)</v>
      </c>
    </row>
    <row r="436" spans="1:16" hidden="1" x14ac:dyDescent="0.25">
      <c r="A436" t="s">
        <v>402</v>
      </c>
      <c r="B436" t="str">
        <f>IF(COUNTIF(A:A,A436)&gt;1,_xlfn.CONCAT(A436," (",N436,")"),A436)</f>
        <v>Huánghuātān Xiāng</v>
      </c>
      <c r="C436" t="str">
        <f>IF(COUNTIF(B:B,B436)&gt;1,_xlfn.CONCAT(A436," (",M436,")"),B436)</f>
        <v>Huánghuātān Xiāng</v>
      </c>
      <c r="D436" t="s">
        <v>403</v>
      </c>
      <c r="E436" t="s">
        <v>17</v>
      </c>
      <c r="F436" t="str">
        <f>_xlfn.CONCAT(D436,", ",H436,", ",I436,", ","山西省")</f>
        <v>黄花滩乡, 浑源县, 大同市, 山西省</v>
      </c>
      <c r="G436">
        <v>10260</v>
      </c>
      <c r="H436" t="s">
        <v>2896</v>
      </c>
      <c r="I436" t="s">
        <v>2894</v>
      </c>
      <c r="J436" t="e">
        <f>VLOOKUP(F436,[1]!china_towns_second__2[[Column1]:[Y]],3,FALSE)</f>
        <v>#N/A</v>
      </c>
      <c r="K436" t="e">
        <f>VLOOKUP(F436,[1]!china_towns_second__2[[Column1]:[Y]],2,FALSE)</f>
        <v>#N/A</v>
      </c>
      <c r="L436" t="s">
        <v>4012</v>
      </c>
      <c r="M436" t="str">
        <f>VLOOKUP(H436,CHOOSE({1,2},Table12[Native],Table12[Name]),2,0)</f>
        <v>Húnyuán Xiàn</v>
      </c>
      <c r="N436" s="13" t="str">
        <f>VLOOKUP(I436,CHOOSE({1,2},Table12[Native],Table12[Name]),2,0)</f>
        <v>Dàtóng Shì</v>
      </c>
      <c r="O436" s="13" t="str">
        <f t="shared" si="12"/>
        <v>Huanghuatan Xiang (Dàtóng Shì)</v>
      </c>
      <c r="P436" s="13" t="str">
        <f t="shared" si="13"/>
        <v>Huanghuatan Xiang (Dàtóng Shì)</v>
      </c>
    </row>
    <row r="437" spans="1:16" hidden="1" x14ac:dyDescent="0.25">
      <c r="A437" t="s">
        <v>1947</v>
      </c>
      <c r="B437" t="str">
        <f>IF(COUNTIF(A:A,A437)&gt;1,_xlfn.CONCAT(A437," (",N437,")"),A437)</f>
        <v>Huánglíng Jiēdào</v>
      </c>
      <c r="C437" t="str">
        <f>IF(COUNTIF(B:B,B437)&gt;1,_xlfn.CONCAT(A437," (",M437,")"),B437)</f>
        <v>Huánglíng Jiēdào</v>
      </c>
      <c r="D437" t="s">
        <v>1948</v>
      </c>
      <c r="E437" t="s">
        <v>31</v>
      </c>
      <c r="F437" t="str">
        <f>_xlfn.CONCAT(D437,", ",H437,", ",I437,", ","山西省")</f>
        <v>黄陵街道, 小店区, 太原市, 山西省</v>
      </c>
      <c r="G437">
        <v>57074</v>
      </c>
      <c r="H437" t="s">
        <v>2976</v>
      </c>
      <c r="I437" t="s">
        <v>2969</v>
      </c>
      <c r="J437">
        <f>VLOOKUP(F437,[1]!china_towns_second__2[[Column1]:[Y]],3,FALSE)</f>
        <v>37.774346670979497</v>
      </c>
      <c r="K437">
        <f>VLOOKUP(F437,[1]!china_towns_second__2[[Column1]:[Y]],2,FALSE)</f>
        <v>112.62072019999999</v>
      </c>
      <c r="L437" t="s">
        <v>4013</v>
      </c>
      <c r="M437" t="str">
        <f>VLOOKUP(H437,CHOOSE({1,2},Table12[Native],Table12[Name]),2,0)</f>
        <v>Xiăodiàn Qū</v>
      </c>
      <c r="N437" s="13" t="str">
        <f>VLOOKUP(I437,CHOOSE({1,2},Table12[Native],Table12[Name]),2,0)</f>
        <v>Tàiyuán Shì</v>
      </c>
      <c r="O437" s="13" t="str">
        <f t="shared" si="12"/>
        <v>Huangling Jiedao (Tàiyuán Shì)</v>
      </c>
      <c r="P437" s="13" t="str">
        <f t="shared" si="13"/>
        <v>Huangling Jiedao (Tàiyuán Shì)</v>
      </c>
    </row>
    <row r="438" spans="1:16" hidden="1" x14ac:dyDescent="0.25">
      <c r="A438" t="s">
        <v>131</v>
      </c>
      <c r="B438" t="str">
        <f>IF(COUNTIF(A:A,A438)&gt;1,_xlfn.CONCAT(A438," (",N438,")"),A438)</f>
        <v>Huángniăn Zhèn</v>
      </c>
      <c r="C438" t="str">
        <f>IF(COUNTIF(B:B,B438)&gt;1,_xlfn.CONCAT(A438," (",M438,")"),B438)</f>
        <v>Huángniăn Zhèn</v>
      </c>
      <c r="D438" t="s">
        <v>132</v>
      </c>
      <c r="E438" t="s">
        <v>7</v>
      </c>
      <c r="F438" t="str">
        <f>_xlfn.CONCAT(D438,", ",H438,", ",I438,", ","山西省")</f>
        <v>黄碾镇, 潞州区, 长治市, 山西省</v>
      </c>
      <c r="G438">
        <v>35495</v>
      </c>
      <c r="H438" t="s">
        <v>2885</v>
      </c>
      <c r="I438" t="s">
        <v>2878</v>
      </c>
      <c r="J438">
        <f>VLOOKUP(F438,[1]!china_towns_second__2[[Column1]:[Y]],3,FALSE)</f>
        <v>36.358871222001298</v>
      </c>
      <c r="K438">
        <f>VLOOKUP(F438,[1]!china_towns_second__2[[Column1]:[Y]],2,FALSE)</f>
        <v>113.0744239</v>
      </c>
      <c r="L438" t="s">
        <v>4014</v>
      </c>
      <c r="M438" t="str">
        <f>VLOOKUP(H438,CHOOSE({1,2},Table12[Native],Table12[Name]),2,0)</f>
        <v>Lùzhōu Qū</v>
      </c>
      <c r="N438" s="13" t="str">
        <f>VLOOKUP(I438,CHOOSE({1,2},Table12[Native],Table12[Name]),2,0)</f>
        <v>Chángzhì Shì</v>
      </c>
      <c r="O438" s="13" t="str">
        <f t="shared" si="12"/>
        <v>Huangnian Zhen (Chángzhì Shì)</v>
      </c>
      <c r="P438" s="13" t="str">
        <f t="shared" si="13"/>
        <v>Huangnian Zhen (Chángzhì Shì)</v>
      </c>
    </row>
    <row r="439" spans="1:16" hidden="1" x14ac:dyDescent="0.25">
      <c r="A439" t="s">
        <v>133</v>
      </c>
      <c r="B439" t="str">
        <f>IF(COUNTIF(A:A,A439)&gt;1,_xlfn.CONCAT(A439," (",N439,")"),A439)</f>
        <v>Huángniútí Xiāng</v>
      </c>
      <c r="C439" t="str">
        <f>IF(COUNTIF(B:B,B439)&gt;1,_xlfn.CONCAT(A439," (",M439,")"),B439)</f>
        <v>Huángniútí Xiāng</v>
      </c>
      <c r="D439" t="s">
        <v>134</v>
      </c>
      <c r="E439" t="s">
        <v>17</v>
      </c>
      <c r="F439" t="str">
        <f>_xlfn.CONCAT(D439,", ",H439,", ",I439,", ","山西省")</f>
        <v>黄牛蹄乡, 潞城区, 长治市, 山西省</v>
      </c>
      <c r="G439">
        <v>12865</v>
      </c>
      <c r="H439" t="s">
        <v>2884</v>
      </c>
      <c r="I439" t="s">
        <v>2878</v>
      </c>
      <c r="J439" t="e">
        <f>VLOOKUP(F439,[1]!china_towns_second__2[[Column1]:[Y]],3,FALSE)</f>
        <v>#N/A</v>
      </c>
      <c r="K439" t="e">
        <f>VLOOKUP(F439,[1]!china_towns_second__2[[Column1]:[Y]],2,FALSE)</f>
        <v>#N/A</v>
      </c>
      <c r="L439" t="s">
        <v>4015</v>
      </c>
      <c r="M439" t="str">
        <f>VLOOKUP(H439,CHOOSE({1,2},Table12[Native],Table12[Name]),2,0)</f>
        <v>Lùchéng Qū</v>
      </c>
      <c r="N439" s="13" t="str">
        <f>VLOOKUP(I439,CHOOSE({1,2},Table12[Native],Table12[Name]),2,0)</f>
        <v>Chángzhì Shì</v>
      </c>
      <c r="O439" s="13" t="str">
        <f t="shared" si="12"/>
        <v>Huangniuti Xiang (Chángzhì Shì)</v>
      </c>
      <c r="P439" s="13" t="str">
        <f t="shared" si="13"/>
        <v>Huangniuti Xiang (Chángzhì Shì)</v>
      </c>
    </row>
    <row r="440" spans="1:16" hidden="1" x14ac:dyDescent="0.25">
      <c r="A440" t="s">
        <v>135</v>
      </c>
      <c r="B440" t="str">
        <f>IF(COUNTIF(A:A,A440)&gt;1,_xlfn.CONCAT(A440," (",N440,")"),A440)</f>
        <v>Huángshān Xiāng</v>
      </c>
      <c r="C440" t="str">
        <f>IF(COUNTIF(B:B,B440)&gt;1,_xlfn.CONCAT(A440," (",M440,")"),B440)</f>
        <v>Huángshān Xiāng</v>
      </c>
      <c r="D440" t="s">
        <v>136</v>
      </c>
      <c r="E440" t="s">
        <v>17</v>
      </c>
      <c r="F440" t="str">
        <f>_xlfn.CONCAT(D440,", ",H440,", ",I440,", ","山西省")</f>
        <v>黄山乡, 壶关县, 长治市, 山西省</v>
      </c>
      <c r="G440">
        <v>25991</v>
      </c>
      <c r="H440" t="s">
        <v>2881</v>
      </c>
      <c r="I440" t="s">
        <v>2878</v>
      </c>
      <c r="J440" t="e">
        <f>VLOOKUP(F440,[1]!china_towns_second__2[[Column1]:[Y]],3,FALSE)</f>
        <v>#N/A</v>
      </c>
      <c r="K440" t="e">
        <f>VLOOKUP(F440,[1]!china_towns_second__2[[Column1]:[Y]],2,FALSE)</f>
        <v>#N/A</v>
      </c>
      <c r="L440" t="s">
        <v>4016</v>
      </c>
      <c r="M440" t="str">
        <f>VLOOKUP(H440,CHOOSE({1,2},Table12[Native],Table12[Name]),2,0)</f>
        <v>Húguān Xiàn</v>
      </c>
      <c r="N440" s="13" t="str">
        <f>VLOOKUP(I440,CHOOSE({1,2},Table12[Native],Table12[Name]),2,0)</f>
        <v>Chángzhì Shì</v>
      </c>
      <c r="O440" s="13" t="str">
        <f t="shared" si="12"/>
        <v>Huangshan Xiang (Chángzhì Shì)</v>
      </c>
      <c r="P440" s="13" t="str">
        <f t="shared" si="13"/>
        <v>Huangshan Xiang (Chángzhì Shì)</v>
      </c>
    </row>
    <row r="441" spans="1:16" hidden="1" x14ac:dyDescent="0.25">
      <c r="A441" t="s">
        <v>1177</v>
      </c>
      <c r="B441" t="str">
        <f>IF(COUNTIF(A:A,A441)&gt;1,_xlfn.CONCAT(A441," (",N441,")"),A441)</f>
        <v>Huángtŭ Zhèn</v>
      </c>
      <c r="C441" t="str">
        <f>IF(COUNTIF(B:B,B441)&gt;1,_xlfn.CONCAT(A441," (",M441,")"),B441)</f>
        <v>Huángtŭ Zhèn</v>
      </c>
      <c r="D441" t="s">
        <v>1178</v>
      </c>
      <c r="E441" t="s">
        <v>7</v>
      </c>
      <c r="F441" t="str">
        <f>_xlfn.CONCAT(D441,", ",H441,", ",I441,", ","山西省")</f>
        <v>黄土镇, 隰县, 临汾市, 山西省</v>
      </c>
      <c r="G441">
        <v>11469</v>
      </c>
      <c r="H441" t="s">
        <v>2941</v>
      </c>
      <c r="I441" t="s">
        <v>2927</v>
      </c>
      <c r="J441">
        <f>VLOOKUP(F441,[1]!china_towns_second__2[[Column1]:[Y]],3,FALSE)</f>
        <v>36.654697288063502</v>
      </c>
      <c r="K441">
        <f>VLOOKUP(F441,[1]!china_towns_second__2[[Column1]:[Y]],2,FALSE)</f>
        <v>111.1653397</v>
      </c>
      <c r="L441" t="s">
        <v>4017</v>
      </c>
      <c r="M441" t="str">
        <f>VLOOKUP(H441,CHOOSE({1,2},Table12[Native],Table12[Name]),2,0)</f>
        <v>Xí Xiàn</v>
      </c>
      <c r="N441" s="13" t="str">
        <f>VLOOKUP(I441,CHOOSE({1,2},Table12[Native],Table12[Name]),2,0)</f>
        <v>Línfén Shì</v>
      </c>
      <c r="O441" s="13" t="str">
        <f t="shared" si="12"/>
        <v>Huangtu Zhen (Línfén Shì)</v>
      </c>
      <c r="P441" s="13" t="str">
        <f t="shared" si="13"/>
        <v>Huangtu Zhen (Línfén Shì)</v>
      </c>
    </row>
    <row r="442" spans="1:16" hidden="1" x14ac:dyDescent="0.25">
      <c r="A442" t="s">
        <v>137</v>
      </c>
      <c r="B442" t="str">
        <f>IF(COUNTIF(A:A,A442)&gt;1,_xlfn.CONCAT(A442," (",N442,")"),A442)</f>
        <v>Huángyádòng Zhèn</v>
      </c>
      <c r="C442" t="str">
        <f>IF(COUNTIF(B:B,B442)&gt;1,_xlfn.CONCAT(A442," (",M442,")"),B442)</f>
        <v>Huángyádòng Zhèn</v>
      </c>
      <c r="D442" t="s">
        <v>138</v>
      </c>
      <c r="E442" t="s">
        <v>7</v>
      </c>
      <c r="F442" t="str">
        <f>_xlfn.CONCAT(D442,", ",H442,", ",I442,", ","山西省")</f>
        <v>黄崖洞镇, 黎城县, 长治市, 山西省</v>
      </c>
      <c r="G442">
        <v>13857</v>
      </c>
      <c r="H442" t="s">
        <v>2882</v>
      </c>
      <c r="I442" t="s">
        <v>2878</v>
      </c>
      <c r="J442">
        <f>VLOOKUP(F442,[1]!china_towns_second__2[[Column1]:[Y]],3,FALSE)</f>
        <v>36.806942667353702</v>
      </c>
      <c r="K442">
        <f>VLOOKUP(F442,[1]!china_towns_second__2[[Column1]:[Y]],2,FALSE)</f>
        <v>113.41934910000001</v>
      </c>
      <c r="L442" t="s">
        <v>4018</v>
      </c>
      <c r="M442" t="str">
        <f>VLOOKUP(H442,CHOOSE({1,2},Table12[Native],Table12[Name]),2,0)</f>
        <v>Líchéng Xiàn</v>
      </c>
      <c r="N442" s="13" t="str">
        <f>VLOOKUP(I442,CHOOSE({1,2},Table12[Native],Table12[Name]),2,0)</f>
        <v>Chángzhì Shì</v>
      </c>
      <c r="O442" s="13" t="str">
        <f t="shared" si="12"/>
        <v>Huangyadong Zhen (Chángzhì Shì)</v>
      </c>
      <c r="P442" s="13" t="str">
        <f t="shared" si="13"/>
        <v>Huangyadong Zhen (Chángzhì Shì)</v>
      </c>
    </row>
    <row r="443" spans="1:16" hidden="1" x14ac:dyDescent="0.25">
      <c r="A443" t="s">
        <v>1949</v>
      </c>
      <c r="B443" t="str">
        <f>IF(COUNTIF(A:A,A443)&gt;1,_xlfn.CONCAT(A443," (",N443,")"),A443)</f>
        <v>Huángzhài Zhèn</v>
      </c>
      <c r="C443" t="str">
        <f>IF(COUNTIF(B:B,B443)&gt;1,_xlfn.CONCAT(A443," (",M443,")"),B443)</f>
        <v>Huángzhài Zhèn</v>
      </c>
      <c r="D443" t="s">
        <v>1950</v>
      </c>
      <c r="E443" t="s">
        <v>7</v>
      </c>
      <c r="F443" t="str">
        <f>_xlfn.CONCAT(D443,", ",H443,", ",I443,", ","山西省")</f>
        <v>黄寨镇, 阳曲县, 太原市, 山西省</v>
      </c>
      <c r="G443">
        <v>22233</v>
      </c>
      <c r="H443" t="s">
        <v>2978</v>
      </c>
      <c r="I443" t="s">
        <v>2969</v>
      </c>
      <c r="J443">
        <f>VLOOKUP(F443,[1]!china_towns_second__2[[Column1]:[Y]],3,FALSE)</f>
        <v>38.095385481731903</v>
      </c>
      <c r="K443">
        <f>VLOOKUP(F443,[1]!china_towns_second__2[[Column1]:[Y]],2,FALSE)</f>
        <v>112.6612616</v>
      </c>
      <c r="L443" t="s">
        <v>4019</v>
      </c>
      <c r="M443" t="str">
        <f>VLOOKUP(H443,CHOOSE({1,2},Table12[Native],Table12[Name]),2,0)</f>
        <v>Yángqŭ Xiàn</v>
      </c>
      <c r="N443" s="13" t="str">
        <f>VLOOKUP(I443,CHOOSE({1,2},Table12[Native],Table12[Name]),2,0)</f>
        <v>Tàiyuán Shì</v>
      </c>
      <c r="O443" s="13" t="str">
        <f t="shared" si="12"/>
        <v>Huangzhai Zhen (Tàiyuán Shì)</v>
      </c>
      <c r="P443" s="13" t="str">
        <f t="shared" si="13"/>
        <v>Huangzhai Zhen (Tàiyuán Shì)</v>
      </c>
    </row>
    <row r="444" spans="1:16" hidden="1" x14ac:dyDescent="0.25">
      <c r="A444" t="s">
        <v>2680</v>
      </c>
      <c r="B444" t="str">
        <f>IF(COUNTIF(A:A,A444)&gt;1,_xlfn.CONCAT(A444," (",N444,")"),A444)</f>
        <v>Huàyù Zhèn</v>
      </c>
      <c r="C444" t="str">
        <f>IF(COUNTIF(B:B,B444)&gt;1,_xlfn.CONCAT(A444," (",M444,")"),B444)</f>
        <v>Huàyù Zhèn</v>
      </c>
      <c r="D444" t="s">
        <v>2681</v>
      </c>
      <c r="E444" t="s">
        <v>7</v>
      </c>
      <c r="F444" t="str">
        <f>_xlfn.CONCAT(D444,", ",H444,", ",I444,", ","山西省")</f>
        <v>化峪镇, 稷山县, 运城市, 山西省</v>
      </c>
      <c r="G444">
        <v>39608</v>
      </c>
      <c r="H444" t="s">
        <v>3006</v>
      </c>
      <c r="I444" t="s">
        <v>3003</v>
      </c>
      <c r="J444">
        <f>VLOOKUP(F444,[1]!china_towns_second__2[[Column1]:[Y]],3,FALSE)</f>
        <v>35.653828220029602</v>
      </c>
      <c r="K444">
        <f>VLOOKUP(F444,[1]!china_towns_second__2[[Column1]:[Y]],2,FALSE)</f>
        <v>110.87095189999999</v>
      </c>
      <c r="L444" t="s">
        <v>4020</v>
      </c>
      <c r="M444" t="str">
        <f>VLOOKUP(H444,CHOOSE({1,2},Table12[Native],Table12[Name]),2,0)</f>
        <v>Jìshān Xiàn</v>
      </c>
      <c r="N444" s="13" t="str">
        <f>VLOOKUP(I444,CHOOSE({1,2},Table12[Native],Table12[Name]),2,0)</f>
        <v>Yùnchéng Shì</v>
      </c>
      <c r="O444" s="13" t="str">
        <f t="shared" si="12"/>
        <v>Huayu Zhen (Yùnchéng Shì)</v>
      </c>
      <c r="P444" s="13" t="str">
        <f t="shared" si="13"/>
        <v>Huayu Zhen (Yùnchéng Shì)</v>
      </c>
    </row>
    <row r="445" spans="1:16" hidden="1" x14ac:dyDescent="0.25">
      <c r="A445" t="s">
        <v>404</v>
      </c>
      <c r="B445" t="str">
        <f>IF(COUNTIF(A:A,A445)&gt;1,_xlfn.CONCAT(A445," (",N445,")"),A445)</f>
        <v>Huāyuántún Xiāng</v>
      </c>
      <c r="C445" t="str">
        <f>IF(COUNTIF(B:B,B445)&gt;1,_xlfn.CONCAT(A445," (",M445,")"),B445)</f>
        <v>Huāyuántún Xiāng</v>
      </c>
      <c r="D445" t="s">
        <v>405</v>
      </c>
      <c r="E445" t="s">
        <v>17</v>
      </c>
      <c r="F445" t="str">
        <f>_xlfn.CONCAT(D445,", ",H445,", ",I445,", ","山西省")</f>
        <v>花园屯乡, 新荣区, 大同市, 山西省</v>
      </c>
      <c r="G445">
        <v>15110</v>
      </c>
      <c r="H445" t="s">
        <v>2900</v>
      </c>
      <c r="I445" t="s">
        <v>2894</v>
      </c>
      <c r="J445" t="e">
        <f>VLOOKUP(F445,[1]!china_towns_second__2[[Column1]:[Y]],3,FALSE)</f>
        <v>#N/A</v>
      </c>
      <c r="K445" t="e">
        <f>VLOOKUP(F445,[1]!china_towns_second__2[[Column1]:[Y]],2,FALSE)</f>
        <v>#N/A</v>
      </c>
      <c r="L445" t="s">
        <v>4021</v>
      </c>
      <c r="M445" t="str">
        <f>VLOOKUP(H445,CHOOSE({1,2},Table12[Native],Table12[Name]),2,0)</f>
        <v>Xīnróng Qū</v>
      </c>
      <c r="N445" s="13" t="str">
        <f>VLOOKUP(I445,CHOOSE({1,2},Table12[Native],Table12[Name]),2,0)</f>
        <v>Dàtóng Shì</v>
      </c>
      <c r="O445" s="13" t="str">
        <f t="shared" si="12"/>
        <v>Huayuantun Xiang (Dàtóng Shì)</v>
      </c>
      <c r="P445" s="13" t="str">
        <f t="shared" si="13"/>
        <v>Huayuantun Xiang (Dàtóng Shì)</v>
      </c>
    </row>
    <row r="446" spans="1:16" hidden="1" x14ac:dyDescent="0.25">
      <c r="A446" t="s">
        <v>2232</v>
      </c>
      <c r="B446" t="str">
        <f>IF(COUNTIF(A:A,A446)&gt;1,_xlfn.CONCAT(A446," (",N446,")"),A446)</f>
        <v>Hŭbĕi Xiāng</v>
      </c>
      <c r="C446" t="str">
        <f>IF(COUNTIF(B:B,B446)&gt;1,_xlfn.CONCAT(A446," (",M446,")"),B446)</f>
        <v>Hŭbĕi Xiāng</v>
      </c>
      <c r="D446" t="s">
        <v>2233</v>
      </c>
      <c r="E446" t="s">
        <v>17</v>
      </c>
      <c r="F446" t="str">
        <f>_xlfn.CONCAT(D446,", ",H446,", ",I446,", ","山西省")</f>
        <v>虎北乡, 神池县, 忻州市, 山西省</v>
      </c>
      <c r="G446">
        <v>5890</v>
      </c>
      <c r="H446" t="s">
        <v>2991</v>
      </c>
      <c r="I446" t="s">
        <v>2981</v>
      </c>
      <c r="J446" t="e">
        <f>VLOOKUP(F446,[1]!china_towns_second__2[[Column1]:[Y]],3,FALSE)</f>
        <v>#N/A</v>
      </c>
      <c r="K446" t="e">
        <f>VLOOKUP(F446,[1]!china_towns_second__2[[Column1]:[Y]],2,FALSE)</f>
        <v>#N/A</v>
      </c>
      <c r="L446" t="s">
        <v>4022</v>
      </c>
      <c r="M446" t="str">
        <f>VLOOKUP(H446,CHOOSE({1,2},Table12[Native],Table12[Name]),2,0)</f>
        <v>Shénchí Xiàn</v>
      </c>
      <c r="N446" s="13" t="str">
        <f>VLOOKUP(I446,CHOOSE({1,2},Table12[Native],Table12[Name]),2,0)</f>
        <v>Xīnzhōu Shì</v>
      </c>
      <c r="O446" s="13" t="str">
        <f t="shared" si="12"/>
        <v>Hubei Xiang (Xīnzhōu Shì)</v>
      </c>
      <c r="P446" s="13" t="str">
        <f t="shared" si="13"/>
        <v>Hubei Xiang (Xīnzhōu Shì)</v>
      </c>
    </row>
    <row r="447" spans="1:16" hidden="1" x14ac:dyDescent="0.25">
      <c r="A447" t="s">
        <v>870</v>
      </c>
      <c r="B447" t="str">
        <f>IF(COUNTIF(A:A,A447)&gt;1,_xlfn.CONCAT(A447," (",N447,")"),A447)</f>
        <v>Húcūn Zhèn</v>
      </c>
      <c r="C447" t="str">
        <f>IF(COUNTIF(B:B,B447)&gt;1,_xlfn.CONCAT(A447," (",M447,")"),B447)</f>
        <v>Húcūn Zhèn</v>
      </c>
      <c r="D447" t="s">
        <v>871</v>
      </c>
      <c r="E447" t="s">
        <v>7</v>
      </c>
      <c r="F447" t="str">
        <f>_xlfn.CONCAT(D447,", ",H447,", ",I447,", ","山西省")</f>
        <v>胡村镇, 太谷区, 晋中市, 山西省</v>
      </c>
      <c r="G447">
        <v>45359</v>
      </c>
      <c r="H447" t="s">
        <v>2921</v>
      </c>
      <c r="I447" t="s">
        <v>2914</v>
      </c>
      <c r="J447">
        <f>VLOOKUP(F447,[1]!china_towns_second__2[[Column1]:[Y]],3,FALSE)</f>
        <v>37.480700279423999</v>
      </c>
      <c r="K447">
        <f>VLOOKUP(F447,[1]!china_towns_second__2[[Column1]:[Y]],2,FALSE)</f>
        <v>112.62317210000001</v>
      </c>
      <c r="L447" t="s">
        <v>4023</v>
      </c>
      <c r="M447" t="str">
        <f>VLOOKUP(H447,CHOOSE({1,2},Table12[Native],Table12[Name]),2,0)</f>
        <v>Tàigŭ Qū</v>
      </c>
      <c r="N447" s="13" t="str">
        <f>VLOOKUP(I447,CHOOSE({1,2},Table12[Native],Table12[Name]),2,0)</f>
        <v>Jìnzhōng Shì</v>
      </c>
      <c r="O447" s="13" t="str">
        <f t="shared" si="12"/>
        <v>Hucun Zhen (Jìnzhōng Shì)</v>
      </c>
      <c r="P447" s="13" t="str">
        <f t="shared" si="13"/>
        <v>Hucun Zhen (Jìnzhōng Shì)</v>
      </c>
    </row>
    <row r="448" spans="1:16" hidden="1" x14ac:dyDescent="0.25">
      <c r="A448" t="s">
        <v>681</v>
      </c>
      <c r="B448" t="str">
        <f>IF(COUNTIF(A:A,A448)&gt;1,_xlfn.CONCAT(A448," (",N448,")"),A448)</f>
        <v>Húdĭ Xiāng</v>
      </c>
      <c r="C448" t="str">
        <f>IF(COUNTIF(B:B,B448)&gt;1,_xlfn.CONCAT(A448," (",M448,")"),B448)</f>
        <v>Húdĭ Xiāng</v>
      </c>
      <c r="D448" t="s">
        <v>682</v>
      </c>
      <c r="E448" t="s">
        <v>17</v>
      </c>
      <c r="F448" t="str">
        <f>_xlfn.CONCAT(D448,", ",H448,", ",I448,", ","山西省")</f>
        <v>胡底乡, 沁水县, 晋城市, 山西省</v>
      </c>
      <c r="G448">
        <v>8935</v>
      </c>
      <c r="H448" t="s">
        <v>2910</v>
      </c>
      <c r="I448" t="s">
        <v>2906</v>
      </c>
      <c r="J448" t="e">
        <f>VLOOKUP(F448,[1]!china_towns_second__2[[Column1]:[Y]],3,FALSE)</f>
        <v>#N/A</v>
      </c>
      <c r="K448" t="e">
        <f>VLOOKUP(F448,[1]!china_towns_second__2[[Column1]:[Y]],2,FALSE)</f>
        <v>#N/A</v>
      </c>
      <c r="L448" t="s">
        <v>4024</v>
      </c>
      <c r="M448" t="str">
        <f>VLOOKUP(H448,CHOOSE({1,2},Table12[Native],Table12[Name]),2,0)</f>
        <v>Qìnshuǐ Xiàn</v>
      </c>
      <c r="N448" s="13" t="str">
        <f>VLOOKUP(I448,CHOOSE({1,2},Table12[Native],Table12[Name]),2,0)</f>
        <v>Jìnchéng Shì</v>
      </c>
      <c r="O448" s="13" t="str">
        <f t="shared" si="12"/>
        <v>Hudi Xiang (Jìnchéng Shì)</v>
      </c>
      <c r="P448" s="13" t="str">
        <f t="shared" si="13"/>
        <v>Hudi Xiang (Jìnchéng Shì)</v>
      </c>
    </row>
    <row r="449" spans="1:16" hidden="1" x14ac:dyDescent="0.25">
      <c r="A449" t="s">
        <v>406</v>
      </c>
      <c r="B449" t="str">
        <f>IF(COUNTIF(A:A,A449)&gt;1,_xlfn.CONCAT(A449," (",N449,")"),A449)</f>
        <v>Húdōng</v>
      </c>
      <c r="C449" t="str">
        <f>IF(COUNTIF(B:B,B449)&gt;1,_xlfn.CONCAT(A449," (",M449,")"),B449)</f>
        <v>Húdōng</v>
      </c>
      <c r="D449" t="s">
        <v>407</v>
      </c>
      <c r="E449" t="s">
        <v>35</v>
      </c>
      <c r="F449" t="str">
        <f>_xlfn.CONCAT(D449,", ",H449,", ",I449,", ","山西省")</f>
        <v>湖东办事处, 云州区, 大同市, 山西省</v>
      </c>
      <c r="G449">
        <v>2974</v>
      </c>
      <c r="H449" t="s">
        <v>2903</v>
      </c>
      <c r="I449" t="s">
        <v>2894</v>
      </c>
      <c r="J449" t="e">
        <f>VLOOKUP(F449,[1]!china_towns_second__2[[Column1]:[Y]],3,FALSE)</f>
        <v>#N/A</v>
      </c>
      <c r="K449" t="e">
        <f>VLOOKUP(F449,[1]!china_towns_second__2[[Column1]:[Y]],2,FALSE)</f>
        <v>#N/A</v>
      </c>
      <c r="L449" t="s">
        <v>4025</v>
      </c>
      <c r="M449" t="str">
        <f>VLOOKUP(H449,CHOOSE({1,2},Table12[Native],Table12[Name]),2,0)</f>
        <v>Yúnzhōu Qū</v>
      </c>
      <c r="N449" s="13" t="str">
        <f>VLOOKUP(I449,CHOOSE({1,2},Table12[Native],Table12[Name]),2,0)</f>
        <v>Dàtóng Shì</v>
      </c>
      <c r="O449" s="13" t="str">
        <f t="shared" si="12"/>
        <v>Hudong (Dàtóng Shì)</v>
      </c>
      <c r="P449" s="13" t="str">
        <f t="shared" si="13"/>
        <v>Hudong (Dàtóng Shì)</v>
      </c>
    </row>
    <row r="450" spans="1:16" hidden="1" x14ac:dyDescent="0.25">
      <c r="A450" t="s">
        <v>2234</v>
      </c>
      <c r="B450" t="str">
        <f>IF(COUNTIF(A:A,A450)&gt;1,_xlfn.CONCAT(A450," (",N450,")"),A450)</f>
        <v>Húhuì Xiāng</v>
      </c>
      <c r="C450" t="str">
        <f>IF(COUNTIF(B:B,B450)&gt;1,_xlfn.CONCAT(A450," (",M450,")"),B450)</f>
        <v>Húhuì Xiāng</v>
      </c>
      <c r="D450" t="s">
        <v>2235</v>
      </c>
      <c r="E450" t="s">
        <v>17</v>
      </c>
      <c r="F450" t="str">
        <f>_xlfn.CONCAT(D450,", ",H450,", ",I450,", ","山西省")</f>
        <v>胡会乡, 五寨县, 忻州市, 山西省</v>
      </c>
      <c r="G450">
        <v>5630</v>
      </c>
      <c r="H450" t="s">
        <v>2993</v>
      </c>
      <c r="I450" t="s">
        <v>2981</v>
      </c>
      <c r="J450" t="e">
        <f>VLOOKUP(F450,[1]!china_towns_second__2[[Column1]:[Y]],3,FALSE)</f>
        <v>#N/A</v>
      </c>
      <c r="K450" t="e">
        <f>VLOOKUP(F450,[1]!china_towns_second__2[[Column1]:[Y]],2,FALSE)</f>
        <v>#N/A</v>
      </c>
      <c r="L450" t="s">
        <v>4026</v>
      </c>
      <c r="M450" t="str">
        <f>VLOOKUP(H450,CHOOSE({1,2},Table12[Native],Table12[Name]),2,0)</f>
        <v>Wŭzhài Xiàn</v>
      </c>
      <c r="N450" s="13" t="str">
        <f>VLOOKUP(I450,CHOOSE({1,2},Table12[Native],Table12[Name]),2,0)</f>
        <v>Xīnzhōu Shì</v>
      </c>
      <c r="O450" s="13" t="str">
        <f t="shared" ref="O450:O513" si="14">_xlfn.CONCAT(L450," (",N450,")")</f>
        <v>Huhui Xiang (Xīnzhōu Shì)</v>
      </c>
      <c r="P450" s="13" t="str">
        <f t="shared" ref="P450:P513" si="15">IF(COUNTIF(O:O,O450)&gt;1,_xlfn.CONCAT(L450," (",M450,")"),O450)</f>
        <v>Huhui Xiang (Xīnzhōu Shì)</v>
      </c>
    </row>
    <row r="451" spans="1:16" hidden="1" x14ac:dyDescent="0.25">
      <c r="A451" t="s">
        <v>1179</v>
      </c>
      <c r="B451" t="str">
        <f>IF(COUNTIF(A:A,A451)&gt;1,_xlfn.CONCAT(A451," (",N451,")"),A451)</f>
        <v>Huìbīn Jiēdào</v>
      </c>
      <c r="C451" t="str">
        <f>IF(COUNTIF(B:B,B451)&gt;1,_xlfn.CONCAT(A451," (",M451,")"),B451)</f>
        <v>Huìbīn Jiēdào</v>
      </c>
      <c r="D451" t="s">
        <v>1180</v>
      </c>
      <c r="E451" t="s">
        <v>31</v>
      </c>
      <c r="F451" t="str">
        <f>_xlfn.CONCAT(D451,", ",H451,", ",I451,", ","山西省")</f>
        <v>浍滨街道, 侯马市, 临汾市, 山西省</v>
      </c>
      <c r="G451">
        <v>46831</v>
      </c>
      <c r="H451" t="s">
        <v>2934</v>
      </c>
      <c r="I451" t="s">
        <v>2927</v>
      </c>
      <c r="J451">
        <f>VLOOKUP(F451,[1]!china_towns_second__2[[Column1]:[Y]],3,FALSE)</f>
        <v>35.627497033584802</v>
      </c>
      <c r="K451">
        <f>VLOOKUP(F451,[1]!china_towns_second__2[[Column1]:[Y]],2,FALSE)</f>
        <v>111.387912</v>
      </c>
      <c r="L451" t="s">
        <v>4027</v>
      </c>
      <c r="M451" t="str">
        <f>VLOOKUP(H451,CHOOSE({1,2},Table12[Native],Table12[Name]),2,0)</f>
        <v>Hòumă Shì</v>
      </c>
      <c r="N451" s="13" t="str">
        <f>VLOOKUP(I451,CHOOSE({1,2},Table12[Native],Table12[Name]),2,0)</f>
        <v>Línfén Shì</v>
      </c>
      <c r="O451" s="13" t="str">
        <f t="shared" si="14"/>
        <v>Huibin Jiedao (Línfén Shì)</v>
      </c>
      <c r="P451" s="13" t="str">
        <f t="shared" si="15"/>
        <v>Huibin Jiedao (Línfén Shì)</v>
      </c>
    </row>
    <row r="452" spans="1:16" hidden="1" x14ac:dyDescent="0.25">
      <c r="A452" t="s">
        <v>1951</v>
      </c>
      <c r="B452" t="str">
        <f>IF(COUNTIF(A:A,A452)&gt;1,_xlfn.CONCAT(A452," (",N452,")"),A452)</f>
        <v>Huìfēng Jiēdào</v>
      </c>
      <c r="C452" t="str">
        <f>IF(COUNTIF(B:B,B452)&gt;1,_xlfn.CONCAT(A452," (",M452,")"),B452)</f>
        <v>Huìfēng Jiēdào</v>
      </c>
      <c r="D452" t="s">
        <v>1952</v>
      </c>
      <c r="E452" t="s">
        <v>31</v>
      </c>
      <c r="F452" t="str">
        <f>_xlfn.CONCAT(D452,", ",H452,", ",I452,", ","山西省")</f>
        <v>汇丰街道, 尖草坪区, 太原市, 山西省</v>
      </c>
      <c r="G452">
        <v>85435</v>
      </c>
      <c r="H452" t="s">
        <v>2971</v>
      </c>
      <c r="I452" t="s">
        <v>2969</v>
      </c>
      <c r="J452">
        <f>VLOOKUP(F452,[1]!china_towns_second__2[[Column1]:[Y]],3,FALSE)</f>
        <v>37.896197255228401</v>
      </c>
      <c r="K452">
        <f>VLOOKUP(F452,[1]!china_towns_second__2[[Column1]:[Y]],2,FALSE)</f>
        <v>112.5092133</v>
      </c>
      <c r="L452" t="s">
        <v>4028</v>
      </c>
      <c r="M452" t="str">
        <f>VLOOKUP(H452,CHOOSE({1,2},Table12[Native],Table12[Name]),2,0)</f>
        <v>Jiāncăopíng Qū</v>
      </c>
      <c r="N452" s="13" t="str">
        <f>VLOOKUP(I452,CHOOSE({1,2},Table12[Native],Table12[Name]),2,0)</f>
        <v>Tàiyuán Shì</v>
      </c>
      <c r="O452" s="13" t="str">
        <f t="shared" si="14"/>
        <v>Huifeng Jiedao (Tàiyuán Shì)</v>
      </c>
      <c r="P452" s="13" t="str">
        <f t="shared" si="15"/>
        <v>Huifeng Jiedao (Tàiyuán Shì)</v>
      </c>
    </row>
    <row r="453" spans="1:16" hidden="1" x14ac:dyDescent="0.25">
      <c r="A453" t="s">
        <v>1498</v>
      </c>
      <c r="B453" t="str">
        <f>IF(COUNTIF(A:A,A453)&gt;1,_xlfn.CONCAT(A453," (",N453,")"),A453)</f>
        <v>Huìlì Xiāng</v>
      </c>
      <c r="C453" t="str">
        <f>IF(COUNTIF(B:B,B453)&gt;1,_xlfn.CONCAT(A453," (",M453,")"),B453)</f>
        <v>Huìlì Xiāng</v>
      </c>
      <c r="D453" t="s">
        <v>1499</v>
      </c>
      <c r="E453" t="s">
        <v>17</v>
      </c>
      <c r="F453" t="str">
        <f>_xlfn.CONCAT(D453,", ",H453,", ",I453,", ","山西省")</f>
        <v>会立乡, 交城县, 吕梁市, 山西省</v>
      </c>
      <c r="G453">
        <v>6304</v>
      </c>
      <c r="H453" t="s">
        <v>2949</v>
      </c>
      <c r="I453" t="s">
        <v>2946</v>
      </c>
      <c r="J453" t="e">
        <f>VLOOKUP(F453,[1]!china_towns_second__2[[Column1]:[Y]],3,FALSE)</f>
        <v>#N/A</v>
      </c>
      <c r="K453" t="e">
        <f>VLOOKUP(F453,[1]!china_towns_second__2[[Column1]:[Y]],2,FALSE)</f>
        <v>#N/A</v>
      </c>
      <c r="L453" t="s">
        <v>4029</v>
      </c>
      <c r="M453" t="str">
        <f>VLOOKUP(H453,CHOOSE({1,2},Table12[Native],Table12[Name]),2,0)</f>
        <v>Jiāochéng Xiàn</v>
      </c>
      <c r="N453" s="13" t="str">
        <f>VLOOKUP(I453,CHOOSE({1,2},Table12[Native],Table12[Name]),2,0)</f>
        <v>Lǚliáng Shì</v>
      </c>
      <c r="O453" s="13" t="str">
        <f t="shared" si="14"/>
        <v>Huili Xiang (Lǚliáng Shì)</v>
      </c>
      <c r="P453" s="13" t="str">
        <f t="shared" si="15"/>
        <v>Huili Xiang (Lǚliáng Shì)</v>
      </c>
    </row>
    <row r="454" spans="1:16" hidden="1" x14ac:dyDescent="0.25">
      <c r="A454" t="s">
        <v>1500</v>
      </c>
      <c r="B454" t="str">
        <f>IF(COUNTIF(A:A,A454)&gt;1,_xlfn.CONCAT(A454," (",N454,")"),A454)</f>
        <v>Huílóng Xiāng</v>
      </c>
      <c r="C454" t="str">
        <f>IF(COUNTIF(B:B,B454)&gt;1,_xlfn.CONCAT(A454," (",M454,")"),B454)</f>
        <v>Huílóng Xiāng</v>
      </c>
      <c r="D454" t="s">
        <v>1501</v>
      </c>
      <c r="E454" t="s">
        <v>17</v>
      </c>
      <c r="F454" t="str">
        <f>_xlfn.CONCAT(D454,", ",H454,", ",I454,", ","山西省")</f>
        <v>回龙乡, 交口县, 吕梁市, 山西省</v>
      </c>
      <c r="G454">
        <v>13583</v>
      </c>
      <c r="H454" t="s">
        <v>2950</v>
      </c>
      <c r="I454" t="s">
        <v>2946</v>
      </c>
      <c r="J454" t="e">
        <f>VLOOKUP(F454,[1]!china_towns_second__2[[Column1]:[Y]],3,FALSE)</f>
        <v>#N/A</v>
      </c>
      <c r="K454" t="e">
        <f>VLOOKUP(F454,[1]!china_towns_second__2[[Column1]:[Y]],2,FALSE)</f>
        <v>#N/A</v>
      </c>
      <c r="L454" t="s">
        <v>4030</v>
      </c>
      <c r="M454" t="str">
        <f>VLOOKUP(H454,CHOOSE({1,2},Table12[Native],Table12[Name]),2,0)</f>
        <v>Jiāokŏu Xiàn</v>
      </c>
      <c r="N454" s="13" t="str">
        <f>VLOOKUP(I454,CHOOSE({1,2},Table12[Native],Table12[Name]),2,0)</f>
        <v>Lǚliáng Shì</v>
      </c>
      <c r="O454" s="13" t="str">
        <f t="shared" si="14"/>
        <v>Huilong Xiang (Lǚliáng Shì)</v>
      </c>
      <c r="P454" s="13" t="str">
        <f t="shared" si="15"/>
        <v>Huilong Xiang (Lǚliáng Shì)</v>
      </c>
    </row>
    <row r="455" spans="1:16" hidden="1" x14ac:dyDescent="0.25">
      <c r="A455" t="s">
        <v>1181</v>
      </c>
      <c r="B455" t="str">
        <f>IF(COUNTIF(A:A,A455)&gt;1,_xlfn.CONCAT(A455," (",N455,")"),A455)</f>
        <v>Húkŏu Zhèn</v>
      </c>
      <c r="C455" t="str">
        <f>IF(COUNTIF(B:B,B455)&gt;1,_xlfn.CONCAT(A455," (",M455,")"),B455)</f>
        <v>Húkŏu Zhèn</v>
      </c>
      <c r="D455" t="s">
        <v>1182</v>
      </c>
      <c r="E455" t="s">
        <v>7</v>
      </c>
      <c r="F455" t="str">
        <f>_xlfn.CONCAT(D455,", ",H455,", ",I455,", ","山西省")</f>
        <v>壶口镇, 吉县, 临汾市, 山西省</v>
      </c>
      <c r="G455">
        <v>3876</v>
      </c>
      <c r="H455" t="s">
        <v>2936</v>
      </c>
      <c r="I455" t="s">
        <v>2927</v>
      </c>
      <c r="J455">
        <f>VLOOKUP(F455,[1]!china_towns_second__2[[Column1]:[Y]],3,FALSE)</f>
        <v>36.133362426792601</v>
      </c>
      <c r="K455">
        <f>VLOOKUP(F455,[1]!china_towns_second__2[[Column1]:[Y]],2,FALSE)</f>
        <v>110.49684139999999</v>
      </c>
      <c r="L455" t="s">
        <v>4031</v>
      </c>
      <c r="M455" t="str">
        <f>VLOOKUP(H455,CHOOSE({1,2},Table12[Native],Table12[Name]),2,0)</f>
        <v>Jí Xiàn</v>
      </c>
      <c r="N455" s="13" t="str">
        <f>VLOOKUP(I455,CHOOSE({1,2},Table12[Native],Table12[Name]),2,0)</f>
        <v>Línfén Shì</v>
      </c>
      <c r="O455" s="13" t="str">
        <f t="shared" si="14"/>
        <v>Hukou Zhen (Línfén Shì)</v>
      </c>
      <c r="P455" s="13" t="str">
        <f t="shared" si="15"/>
        <v>Hukou Zhen (Línfén Shì)</v>
      </c>
    </row>
    <row r="456" spans="1:16" hidden="1" x14ac:dyDescent="0.25">
      <c r="A456" t="s">
        <v>408</v>
      </c>
      <c r="B456" t="str">
        <f>IF(COUNTIF(A:A,A456)&gt;1,_xlfn.CONCAT(A456," (",N456,")"),A456)</f>
        <v>Húquán Zhèn</v>
      </c>
      <c r="C456" t="str">
        <f>IF(COUNTIF(B:B,B456)&gt;1,_xlfn.CONCAT(A456," (",M456,")"),B456)</f>
        <v>Húquán Zhèn</v>
      </c>
      <c r="D456" t="s">
        <v>409</v>
      </c>
      <c r="E456" t="s">
        <v>7</v>
      </c>
      <c r="F456" t="str">
        <f>_xlfn.CONCAT(D456,", ",H456,", ",I456,", ","山西省")</f>
        <v>壶泉镇, 广灵县, 大同市, 山西省</v>
      </c>
      <c r="G456">
        <v>66271</v>
      </c>
      <c r="H456" t="s">
        <v>2895</v>
      </c>
      <c r="I456" t="s">
        <v>2894</v>
      </c>
      <c r="J456">
        <f>VLOOKUP(F456,[1]!china_towns_second__2[[Column1]:[Y]],3,FALSE)</f>
        <v>39.775335835575298</v>
      </c>
      <c r="K456">
        <f>VLOOKUP(F456,[1]!china_towns_second__2[[Column1]:[Y]],2,FALSE)</f>
        <v>114.2694865</v>
      </c>
      <c r="L456" t="s">
        <v>4032</v>
      </c>
      <c r="M456" t="str">
        <f>VLOOKUP(H456,CHOOSE({1,2},Table12[Native],Table12[Name]),2,0)</f>
        <v>Guănglíng Xiàn</v>
      </c>
      <c r="N456" s="13" t="str">
        <f>VLOOKUP(I456,CHOOSE({1,2},Table12[Native],Table12[Name]),2,0)</f>
        <v>Dàtóng Shì</v>
      </c>
      <c r="O456" s="13" t="str">
        <f t="shared" si="14"/>
        <v>Huquan Zhen (Dàtóng Shì)</v>
      </c>
      <c r="P456" s="13" t="str">
        <f t="shared" si="15"/>
        <v>Huquan Zhen (Dàtóng Shì)</v>
      </c>
    </row>
    <row r="457" spans="1:16" hidden="1" x14ac:dyDescent="0.25">
      <c r="A457" t="s">
        <v>2236</v>
      </c>
      <c r="B457" t="str">
        <f>IF(COUNTIF(A:A,A457)&gt;1,_xlfn.CONCAT(A457," (",N457,")"),A457)</f>
        <v>Húyù Xiāng</v>
      </c>
      <c r="C457" t="str">
        <f>IF(COUNTIF(B:B,B457)&gt;1,_xlfn.CONCAT(A457," (",M457,")"),B457)</f>
        <v>Húyù Xiāng</v>
      </c>
      <c r="D457" t="s">
        <v>2237</v>
      </c>
      <c r="E457" t="s">
        <v>17</v>
      </c>
      <c r="F457" t="str">
        <f>_xlfn.CONCAT(D457,", ",H457,", ",I457,", ","山西省")</f>
        <v>胡峪乡, 代县, 忻州市, 山西省</v>
      </c>
      <c r="G457">
        <v>5228</v>
      </c>
      <c r="H457" t="s">
        <v>2983</v>
      </c>
      <c r="I457" t="s">
        <v>2981</v>
      </c>
      <c r="J457" t="e">
        <f>VLOOKUP(F457,[1]!china_towns_second__2[[Column1]:[Y]],3,FALSE)</f>
        <v>#N/A</v>
      </c>
      <c r="K457" t="e">
        <f>VLOOKUP(F457,[1]!china_towns_second__2[[Column1]:[Y]],2,FALSE)</f>
        <v>#N/A</v>
      </c>
      <c r="L457" t="s">
        <v>4033</v>
      </c>
      <c r="M457" t="str">
        <f>VLOOKUP(H457,CHOOSE({1,2},Table12[Native],Table12[Name]),2,0)</f>
        <v>Dài Xiàn</v>
      </c>
      <c r="N457" s="13" t="str">
        <f>VLOOKUP(I457,CHOOSE({1,2},Table12[Native],Table12[Name]),2,0)</f>
        <v>Xīnzhōu Shì</v>
      </c>
      <c r="O457" s="13" t="str">
        <f t="shared" si="14"/>
        <v>Huyu Xiang (Xīnzhōu Shì)</v>
      </c>
      <c r="P457" s="13" t="str">
        <f t="shared" si="15"/>
        <v>Huyu Xiang (Xīnzhōu Shì)</v>
      </c>
    </row>
    <row r="458" spans="1:16" hidden="1" x14ac:dyDescent="0.25">
      <c r="A458" t="s">
        <v>2682</v>
      </c>
      <c r="B458" t="str">
        <f>IF(COUNTIF(A:A,A458)&gt;1,_xlfn.CONCAT(A458," (",N458,")"),A458)</f>
        <v>Húzhāng Xiāng</v>
      </c>
      <c r="C458" t="str">
        <f>IF(COUNTIF(B:B,B458)&gt;1,_xlfn.CONCAT(A458," (",M458,")"),B458)</f>
        <v>Húzhāng Xiāng</v>
      </c>
      <c r="D458" t="s">
        <v>2683</v>
      </c>
      <c r="E458" t="s">
        <v>17</v>
      </c>
      <c r="F458" t="str">
        <f>_xlfn.CONCAT(D458,", ",H458,", ",I458,", ","山西省")</f>
        <v>胡张乡, 夏县, 运城市, 山西省</v>
      </c>
      <c r="G458">
        <v>36498</v>
      </c>
      <c r="H458" t="s">
        <v>3012</v>
      </c>
      <c r="I458" t="s">
        <v>3003</v>
      </c>
      <c r="J458" t="e">
        <f>VLOOKUP(F458,[1]!china_towns_second__2[[Column1]:[Y]],3,FALSE)</f>
        <v>#N/A</v>
      </c>
      <c r="K458" t="e">
        <f>VLOOKUP(F458,[1]!china_towns_second__2[[Column1]:[Y]],2,FALSE)</f>
        <v>#N/A</v>
      </c>
      <c r="L458" t="s">
        <v>4034</v>
      </c>
      <c r="M458" t="str">
        <f>VLOOKUP(H458,CHOOSE({1,2},Table12[Native],Table12[Name]),2,0)</f>
        <v>Xià Xiàn</v>
      </c>
      <c r="N458" s="13" t="str">
        <f>VLOOKUP(I458,CHOOSE({1,2},Table12[Native],Table12[Name]),2,0)</f>
        <v>Yùnchéng Shì</v>
      </c>
      <c r="O458" s="13" t="str">
        <f t="shared" si="14"/>
        <v>Huzhang Xiang (Yùnchéng Shì)</v>
      </c>
      <c r="P458" s="13" t="str">
        <f t="shared" si="15"/>
        <v>Huzhang Xiang (Yùnchéng Shì)</v>
      </c>
    </row>
    <row r="459" spans="1:16" hidden="1" x14ac:dyDescent="0.25">
      <c r="A459" t="s">
        <v>2685</v>
      </c>
      <c r="B459" t="str">
        <f>IF(COUNTIF(A:A,A459)&gt;1,_xlfn.CONCAT(A459," (",N459,")"),A459)</f>
        <v>Jiăcūn Xiāng</v>
      </c>
      <c r="C459" t="str">
        <f>IF(COUNTIF(B:B,B459)&gt;1,_xlfn.CONCAT(A459," (",M459,")"),B459)</f>
        <v>Jiăcūn Xiāng</v>
      </c>
      <c r="D459" t="s">
        <v>2686</v>
      </c>
      <c r="E459" t="s">
        <v>17</v>
      </c>
      <c r="F459" t="str">
        <f>_xlfn.CONCAT(D459,", ",H459,", ",I459,", ","山西省")</f>
        <v>贾村乡, 万荣县, 运城市, 山西省</v>
      </c>
      <c r="G459">
        <v>25094</v>
      </c>
      <c r="H459" t="s">
        <v>3010</v>
      </c>
      <c r="I459" t="s">
        <v>3003</v>
      </c>
      <c r="J459" t="e">
        <f>VLOOKUP(F459,[1]!china_towns_second__2[[Column1]:[Y]],3,FALSE)</f>
        <v>#N/A</v>
      </c>
      <c r="K459" t="e">
        <f>VLOOKUP(F459,[1]!china_towns_second__2[[Column1]:[Y]],2,FALSE)</f>
        <v>#N/A</v>
      </c>
      <c r="L459" t="s">
        <v>4035</v>
      </c>
      <c r="M459" t="str">
        <f>VLOOKUP(H459,CHOOSE({1,2},Table12[Native],Table12[Name]),2,0)</f>
        <v>Wànróng Xiàn</v>
      </c>
      <c r="N459" s="13" t="str">
        <f>VLOOKUP(I459,CHOOSE({1,2},Table12[Native],Table12[Name]),2,0)</f>
        <v>Yùnchéng Shì</v>
      </c>
      <c r="O459" s="13" t="str">
        <f t="shared" si="14"/>
        <v>Jiacun Xiang (Yùnchéng Shì)</v>
      </c>
      <c r="P459" s="13" t="str">
        <f t="shared" si="15"/>
        <v>Jiacun Xiang (Yùnchéng Shì)</v>
      </c>
    </row>
    <row r="460" spans="1:16" hidden="1" x14ac:dyDescent="0.25">
      <c r="A460" t="s">
        <v>1183</v>
      </c>
      <c r="B460" t="str">
        <f>IF(COUNTIF(A:A,A460)&gt;1,_xlfn.CONCAT(A460," (",N460,")"),A460)</f>
        <v>Jiădé Xiāng</v>
      </c>
      <c r="C460" t="str">
        <f>IF(COUNTIF(B:B,B460)&gt;1,_xlfn.CONCAT(A460," (",M460,")"),B460)</f>
        <v>Jiădé Xiāng</v>
      </c>
      <c r="D460" t="s">
        <v>1184</v>
      </c>
      <c r="E460" t="s">
        <v>17</v>
      </c>
      <c r="F460" t="str">
        <f>_xlfn.CONCAT(D460,", ",H460,", ",I460,", ","山西省")</f>
        <v>贾得乡, 尧都区, 临汾市, 山西省</v>
      </c>
      <c r="G460">
        <v>47737</v>
      </c>
      <c r="H460" t="s">
        <v>2942</v>
      </c>
      <c r="I460" t="s">
        <v>2927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4036</v>
      </c>
      <c r="M460" t="str">
        <f>VLOOKUP(H460,CHOOSE({1,2},Table12[Native],Table12[Name]),2,0)</f>
        <v>Yáodū Qū</v>
      </c>
      <c r="N460" s="13" t="str">
        <f>VLOOKUP(I460,CHOOSE({1,2},Table12[Native],Table12[Name]),2,0)</f>
        <v>Línfén Shì</v>
      </c>
      <c r="O460" s="13" t="str">
        <f t="shared" si="14"/>
        <v>Jiade Xiang (Línfén Shì)</v>
      </c>
      <c r="P460" s="13" t="str">
        <f t="shared" si="15"/>
        <v>Jiade Xiang (Línfén Shì)</v>
      </c>
    </row>
    <row r="461" spans="1:16" hidden="1" x14ac:dyDescent="0.25">
      <c r="A461" t="s">
        <v>411</v>
      </c>
      <c r="B461" t="str">
        <f>IF(COUNTIF(A:A,A461)&gt;1,_xlfn.CONCAT(A461," (",N461,")"),A461)</f>
        <v>Jiādòu Xiāng</v>
      </c>
      <c r="C461" t="str">
        <f>IF(COUNTIF(B:B,B461)&gt;1,_xlfn.CONCAT(A461," (",M461,")"),B461)</f>
        <v>Jiādòu Xiāng</v>
      </c>
      <c r="D461" t="s">
        <v>412</v>
      </c>
      <c r="E461" t="s">
        <v>17</v>
      </c>
      <c r="F461" t="str">
        <f>_xlfn.CONCAT(D461,", ",H461,", ",I461,", ","山西省")</f>
        <v>加斗乡, 广灵县, 大同市, 山西省</v>
      </c>
      <c r="G461">
        <v>16548</v>
      </c>
      <c r="H461" t="s">
        <v>2895</v>
      </c>
      <c r="I461" t="s">
        <v>2894</v>
      </c>
      <c r="J461" t="e">
        <f>VLOOKUP(F461,[1]!china_towns_second__2[[Column1]:[Y]],3,FALSE)</f>
        <v>#N/A</v>
      </c>
      <c r="K461" t="e">
        <f>VLOOKUP(F461,[1]!china_towns_second__2[[Column1]:[Y]],2,FALSE)</f>
        <v>#N/A</v>
      </c>
      <c r="L461" t="s">
        <v>4037</v>
      </c>
      <c r="M461" t="str">
        <f>VLOOKUP(H461,CHOOSE({1,2},Table12[Native],Table12[Name]),2,0)</f>
        <v>Guănglíng Xiàn</v>
      </c>
      <c r="N461" s="13" t="str">
        <f>VLOOKUP(I461,CHOOSE({1,2},Table12[Native],Table12[Name]),2,0)</f>
        <v>Dàtóng Shì</v>
      </c>
      <c r="O461" s="13" t="str">
        <f t="shared" si="14"/>
        <v>Jiadou Xiang (Dàtóng Shì)</v>
      </c>
      <c r="P461" s="13" t="str">
        <f t="shared" si="15"/>
        <v>Jiadou Xiang (Dàtóng Shì)</v>
      </c>
    </row>
    <row r="462" spans="1:16" hidden="1" x14ac:dyDescent="0.25">
      <c r="A462" t="s">
        <v>683</v>
      </c>
      <c r="B462" t="str">
        <f>IF(COUNTIF(A:A,A462)&gt;1,_xlfn.CONCAT(A462," (",N462,")"),A462)</f>
        <v>Jiāfēng Zhèn</v>
      </c>
      <c r="C462" t="str">
        <f>IF(COUNTIF(B:B,B462)&gt;1,_xlfn.CONCAT(A462," (",M462,")"),B462)</f>
        <v>Jiāfēng Zhèn</v>
      </c>
      <c r="D462" t="s">
        <v>684</v>
      </c>
      <c r="E462" t="s">
        <v>7</v>
      </c>
      <c r="F462" t="str">
        <f>_xlfn.CONCAT(D462,", ",H462,", ",I462,", ","山西省")</f>
        <v>嘉峰镇, 沁水县, 晋城市, 山西省</v>
      </c>
      <c r="G462">
        <v>38076</v>
      </c>
      <c r="H462" t="s">
        <v>2910</v>
      </c>
      <c r="I462" t="s">
        <v>2906</v>
      </c>
      <c r="J462">
        <f>VLOOKUP(F462,[1]!china_towns_second__2[[Column1]:[Y]],3,FALSE)</f>
        <v>35.607335230598999</v>
      </c>
      <c r="K462">
        <f>VLOOKUP(F462,[1]!china_towns_second__2[[Column1]:[Y]],2,FALSE)</f>
        <v>112.51156109999999</v>
      </c>
      <c r="L462" t="s">
        <v>4038</v>
      </c>
      <c r="M462" t="str">
        <f>VLOOKUP(H462,CHOOSE({1,2},Table12[Native],Table12[Name]),2,0)</f>
        <v>Qìnshuǐ Xiàn</v>
      </c>
      <c r="N462" s="13" t="str">
        <f>VLOOKUP(I462,CHOOSE({1,2},Table12[Native],Table12[Name]),2,0)</f>
        <v>Jìnchéng Shì</v>
      </c>
      <c r="O462" s="13" t="str">
        <f t="shared" si="14"/>
        <v>Jiafeng Zhen (Jìnchéng Shì)</v>
      </c>
      <c r="P462" s="13" t="str">
        <f t="shared" si="15"/>
        <v>Jiafeng Zhen (Jìnchéng Shì)</v>
      </c>
    </row>
    <row r="463" spans="1:16" hidden="1" x14ac:dyDescent="0.25">
      <c r="A463" t="s">
        <v>139</v>
      </c>
      <c r="B463" t="str">
        <f>IF(COUNTIF(A:A,A463)&gt;1,_xlfn.CONCAT(A463," (",N463,")"),A463)</f>
        <v>Jiăhuò Xiāng</v>
      </c>
      <c r="C463" t="str">
        <f>IF(COUNTIF(B:B,B463)&gt;1,_xlfn.CONCAT(A463," (",M463,")"),B463)</f>
        <v>Jiăhuò Xiāng</v>
      </c>
      <c r="D463" t="s">
        <v>140</v>
      </c>
      <c r="E463" t="s">
        <v>17</v>
      </c>
      <c r="F463" t="str">
        <f>_xlfn.CONCAT(D463,", ",H463,", ",I463,", ","山西省")</f>
        <v>贾豁乡, 武乡县, 长治市, 山西省</v>
      </c>
      <c r="G463">
        <v>5342</v>
      </c>
      <c r="H463" t="s">
        <v>2891</v>
      </c>
      <c r="I463" t="s">
        <v>2878</v>
      </c>
      <c r="J463" t="e">
        <f>VLOOKUP(F463,[1]!china_towns_second__2[[Column1]:[Y]],3,FALSE)</f>
        <v>#N/A</v>
      </c>
      <c r="K463" t="e">
        <f>VLOOKUP(F463,[1]!china_towns_second__2[[Column1]:[Y]],2,FALSE)</f>
        <v>#N/A</v>
      </c>
      <c r="L463" t="s">
        <v>4039</v>
      </c>
      <c r="M463" t="str">
        <f>VLOOKUP(H463,CHOOSE({1,2},Table12[Native],Table12[Name]),2,0)</f>
        <v>Wŭxiāng Xiàn</v>
      </c>
      <c r="N463" s="13" t="str">
        <f>VLOOKUP(I463,CHOOSE({1,2},Table12[Native],Table12[Name]),2,0)</f>
        <v>Chángzhì Shì</v>
      </c>
      <c r="O463" s="13" t="str">
        <f t="shared" si="14"/>
        <v>Jiahuo Xiang (Chángzhì Shì)</v>
      </c>
      <c r="P463" s="13" t="str">
        <f t="shared" si="15"/>
        <v>Jiahuo Xiang (Chángzhì Shì)</v>
      </c>
    </row>
    <row r="464" spans="1:16" hidden="1" x14ac:dyDescent="0.25">
      <c r="A464" t="s">
        <v>413</v>
      </c>
      <c r="B464" t="str">
        <f>IF(COUNTIF(A:A,A464)&gt;1,_xlfn.CONCAT(A464," (",N464,")"),A464)</f>
        <v>Jiăjiātún Xiāng</v>
      </c>
      <c r="C464" t="str">
        <f>IF(COUNTIF(B:B,B464)&gt;1,_xlfn.CONCAT(A464," (",M464,")"),B464)</f>
        <v>Jiăjiātún Xiāng</v>
      </c>
      <c r="D464" t="s">
        <v>414</v>
      </c>
      <c r="E464" t="s">
        <v>17</v>
      </c>
      <c r="F464" t="str">
        <f>_xlfn.CONCAT(D464,", ",H464,", ",I464,", ","山西省")</f>
        <v>贾家屯乡, 天镇县, 大同市, 山西省</v>
      </c>
      <c r="G464">
        <v>8768</v>
      </c>
      <c r="H464" t="s">
        <v>2899</v>
      </c>
      <c r="I464" t="s">
        <v>2894</v>
      </c>
      <c r="J464" t="e">
        <f>VLOOKUP(F464,[1]!china_towns_second__2[[Column1]:[Y]],3,FALSE)</f>
        <v>#N/A</v>
      </c>
      <c r="K464" t="e">
        <f>VLOOKUP(F464,[1]!china_towns_second__2[[Column1]:[Y]],2,FALSE)</f>
        <v>#N/A</v>
      </c>
      <c r="L464" t="s">
        <v>4040</v>
      </c>
      <c r="M464" t="str">
        <f>VLOOKUP(H464,CHOOSE({1,2},Table12[Native],Table12[Name]),2,0)</f>
        <v>Tiānzhèn Xiàn</v>
      </c>
      <c r="N464" s="13" t="str">
        <f>VLOOKUP(I464,CHOOSE({1,2},Table12[Native],Table12[Name]),2,0)</f>
        <v>Dàtóng Shì</v>
      </c>
      <c r="O464" s="13" t="str">
        <f t="shared" si="14"/>
        <v>Jiajiatun Xiang (Dàtóng Shì)</v>
      </c>
      <c r="P464" s="13" t="str">
        <f t="shared" si="15"/>
        <v>Jiajiatun Xiang (Dàtóng Shì)</v>
      </c>
    </row>
    <row r="465" spans="1:16" hidden="1" x14ac:dyDescent="0.25">
      <c r="A465" t="s">
        <v>1503</v>
      </c>
      <c r="B465" t="str">
        <f>IF(COUNTIF(A:A,A465)&gt;1,_xlfn.CONCAT(A465," (",N465,")"),A465)</f>
        <v>Jiăjiāyuán Xiāng</v>
      </c>
      <c r="C465" t="str">
        <f>IF(COUNTIF(B:B,B465)&gt;1,_xlfn.CONCAT(A465," (",M465,")"),B465)</f>
        <v>Jiăjiāyuán Xiāng</v>
      </c>
      <c r="D465" t="s">
        <v>1504</v>
      </c>
      <c r="E465" t="s">
        <v>17</v>
      </c>
      <c r="F465" t="str">
        <f>_xlfn.CONCAT(D465,", ",H465,", ",I465,", ","山西省")</f>
        <v>贾家垣乡, 柳林县, 吕梁市, 山西省</v>
      </c>
      <c r="G465">
        <v>7916</v>
      </c>
      <c r="H465" t="s">
        <v>2954</v>
      </c>
      <c r="I465" t="s">
        <v>2946</v>
      </c>
      <c r="J465" t="e">
        <f>VLOOKUP(F465,[1]!china_towns_second__2[[Column1]:[Y]],3,FALSE)</f>
        <v>#N/A</v>
      </c>
      <c r="K465" t="e">
        <f>VLOOKUP(F465,[1]!china_towns_second__2[[Column1]:[Y]],2,FALSE)</f>
        <v>#N/A</v>
      </c>
      <c r="L465" t="s">
        <v>4041</v>
      </c>
      <c r="M465" t="str">
        <f>VLOOKUP(H465,CHOOSE({1,2},Table12[Native],Table12[Name]),2,0)</f>
        <v>Liŭlín Xiàn</v>
      </c>
      <c r="N465" s="13" t="str">
        <f>VLOOKUP(I465,CHOOSE({1,2},Table12[Native],Table12[Name]),2,0)</f>
        <v>Lǚliáng Shì</v>
      </c>
      <c r="O465" s="13" t="str">
        <f t="shared" si="14"/>
        <v>Jiajiayuan Xiang (Lǚliáng Shì)</v>
      </c>
      <c r="P465" s="13" t="str">
        <f t="shared" si="15"/>
        <v>Jiajiayuan Xiang (Lǚliáng Shì)</v>
      </c>
    </row>
    <row r="466" spans="1:16" hidden="1" x14ac:dyDescent="0.25">
      <c r="A466" t="s">
        <v>1505</v>
      </c>
      <c r="B466" t="str">
        <f>IF(COUNTIF(A:A,A466)&gt;1,_xlfn.CONCAT(A466," (",N466,")"),A466)</f>
        <v>Jiăjiāzhuāng Zhèn</v>
      </c>
      <c r="C466" t="str">
        <f>IF(COUNTIF(B:B,B466)&gt;1,_xlfn.CONCAT(A466," (",M466,")"),B466)</f>
        <v>Jiăjiāzhuāng Zhèn</v>
      </c>
      <c r="D466" t="s">
        <v>1506</v>
      </c>
      <c r="E466" t="s">
        <v>7</v>
      </c>
      <c r="F466" t="str">
        <f>_xlfn.CONCAT(D466,", ",H466,", ",I466,", ","山西省")</f>
        <v>贾家庄镇, 汾阳市, 吕梁市, 山西省</v>
      </c>
      <c r="G466">
        <v>30070</v>
      </c>
      <c r="H466" t="s">
        <v>2948</v>
      </c>
      <c r="I466" t="s">
        <v>2946</v>
      </c>
      <c r="J466">
        <f>VLOOKUP(F466,[1]!china_towns_second__2[[Column1]:[Y]],3,FALSE)</f>
        <v>37.318716373954302</v>
      </c>
      <c r="K466">
        <f>VLOOKUP(F466,[1]!china_towns_second__2[[Column1]:[Y]],2,FALSE)</f>
        <v>111.8361182</v>
      </c>
      <c r="L466" t="s">
        <v>4042</v>
      </c>
      <c r="M466" t="str">
        <f>VLOOKUP(H466,CHOOSE({1,2},Table12[Native],Table12[Name]),2,0)</f>
        <v>Fényáng Shì</v>
      </c>
      <c r="N466" s="13" t="str">
        <f>VLOOKUP(I466,CHOOSE({1,2},Table12[Native],Table12[Name]),2,0)</f>
        <v>Lǚliáng Shì</v>
      </c>
      <c r="O466" s="13" t="str">
        <f t="shared" si="14"/>
        <v>Jiajiazhuang Zhen (Lǚliáng Shì)</v>
      </c>
      <c r="P466" s="13" t="str">
        <f t="shared" si="15"/>
        <v>Jiajiazhuang Zhen (Lǚliáng Shì)</v>
      </c>
    </row>
    <row r="467" spans="1:16" hidden="1" x14ac:dyDescent="0.25">
      <c r="A467" t="s">
        <v>1953</v>
      </c>
      <c r="B467" t="str">
        <f>IF(COUNTIF(A:A,A467)&gt;1,_xlfn.CONCAT(A467," (",N467,")"),A467)</f>
        <v>Jiālèquán Xiāng</v>
      </c>
      <c r="C467" t="str">
        <f>IF(COUNTIF(B:B,B467)&gt;1,_xlfn.CONCAT(A467," (",M467,")"),B467)</f>
        <v>Jiālèquán Xiāng</v>
      </c>
      <c r="D467" t="s">
        <v>1954</v>
      </c>
      <c r="E467" t="s">
        <v>17</v>
      </c>
      <c r="F467" t="str">
        <f>_xlfn.CONCAT(D467,", ",H467,", ",I467,", ","山西省")</f>
        <v>加乐泉乡, 古交市, 太原市, 山西省</v>
      </c>
      <c r="G467">
        <v>7159</v>
      </c>
      <c r="H467" t="s">
        <v>2970</v>
      </c>
      <c r="I467" t="s">
        <v>2969</v>
      </c>
      <c r="J467" t="e">
        <f>VLOOKUP(F467,[1]!china_towns_second__2[[Column1]:[Y]],3,FALSE)</f>
        <v>#N/A</v>
      </c>
      <c r="K467" t="e">
        <f>VLOOKUP(F467,[1]!china_towns_second__2[[Column1]:[Y]],2,FALSE)</f>
        <v>#N/A</v>
      </c>
      <c r="L467" t="s">
        <v>4043</v>
      </c>
      <c r="M467" t="str">
        <f>VLOOKUP(H467,CHOOSE({1,2},Table12[Native],Table12[Name]),2,0)</f>
        <v>Gŭjiāo Shì</v>
      </c>
      <c r="N467" s="13" t="str">
        <f>VLOOKUP(I467,CHOOSE({1,2},Table12[Native],Table12[Name]),2,0)</f>
        <v>Tàiyuán Shì</v>
      </c>
      <c r="O467" s="13" t="str">
        <f t="shared" si="14"/>
        <v>Jialequan Xiang (Tàiyuán Shì)</v>
      </c>
      <c r="P467" s="13" t="str">
        <f t="shared" si="15"/>
        <v>Jialequan Xiang (Tàiyuán Shì)</v>
      </c>
    </row>
    <row r="468" spans="1:16" hidden="1" x14ac:dyDescent="0.25">
      <c r="A468" t="s">
        <v>685</v>
      </c>
      <c r="B468" t="str">
        <f>IF(COUNTIF(A:A,A468)&gt;1,_xlfn.CONCAT(A468," (",N468,")"),A468)</f>
        <v>Jiàlĭng Xiāng</v>
      </c>
      <c r="C468" t="str">
        <f>IF(COUNTIF(B:B,B468)&gt;1,_xlfn.CONCAT(A468," (",M468,")"),B468)</f>
        <v>Jiàlĭng Xiāng</v>
      </c>
      <c r="D468" t="s">
        <v>686</v>
      </c>
      <c r="E468" t="s">
        <v>17</v>
      </c>
      <c r="F468" t="str">
        <f>_xlfn.CONCAT(D468,", ",H468,", ",I468,", ","山西省")</f>
        <v>驾岭乡, 阳城县, 晋城市, 山西省</v>
      </c>
      <c r="G468">
        <v>7743</v>
      </c>
      <c r="H468" t="s">
        <v>2911</v>
      </c>
      <c r="I468" t="s">
        <v>2906</v>
      </c>
      <c r="J468" t="e">
        <f>VLOOKUP(F468,[1]!china_towns_second__2[[Column1]:[Y]],3,FALSE)</f>
        <v>#N/A</v>
      </c>
      <c r="K468" t="e">
        <f>VLOOKUP(F468,[1]!china_towns_second__2[[Column1]:[Y]],2,FALSE)</f>
        <v>#N/A</v>
      </c>
      <c r="L468" t="s">
        <v>4044</v>
      </c>
      <c r="M468" t="str">
        <f>VLOOKUP(H468,CHOOSE({1,2},Table12[Native],Table12[Name]),2,0)</f>
        <v>Yángchéng Xiàn</v>
      </c>
      <c r="N468" s="13" t="str">
        <f>VLOOKUP(I468,CHOOSE({1,2},Table12[Native],Table12[Name]),2,0)</f>
        <v>Jìnchéng Shì</v>
      </c>
      <c r="O468" s="13" t="str">
        <f t="shared" si="14"/>
        <v>Jialing Xiang (Jìnchéng Shì)</v>
      </c>
      <c r="P468" s="13" t="str">
        <f t="shared" si="15"/>
        <v>Jialing Xiang (Jìnchéng Shì)</v>
      </c>
    </row>
    <row r="469" spans="1:16" hidden="1" x14ac:dyDescent="0.25">
      <c r="A469" t="s">
        <v>872</v>
      </c>
      <c r="B469" t="str">
        <f>IF(COUNTIF(A:A,A469)&gt;1,_xlfn.CONCAT(A469," (",N469,")"),A469)</f>
        <v>Jiălìng Zhèn</v>
      </c>
      <c r="C469" t="str">
        <f>IF(COUNTIF(B:B,B469)&gt;1,_xlfn.CONCAT(A469," (",M469,")"),B469)</f>
        <v>Jiălìng Zhèn</v>
      </c>
      <c r="D469" t="s">
        <v>873</v>
      </c>
      <c r="E469" t="s">
        <v>7</v>
      </c>
      <c r="F469" t="str">
        <f>_xlfn.CONCAT(D469,", ",H469,", ",I469,", ","山西省")</f>
        <v>贾令镇, 祁县, 晋中市, 山西省</v>
      </c>
      <c r="G469">
        <v>25942</v>
      </c>
      <c r="H469" t="s">
        <v>2919</v>
      </c>
      <c r="I469" t="s">
        <v>2914</v>
      </c>
      <c r="J469">
        <f>VLOOKUP(F469,[1]!china_towns_second__2[[Column1]:[Y]],3,FALSE)</f>
        <v>37.433307864219003</v>
      </c>
      <c r="K469">
        <f>VLOOKUP(F469,[1]!china_towns_second__2[[Column1]:[Y]],2,FALSE)</f>
        <v>112.3627657</v>
      </c>
      <c r="L469" t="s">
        <v>4045</v>
      </c>
      <c r="M469" t="str">
        <f>VLOOKUP(H469,CHOOSE({1,2},Table12[Native],Table12[Name]),2,0)</f>
        <v>Qí Xiàn</v>
      </c>
      <c r="N469" s="13" t="str">
        <f>VLOOKUP(I469,CHOOSE({1,2},Table12[Native],Table12[Name]),2,0)</f>
        <v>Jìnzhōng Shì</v>
      </c>
      <c r="O469" s="13" t="str">
        <f t="shared" si="14"/>
        <v>Jialing Zhen (Jìnzhōng Shì)</v>
      </c>
      <c r="P469" s="13" t="str">
        <f t="shared" si="15"/>
        <v>Jialing Zhen (Jìnzhōng Shì)</v>
      </c>
    </row>
    <row r="470" spans="1:16" hidden="1" x14ac:dyDescent="0.25">
      <c r="A470" t="s">
        <v>2238</v>
      </c>
      <c r="B470" t="str">
        <f>IF(COUNTIF(A:A,A470)&gt;1,_xlfn.CONCAT(A470," (",N470,")"),A470)</f>
        <v>Jiàn'ān Xiāng</v>
      </c>
      <c r="C470" t="str">
        <f>IF(COUNTIF(B:B,B470)&gt;1,_xlfn.CONCAT(A470," (",M470,")"),B470)</f>
        <v>Jiàn'ān Xiāng</v>
      </c>
      <c r="D470" t="s">
        <v>2239</v>
      </c>
      <c r="E470" t="s">
        <v>17</v>
      </c>
      <c r="F470" t="str">
        <f>_xlfn.CONCAT(D470,", ",H470,", ",I470,", ","山西省")</f>
        <v>建安乡, 五台县, 忻州市, 山西省</v>
      </c>
      <c r="G470">
        <v>13988</v>
      </c>
      <c r="H470" t="s">
        <v>2992</v>
      </c>
      <c r="I470" t="s">
        <v>2981</v>
      </c>
      <c r="J470" t="e">
        <f>VLOOKUP(F470,[1]!china_towns_second__2[[Column1]:[Y]],3,FALSE)</f>
        <v>#N/A</v>
      </c>
      <c r="K470" t="e">
        <f>VLOOKUP(F470,[1]!china_towns_second__2[[Column1]:[Y]],2,FALSE)</f>
        <v>#N/A</v>
      </c>
      <c r="L470" t="s">
        <v>4046</v>
      </c>
      <c r="M470" t="str">
        <f>VLOOKUP(H470,CHOOSE({1,2},Table12[Native],Table12[Name]),2,0)</f>
        <v>Wŭtái Xiàn</v>
      </c>
      <c r="N470" s="13" t="str">
        <f>VLOOKUP(I470,CHOOSE({1,2},Table12[Native],Table12[Name]),2,0)</f>
        <v>Xīnzhōu Shì</v>
      </c>
      <c r="O470" s="13" t="str">
        <f t="shared" si="14"/>
        <v>Jian'an Xiang (Xīnzhōu Shì)</v>
      </c>
      <c r="P470" s="13" t="str">
        <f t="shared" si="15"/>
        <v>Jian'an Xiang (Xīnzhōu Shì)</v>
      </c>
    </row>
    <row r="471" spans="1:16" hidden="1" x14ac:dyDescent="0.25">
      <c r="A471" t="s">
        <v>1955</v>
      </c>
      <c r="B471" t="str">
        <f>IF(COUNTIF(A:A,A471)&gt;1,_xlfn.CONCAT(A471," (",N471,")"),A471)</f>
        <v>Jiāncăopíng Jiēdào</v>
      </c>
      <c r="C471" t="str">
        <f>IF(COUNTIF(B:B,B471)&gt;1,_xlfn.CONCAT(A471," (",M471,")"),B471)</f>
        <v>Jiāncăopíng Jiēdào</v>
      </c>
      <c r="D471" t="s">
        <v>1956</v>
      </c>
      <c r="E471" t="s">
        <v>31</v>
      </c>
      <c r="F471" t="str">
        <f>_xlfn.CONCAT(D471,", ",H471,", ",I471,", ","山西省")</f>
        <v>尖草坪街道, 尖草坪区, 太原市, 山西省</v>
      </c>
      <c r="G471">
        <v>31678</v>
      </c>
      <c r="H471" t="s">
        <v>2971</v>
      </c>
      <c r="I471" t="s">
        <v>2969</v>
      </c>
      <c r="J471">
        <f>VLOOKUP(F471,[1]!china_towns_second__2[[Column1]:[Y]],3,FALSE)</f>
        <v>37.924369204882197</v>
      </c>
      <c r="K471">
        <f>VLOOKUP(F471,[1]!china_towns_second__2[[Column1]:[Y]],2,FALSE)</f>
        <v>112.54133419999999</v>
      </c>
      <c r="L471" t="s">
        <v>4047</v>
      </c>
      <c r="M471" t="str">
        <f>VLOOKUP(H471,CHOOSE({1,2},Table12[Native],Table12[Name]),2,0)</f>
        <v>Jiāncăopíng Qū</v>
      </c>
      <c r="N471" s="13" t="str">
        <f>VLOOKUP(I471,CHOOSE({1,2},Table12[Native],Table12[Name]),2,0)</f>
        <v>Tàiyuán Shì</v>
      </c>
      <c r="O471" s="13" t="str">
        <f t="shared" si="14"/>
        <v>Jiancaoping Jiedao (Tàiyuán Shì)</v>
      </c>
      <c r="P471" s="13" t="str">
        <f t="shared" si="15"/>
        <v>Jiancaoping Jiedao (Tàiyuán Shì)</v>
      </c>
    </row>
    <row r="472" spans="1:16" hidden="1" x14ac:dyDescent="0.25">
      <c r="A472" t="s">
        <v>2240</v>
      </c>
      <c r="B472" t="str">
        <f>IF(COUNTIF(A:A,A472)&gt;1,_xlfn.CONCAT(A472," (",N472,")"),A472)</f>
        <v>Jiăngcūn Xiāng</v>
      </c>
      <c r="C472" t="str">
        <f>IF(COUNTIF(B:B,B472)&gt;1,_xlfn.CONCAT(A472," (",M472,")"),B472)</f>
        <v>Jiăngcūn Xiāng</v>
      </c>
      <c r="D472" t="s">
        <v>2241</v>
      </c>
      <c r="E472" t="s">
        <v>17</v>
      </c>
      <c r="F472" t="str">
        <f>_xlfn.CONCAT(D472,", ",H472,", ",I472,", ","山西省")</f>
        <v>蒋村乡, 定襄县, 忻州市, 山西省</v>
      </c>
      <c r="G472">
        <v>15532</v>
      </c>
      <c r="H472" t="s">
        <v>2984</v>
      </c>
      <c r="I472" t="s">
        <v>2981</v>
      </c>
      <c r="J472" t="e">
        <f>VLOOKUP(F472,[1]!china_towns_second__2[[Column1]:[Y]],3,FALSE)</f>
        <v>#N/A</v>
      </c>
      <c r="K472" t="e">
        <f>VLOOKUP(F472,[1]!china_towns_second__2[[Column1]:[Y]],2,FALSE)</f>
        <v>#N/A</v>
      </c>
      <c r="L472" t="s">
        <v>4048</v>
      </c>
      <c r="M472" t="str">
        <f>VLOOKUP(H472,CHOOSE({1,2},Table12[Native],Table12[Name]),2,0)</f>
        <v>Dìngxiāng Xiàn</v>
      </c>
      <c r="N472" s="13" t="str">
        <f>VLOOKUP(I472,CHOOSE({1,2},Table12[Native],Table12[Name]),2,0)</f>
        <v>Xīnzhōu Shì</v>
      </c>
      <c r="O472" s="13" t="str">
        <f t="shared" si="14"/>
        <v>Jiangcun Xiang (Xīnzhōu Shì)</v>
      </c>
      <c r="P472" s="13" t="str">
        <f t="shared" si="15"/>
        <v>Jiangcun Xiang (Xīnzhōu Shì)</v>
      </c>
    </row>
    <row r="473" spans="1:16" hidden="1" x14ac:dyDescent="0.25">
      <c r="A473" t="s">
        <v>2242</v>
      </c>
      <c r="B473" t="str">
        <f>IF(COUNTIF(A:A,A473)&gt;1,_xlfn.CONCAT(A473," (",N473,")"),A473)</f>
        <v>Jiăngfāng Xiāng</v>
      </c>
      <c r="C473" t="str">
        <f>IF(COUNTIF(B:B,B473)&gt;1,_xlfn.CONCAT(A473," (",M473,")"),B473)</f>
        <v>Jiăngfāng Xiāng</v>
      </c>
      <c r="D473" t="s">
        <v>2243</v>
      </c>
      <c r="E473" t="s">
        <v>17</v>
      </c>
      <c r="F473" t="str">
        <f>_xlfn.CONCAT(D473,", ",H473,", ",I473,", ","山西省")</f>
        <v>蒋坊乡, 五台县, 忻州市, 山西省</v>
      </c>
      <c r="G473">
        <v>10421</v>
      </c>
      <c r="H473" t="s">
        <v>2992</v>
      </c>
      <c r="I473" t="s">
        <v>2981</v>
      </c>
      <c r="J473" t="e">
        <f>VLOOKUP(F473,[1]!china_towns_second__2[[Column1]:[Y]],3,FALSE)</f>
        <v>#N/A</v>
      </c>
      <c r="K473" t="e">
        <f>VLOOKUP(F473,[1]!china_towns_second__2[[Column1]:[Y]],2,FALSE)</f>
        <v>#N/A</v>
      </c>
      <c r="L473" t="s">
        <v>4049</v>
      </c>
      <c r="M473" t="str">
        <f>VLOOKUP(H473,CHOOSE({1,2},Table12[Native],Table12[Name]),2,0)</f>
        <v>Wŭtái Xiàn</v>
      </c>
      <c r="N473" s="13" t="str">
        <f>VLOOKUP(I473,CHOOSE({1,2},Table12[Native],Table12[Name]),2,0)</f>
        <v>Xīnzhōu Shì</v>
      </c>
      <c r="O473" s="13" t="str">
        <f t="shared" si="14"/>
        <v>Jiangfang Xiang (Xīnzhōu Shì)</v>
      </c>
      <c r="P473" s="13" t="str">
        <f t="shared" si="15"/>
        <v>Jiangfang Xiang (Xīnzhōu Shì)</v>
      </c>
    </row>
    <row r="474" spans="1:16" hidden="1" x14ac:dyDescent="0.25">
      <c r="A474" t="s">
        <v>415</v>
      </c>
      <c r="B474" t="str">
        <f>IF(COUNTIF(A:A,A474)&gt;1,_xlfn.CONCAT(A474," (",N474,")"),A474)</f>
        <v>Jiāngjiāwān Jiēdào</v>
      </c>
      <c r="C474" t="str">
        <f>IF(COUNTIF(B:B,B474)&gt;1,_xlfn.CONCAT(A474," (",M474,")"),B474)</f>
        <v>Jiāngjiāwān Jiēdào</v>
      </c>
      <c r="D474" t="s">
        <v>416</v>
      </c>
      <c r="E474" t="s">
        <v>31</v>
      </c>
      <c r="F474" t="str">
        <f>_xlfn.CONCAT(D474,", ",H474,", ",I474,", ","山西省")</f>
        <v>姜家湾街道, 云冈区, 大同市, 山西省</v>
      </c>
      <c r="G474">
        <v>21880</v>
      </c>
      <c r="H474" t="s">
        <v>2902</v>
      </c>
      <c r="I474" t="s">
        <v>2894</v>
      </c>
      <c r="J474" t="e">
        <f>VLOOKUP(F474,[1]!china_towns_second__2[[Column1]:[Y]],3,FALSE)</f>
        <v>#N/A</v>
      </c>
      <c r="K474" t="e">
        <f>VLOOKUP(F474,[1]!china_towns_second__2[[Column1]:[Y]],2,FALSE)</f>
        <v>#N/A</v>
      </c>
      <c r="L474" t="s">
        <v>4050</v>
      </c>
      <c r="M474" t="str">
        <f>VLOOKUP(H474,CHOOSE({1,2},Table12[Native],Table12[Name]),2,0)</f>
        <v>Yúngāng Qū</v>
      </c>
      <c r="N474" s="13" t="str">
        <f>VLOOKUP(I474,CHOOSE({1,2},Table12[Native],Table12[Name]),2,0)</f>
        <v>Dàtóng Shì</v>
      </c>
      <c r="O474" s="13" t="str">
        <f t="shared" si="14"/>
        <v>Jiangjiawan Jiedao (Dàtóng Shì)</v>
      </c>
      <c r="P474" s="13" t="str">
        <f t="shared" si="15"/>
        <v>Jiangjiawan Jiedao (Dàtóng Shì)</v>
      </c>
    </row>
    <row r="475" spans="1:16" hidden="1" x14ac:dyDescent="0.25">
      <c r="A475" t="s">
        <v>874</v>
      </c>
      <c r="B475" t="str">
        <f>IF(COUNTIF(A:A,A475)&gt;1,_xlfn.CONCAT(A475," (",N475,")"),A475)</f>
        <v>Jiăngtáng Xiāng</v>
      </c>
      <c r="C475" t="str">
        <f>IF(COUNTIF(B:B,B475)&gt;1,_xlfn.CONCAT(A475," (",M475,")"),B475)</f>
        <v>Jiăngtáng Xiāng</v>
      </c>
      <c r="D475" t="s">
        <v>875</v>
      </c>
      <c r="E475" t="s">
        <v>17</v>
      </c>
      <c r="F475" t="str">
        <f>_xlfn.CONCAT(D475,", ",H475,", ",I475,", ","山西省")</f>
        <v>讲堂乡, 榆社县, 晋中市, 山西省</v>
      </c>
      <c r="G475">
        <v>2701</v>
      </c>
      <c r="H475" t="s">
        <v>2924</v>
      </c>
      <c r="I475" t="s">
        <v>2914</v>
      </c>
      <c r="J475" t="e">
        <f>VLOOKUP(F475,[1]!china_towns_second__2[[Column1]:[Y]],3,FALSE)</f>
        <v>#N/A</v>
      </c>
      <c r="K475" t="e">
        <f>VLOOKUP(F475,[1]!china_towns_second__2[[Column1]:[Y]],2,FALSE)</f>
        <v>#N/A</v>
      </c>
      <c r="L475" t="s">
        <v>4051</v>
      </c>
      <c r="M475" t="str">
        <f>VLOOKUP(H475,CHOOSE({1,2},Table12[Native],Table12[Name]),2,0)</f>
        <v>Yúshè Xiàn</v>
      </c>
      <c r="N475" s="13" t="str">
        <f>VLOOKUP(I475,CHOOSE({1,2},Table12[Native],Table12[Name]),2,0)</f>
        <v>Jìnzhōng Shì</v>
      </c>
      <c r="O475" s="13" t="str">
        <f t="shared" si="14"/>
        <v>Jiangtang Xiang (Jìnzhōng Shì)</v>
      </c>
      <c r="P475" s="13" t="str">
        <f t="shared" si="15"/>
        <v>Jiangtang Xiang (Jìnzhōng Shì)</v>
      </c>
    </row>
    <row r="476" spans="1:16" hidden="1" x14ac:dyDescent="0.25">
      <c r="A476" t="s">
        <v>1957</v>
      </c>
      <c r="B476" t="str">
        <f>IF(COUNTIF(A:A,A476)&gt;1,_xlfn.CONCAT(A476," (",N476,")"),A476)</f>
        <v>Jiànhé Jiēdào</v>
      </c>
      <c r="C476" t="str">
        <f>IF(COUNTIF(B:B,B476)&gt;1,_xlfn.CONCAT(A476," (",M476,")"),B476)</f>
        <v>Jiànhé Jiēdào</v>
      </c>
      <c r="D476" t="s">
        <v>1958</v>
      </c>
      <c r="E476" t="s">
        <v>31</v>
      </c>
      <c r="F476" t="str">
        <f>_xlfn.CONCAT(D476,", ",H476,", ",I476,", ","山西省")</f>
        <v>涧河街道, 杏花岭区, 太原市, 山西省</v>
      </c>
      <c r="G476">
        <v>76187</v>
      </c>
      <c r="H476" t="s">
        <v>2977</v>
      </c>
      <c r="I476" t="s">
        <v>2969</v>
      </c>
      <c r="J476">
        <f>VLOOKUP(F476,[1]!china_towns_second__2[[Column1]:[Y]],3,FALSE)</f>
        <v>37.926516085369002</v>
      </c>
      <c r="K476">
        <f>VLOOKUP(F476,[1]!china_towns_second__2[[Column1]:[Y]],2,FALSE)</f>
        <v>112.5732634</v>
      </c>
      <c r="L476" t="s">
        <v>4052</v>
      </c>
      <c r="M476" t="str">
        <f>VLOOKUP(H476,CHOOSE({1,2},Table12[Native],Table12[Name]),2,0)</f>
        <v>Xìnghuālĭng Qū</v>
      </c>
      <c r="N476" s="13" t="str">
        <f>VLOOKUP(I476,CHOOSE({1,2},Table12[Native],Table12[Name]),2,0)</f>
        <v>Tàiyuán Shì</v>
      </c>
      <c r="O476" s="13" t="str">
        <f t="shared" si="14"/>
        <v>Jianhe Jiedao (Tàiyuán Shì)</v>
      </c>
      <c r="P476" s="13" t="str">
        <f t="shared" si="15"/>
        <v>Jianhe Jiedao (Tàiyuán Shì)</v>
      </c>
    </row>
    <row r="477" spans="1:16" hidden="1" x14ac:dyDescent="0.25">
      <c r="A477" t="s">
        <v>687</v>
      </c>
      <c r="B477" t="str">
        <f>IF(COUNTIF(A:A,A477)&gt;1,_xlfn.CONCAT(A477," (",N477,")"),A477)</f>
        <v>Jiànníng Xiāng</v>
      </c>
      <c r="C477" t="str">
        <f>IF(COUNTIF(B:B,B477)&gt;1,_xlfn.CONCAT(A477," (",M477,")"),B477)</f>
        <v>Jiànníng Xiāng</v>
      </c>
      <c r="D477" t="s">
        <v>688</v>
      </c>
      <c r="E477" t="s">
        <v>17</v>
      </c>
      <c r="F477" t="str">
        <f>_xlfn.CONCAT(D477,", ",H477,", ",I477,", ","山西省")</f>
        <v>建宁乡, 高平市, 晋城市, 山西省</v>
      </c>
      <c r="G477">
        <v>17778</v>
      </c>
      <c r="H477" t="s">
        <v>2908</v>
      </c>
      <c r="I477" t="s">
        <v>2906</v>
      </c>
      <c r="J477" t="e">
        <f>VLOOKUP(F477,[1]!china_towns_second__2[[Column1]:[Y]],3,FALSE)</f>
        <v>#N/A</v>
      </c>
      <c r="K477" t="e">
        <f>VLOOKUP(F477,[1]!china_towns_second__2[[Column1]:[Y]],2,FALSE)</f>
        <v>#N/A</v>
      </c>
      <c r="L477" t="s">
        <v>4053</v>
      </c>
      <c r="M477" t="str">
        <f>VLOOKUP(H477,CHOOSE({1,2},Table12[Native],Table12[Name]),2,0)</f>
        <v>Gāopíng Shì</v>
      </c>
      <c r="N477" s="13" t="str">
        <f>VLOOKUP(I477,CHOOSE({1,2},Table12[Native],Table12[Name]),2,0)</f>
        <v>Jìnchéng Shì</v>
      </c>
      <c r="O477" s="13" t="str">
        <f t="shared" si="14"/>
        <v>Jianning Xiang (Jìnchéng Shì)</v>
      </c>
      <c r="P477" s="13" t="str">
        <f t="shared" si="15"/>
        <v>Jianning Xiang (Jìnchéng Shì)</v>
      </c>
    </row>
    <row r="478" spans="1:16" hidden="1" x14ac:dyDescent="0.25">
      <c r="A478" t="s">
        <v>141</v>
      </c>
      <c r="B478" t="str">
        <f>IF(COUNTIF(A:A,A478)&gt;1,_xlfn.CONCAT(A478," (",N478,")"),A478)</f>
        <v>Jiānzhāng Zhèn</v>
      </c>
      <c r="C478" t="str">
        <f>IF(COUNTIF(B:B,B478)&gt;1,_xlfn.CONCAT(A478," (",M478,")"),B478)</f>
        <v>Jiānzhāng Zhèn</v>
      </c>
      <c r="D478" t="s">
        <v>142</v>
      </c>
      <c r="E478" t="s">
        <v>7</v>
      </c>
      <c r="F478" t="str">
        <f>_xlfn.CONCAT(D478,", ",H478,", ",I478,", ","山西省")</f>
        <v>监漳镇, 武乡县, 长治市, 山西省</v>
      </c>
      <c r="G478">
        <v>8683</v>
      </c>
      <c r="H478" t="s">
        <v>2891</v>
      </c>
      <c r="I478" t="s">
        <v>2878</v>
      </c>
      <c r="J478">
        <f>VLOOKUP(F478,[1]!china_towns_second__2[[Column1]:[Y]],3,FALSE)</f>
        <v>36.753485596478598</v>
      </c>
      <c r="K478">
        <f>VLOOKUP(F478,[1]!china_towns_second__2[[Column1]:[Y]],2,FALSE)</f>
        <v>113.0160561</v>
      </c>
      <c r="L478" t="s">
        <v>4054</v>
      </c>
      <c r="M478" t="str">
        <f>VLOOKUP(H478,CHOOSE({1,2},Table12[Native],Table12[Name]),2,0)</f>
        <v>Wŭxiāng Xiàn</v>
      </c>
      <c r="N478" s="13" t="str">
        <f>VLOOKUP(I478,CHOOSE({1,2},Table12[Native],Table12[Name]),2,0)</f>
        <v>Chángzhì Shì</v>
      </c>
      <c r="O478" s="13" t="str">
        <f t="shared" si="14"/>
        <v>Jianzhang Zhen (Chángzhì Shì)</v>
      </c>
      <c r="P478" s="13" t="str">
        <f t="shared" si="15"/>
        <v>Jianzhang Zhen (Chángzhì Shì)</v>
      </c>
    </row>
    <row r="479" spans="1:16" hidden="1" x14ac:dyDescent="0.25">
      <c r="A479" t="s">
        <v>2687</v>
      </c>
      <c r="B479" t="str">
        <f>IF(COUNTIF(A:A,A479)&gt;1,_xlfn.CONCAT(A479," (",N479,")"),A479)</f>
        <v>Jiăobēi Xiāng</v>
      </c>
      <c r="C479" t="str">
        <f>IF(COUNTIF(B:B,B479)&gt;1,_xlfn.CONCAT(A479," (",M479,")"),B479)</f>
        <v>Jiăobēi Xiāng</v>
      </c>
      <c r="D479" t="s">
        <v>2688</v>
      </c>
      <c r="E479" t="s">
        <v>17</v>
      </c>
      <c r="F479" t="str">
        <f>_xlfn.CONCAT(D479,", ",H479,", ",I479,", ","山西省")</f>
        <v>角杯乡, 临猗县, 运城市, 山西省</v>
      </c>
      <c r="G479">
        <v>40263</v>
      </c>
      <c r="H479" t="s">
        <v>3007</v>
      </c>
      <c r="I479" t="s">
        <v>3003</v>
      </c>
      <c r="J479" t="e">
        <f>VLOOKUP(F479,[1]!china_towns_second__2[[Column1]:[Y]],3,FALSE)</f>
        <v>#N/A</v>
      </c>
      <c r="K479" t="e">
        <f>VLOOKUP(F479,[1]!china_towns_second__2[[Column1]:[Y]],2,FALSE)</f>
        <v>#N/A</v>
      </c>
      <c r="L479" t="s">
        <v>4055</v>
      </c>
      <c r="M479" t="str">
        <f>VLOOKUP(H479,CHOOSE({1,2},Table12[Native],Table12[Name]),2,0)</f>
        <v>Línyī Xiàn</v>
      </c>
      <c r="N479" s="13" t="str">
        <f>VLOOKUP(I479,CHOOSE({1,2},Table12[Native],Table12[Name]),2,0)</f>
        <v>Yùnchéng Shì</v>
      </c>
      <c r="O479" s="13" t="str">
        <f t="shared" si="14"/>
        <v>Jiaobei Xiang (Yùnchéng Shì)</v>
      </c>
      <c r="P479" s="13" t="str">
        <f t="shared" si="15"/>
        <v>Jiaobei Xiang (Yùnchéng Shì)</v>
      </c>
    </row>
    <row r="480" spans="1:16" hidden="1" x14ac:dyDescent="0.25">
      <c r="A480" t="s">
        <v>1185</v>
      </c>
      <c r="B480" t="str">
        <f>IF(COUNTIF(A:A,A480)&gt;1,_xlfn.CONCAT(A480," (",N480,")"),A480)</f>
        <v>Jiāodĭ Xiāng</v>
      </c>
      <c r="C480" t="str">
        <f>IF(COUNTIF(B:B,B480)&gt;1,_xlfn.CONCAT(A480," (",M480,")"),B480)</f>
        <v>Jiāodĭ Xiāng</v>
      </c>
      <c r="D480" t="s">
        <v>1186</v>
      </c>
      <c r="E480" t="s">
        <v>17</v>
      </c>
      <c r="F480" t="str">
        <f>_xlfn.CONCAT(D480,", ",H480,", ",I480,", ","山西省")</f>
        <v>浇底乡, 翼城县, 临汾市, 山西省</v>
      </c>
      <c r="G480">
        <v>6098</v>
      </c>
      <c r="H480" t="s">
        <v>2943</v>
      </c>
      <c r="I480" t="s">
        <v>2927</v>
      </c>
      <c r="J480" t="e">
        <f>VLOOKUP(F480,[1]!china_towns_second__2[[Column1]:[Y]],3,FALSE)</f>
        <v>#N/A</v>
      </c>
      <c r="K480" t="e">
        <f>VLOOKUP(F480,[1]!china_towns_second__2[[Column1]:[Y]],2,FALSE)</f>
        <v>#N/A</v>
      </c>
      <c r="L480" t="s">
        <v>4056</v>
      </c>
      <c r="M480" t="str">
        <f>VLOOKUP(H480,CHOOSE({1,2},Table12[Native],Table12[Name]),2,0)</f>
        <v>Yìchéng Xiàn</v>
      </c>
      <c r="N480" s="13" t="str">
        <f>VLOOKUP(I480,CHOOSE({1,2},Table12[Native],Table12[Name]),2,0)</f>
        <v>Línfén Shì</v>
      </c>
      <c r="O480" s="13" t="str">
        <f t="shared" si="14"/>
        <v>Jiaodi Xiang (Línfén Shì)</v>
      </c>
      <c r="P480" s="13" t="str">
        <f t="shared" si="15"/>
        <v>Jiaodi Xiang (Línfén Shì)</v>
      </c>
    </row>
    <row r="481" spans="1:16" hidden="1" x14ac:dyDescent="0.25">
      <c r="A481" t="s">
        <v>1508</v>
      </c>
      <c r="B481" t="str">
        <f>IF(COUNTIF(A:A,A481)&gt;1,_xlfn.CONCAT(A481," (",N481,")"),A481)</f>
        <v>Jiāokŏu Jiēdào</v>
      </c>
      <c r="C481" t="str">
        <f>IF(COUNTIF(B:B,B481)&gt;1,_xlfn.CONCAT(A481," (",M481,")"),B481)</f>
        <v>Jiāokŏu Jiēdào</v>
      </c>
      <c r="D481" t="s">
        <v>1509</v>
      </c>
      <c r="E481" t="s">
        <v>31</v>
      </c>
      <c r="F481" t="str">
        <f>_xlfn.CONCAT(D481,", ",H481,", ",I481,", ","山西省")</f>
        <v>交口街道, 离石区, 吕梁市, 山西省</v>
      </c>
      <c r="G481">
        <v>19637</v>
      </c>
      <c r="H481" t="s">
        <v>2953</v>
      </c>
      <c r="I481" t="s">
        <v>2946</v>
      </c>
      <c r="J481">
        <f>VLOOKUP(F481,[1]!china_towns_second__2[[Column1]:[Y]],3,FALSE)</f>
        <v>37.514291681780101</v>
      </c>
      <c r="K481">
        <f>VLOOKUP(F481,[1]!china_towns_second__2[[Column1]:[Y]],2,FALSE)</f>
        <v>111.07505759999999</v>
      </c>
      <c r="L481" t="s">
        <v>4057</v>
      </c>
      <c r="M481" t="str">
        <f>VLOOKUP(H481,CHOOSE({1,2},Table12[Native],Table12[Name]),2,0)</f>
        <v>Líshí Qū</v>
      </c>
      <c r="N481" s="13" t="str">
        <f>VLOOKUP(I481,CHOOSE({1,2},Table12[Native],Table12[Name]),2,0)</f>
        <v>Lǚliáng Shì</v>
      </c>
      <c r="O481" s="13" t="str">
        <f t="shared" si="14"/>
        <v>Jiaokou Jiedao (Lǚliáng Shì)</v>
      </c>
      <c r="P481" s="13" t="str">
        <f t="shared" si="15"/>
        <v>Jiaokou Jiedao (Lǚliáng Shì)</v>
      </c>
    </row>
    <row r="482" spans="1:16" hidden="1" x14ac:dyDescent="0.25">
      <c r="A482" t="s">
        <v>143</v>
      </c>
      <c r="B482" t="str">
        <f>IF(COUNTIF(A:A,A482)&gt;1,_xlfn.CONCAT(A482," (",N482,")"),A482)</f>
        <v>Jiāokŏu Xiāng (Chángzhì Shì)</v>
      </c>
      <c r="C482" t="str">
        <f>IF(COUNTIF(B:B,B482)&gt;1,_xlfn.CONCAT(A482," (",M482,")"),B482)</f>
        <v>Jiāokŏu Xiāng (Chángzhì Shì)</v>
      </c>
      <c r="D482" t="s">
        <v>144</v>
      </c>
      <c r="E482" t="s">
        <v>17</v>
      </c>
      <c r="F482" t="str">
        <f>_xlfn.CONCAT(D482,", ",H482,", ",I482,", ","山西省")</f>
        <v>交口乡, 沁源县, 长治市, 山西省</v>
      </c>
      <c r="G482">
        <v>7761</v>
      </c>
      <c r="H482" t="s">
        <v>2888</v>
      </c>
      <c r="I482" t="s">
        <v>2878</v>
      </c>
      <c r="J482" t="e">
        <f>VLOOKUP(F482,[1]!china_towns_second__2[[Column1]:[Y]],3,FALSE)</f>
        <v>#N/A</v>
      </c>
      <c r="K482" t="e">
        <f>VLOOKUP(F482,[1]!china_towns_second__2[[Column1]:[Y]],2,FALSE)</f>
        <v>#N/A</v>
      </c>
      <c r="L482" t="s">
        <v>4058</v>
      </c>
      <c r="M482" t="str">
        <f>VLOOKUP(H482,CHOOSE({1,2},Table12[Native],Table12[Name]),2,0)</f>
        <v>Qìnyuán Xiàn</v>
      </c>
      <c r="N482" s="13" t="str">
        <f>VLOOKUP(I482,CHOOSE({1,2},Table12[Native],Table12[Name]),2,0)</f>
        <v>Chángzhì Shì</v>
      </c>
      <c r="O482" s="13" t="str">
        <f t="shared" si="14"/>
        <v>Jiaokou Xiang (Changzhi Shi) (Chángzhì Shì)</v>
      </c>
      <c r="P482" s="13" t="str">
        <f t="shared" si="15"/>
        <v>Jiaokou Xiang (Changzhi Shi) (Chángzhì Shì)</v>
      </c>
    </row>
    <row r="483" spans="1:16" hidden="1" x14ac:dyDescent="0.25">
      <c r="A483" t="s">
        <v>143</v>
      </c>
      <c r="B483" t="str">
        <f>IF(COUNTIF(A:A,A483)&gt;1,_xlfn.CONCAT(A483," (",N483,")"),A483)</f>
        <v>Jiāokŏu Xiāng (Jìnzhōng Shì)</v>
      </c>
      <c r="C483" t="str">
        <f>IF(COUNTIF(B:B,B483)&gt;1,_xlfn.CONCAT(A483," (",M483,")"),B483)</f>
        <v>Jiāokŏu Xiāng (Jìnzhōng Shì)</v>
      </c>
      <c r="D483" t="s">
        <v>144</v>
      </c>
      <c r="E483" t="s">
        <v>17</v>
      </c>
      <c r="F483" t="str">
        <f>_xlfn.CONCAT(D483,", ",H483,", ",I483,", ","山西省")</f>
        <v>交口乡, 灵石县, 晋中市, 山西省</v>
      </c>
      <c r="G483">
        <v>9399</v>
      </c>
      <c r="H483" t="s">
        <v>2917</v>
      </c>
      <c r="I483" t="s">
        <v>2914</v>
      </c>
      <c r="J483" t="e">
        <f>VLOOKUP(F483,[1]!china_towns_second__2[[Column1]:[Y]],3,FALSE)</f>
        <v>#N/A</v>
      </c>
      <c r="K483" t="e">
        <f>VLOOKUP(F483,[1]!china_towns_second__2[[Column1]:[Y]],2,FALSE)</f>
        <v>#N/A</v>
      </c>
      <c r="L483" t="s">
        <v>4059</v>
      </c>
      <c r="M483" t="str">
        <f>VLOOKUP(H483,CHOOSE({1,2},Table12[Native],Table12[Name]),2,0)</f>
        <v>Língshí Xiàn</v>
      </c>
      <c r="N483" s="13" t="str">
        <f>VLOOKUP(I483,CHOOSE({1,2},Table12[Native],Table12[Name]),2,0)</f>
        <v>Jìnzhōng Shì</v>
      </c>
      <c r="O483" s="13" t="str">
        <f t="shared" si="14"/>
        <v>Jiaokou Xiang (Jinzhong Shi) (Jìnzhōng Shì)</v>
      </c>
      <c r="P483" s="13" t="str">
        <f t="shared" si="15"/>
        <v>Jiaokou Xiang (Jinzhong Shi) (Jìnzhōng Shì)</v>
      </c>
    </row>
    <row r="484" spans="1:16" hidden="1" x14ac:dyDescent="0.25">
      <c r="A484" t="s">
        <v>143</v>
      </c>
      <c r="B484" t="str">
        <f>IF(COUNTIF(A:A,A484)&gt;1,_xlfn.CONCAT(A484," (",N484,")"),A484)</f>
        <v>Jiāokŏu Xiāng (Línfén Shì)</v>
      </c>
      <c r="C484" t="str">
        <f>IF(COUNTIF(B:B,B484)&gt;1,_xlfn.CONCAT(A484," (",M484,")"),B484)</f>
        <v>Jiāokŏu Xiāng (Línfén Shì)</v>
      </c>
      <c r="D484" t="s">
        <v>144</v>
      </c>
      <c r="E484" t="s">
        <v>17</v>
      </c>
      <c r="F484" t="str">
        <f>_xlfn.CONCAT(D484,", ",H484,", ",I484,", ","山西省")</f>
        <v>交口乡, 永和县, 临汾市, 山西省</v>
      </c>
      <c r="G484">
        <v>6280</v>
      </c>
      <c r="H484" t="s">
        <v>2944</v>
      </c>
      <c r="I484" t="s">
        <v>2927</v>
      </c>
      <c r="J484" t="e">
        <f>VLOOKUP(F484,[1]!china_towns_second__2[[Column1]:[Y]],3,FALSE)</f>
        <v>#N/A</v>
      </c>
      <c r="K484" t="e">
        <f>VLOOKUP(F484,[1]!china_towns_second__2[[Column1]:[Y]],2,FALSE)</f>
        <v>#N/A</v>
      </c>
      <c r="L484" t="s">
        <v>4060</v>
      </c>
      <c r="M484" t="str">
        <f>VLOOKUP(H484,CHOOSE({1,2},Table12[Native],Table12[Name]),2,0)</f>
        <v>Yŏnghé Xiàn</v>
      </c>
      <c r="N484" s="13" t="str">
        <f>VLOOKUP(I484,CHOOSE({1,2},Table12[Native],Table12[Name]),2,0)</f>
        <v>Línfén Shì</v>
      </c>
      <c r="O484" s="13" t="str">
        <f t="shared" si="14"/>
        <v>Jiaokou Xiang (Linfen Shi) (Línfén Shì)</v>
      </c>
      <c r="P484" s="13" t="str">
        <f t="shared" si="15"/>
        <v>Jiaokou Xiang (Linfen Shi) (Línfén Shì)</v>
      </c>
    </row>
    <row r="485" spans="1:16" hidden="1" x14ac:dyDescent="0.25">
      <c r="A485" t="s">
        <v>1510</v>
      </c>
      <c r="B485" t="str">
        <f>IF(COUNTIF(A:A,A485)&gt;1,_xlfn.CONCAT(A485," (",N485,")"),A485)</f>
        <v>Jiāolóushēn Xiāng</v>
      </c>
      <c r="C485" t="str">
        <f>IF(COUNTIF(B:B,B485)&gt;1,_xlfn.CONCAT(A485," (",M485,")"),B485)</f>
        <v>Jiāolóushēn Xiāng</v>
      </c>
      <c r="D485" t="s">
        <v>1511</v>
      </c>
      <c r="E485" t="s">
        <v>17</v>
      </c>
      <c r="F485" t="str">
        <f>_xlfn.CONCAT(D485,", ",H485,", ",I485,", ","山西省")</f>
        <v>交楼申乡, 兴县, 吕梁市, 山西省</v>
      </c>
      <c r="G485">
        <v>7775</v>
      </c>
      <c r="H485" t="s">
        <v>2958</v>
      </c>
      <c r="I485" t="s">
        <v>2946</v>
      </c>
      <c r="J485" t="e">
        <f>VLOOKUP(F485,[1]!china_towns_second__2[[Column1]:[Y]],3,FALSE)</f>
        <v>#N/A</v>
      </c>
      <c r="K485" t="e">
        <f>VLOOKUP(F485,[1]!china_towns_second__2[[Column1]:[Y]],2,FALSE)</f>
        <v>#N/A</v>
      </c>
      <c r="L485" t="s">
        <v>4061</v>
      </c>
      <c r="M485" t="str">
        <f>VLOOKUP(H485,CHOOSE({1,2},Table12[Native],Table12[Name]),2,0)</f>
        <v>Xīng Xiàn</v>
      </c>
      <c r="N485" s="13" t="str">
        <f>VLOOKUP(I485,CHOOSE({1,2},Table12[Native],Table12[Name]),2,0)</f>
        <v>Lǚliáng Shì</v>
      </c>
      <c r="O485" s="13" t="str">
        <f t="shared" si="14"/>
        <v>Jiaoloushen Xiang (Lǚliáng Shì)</v>
      </c>
      <c r="P485" s="13" t="str">
        <f t="shared" si="15"/>
        <v>Jiaoloushen Xiang (Lǚliáng Shì)</v>
      </c>
    </row>
    <row r="486" spans="1:16" hidden="1" x14ac:dyDescent="0.25">
      <c r="A486" t="s">
        <v>417</v>
      </c>
      <c r="B486" t="str">
        <f>IF(COUNTIF(A:A,A486)&gt;1,_xlfn.CONCAT(A486," (",N486,")"),A486)</f>
        <v>Jiāoshān Xiāng</v>
      </c>
      <c r="C486" t="str">
        <f>IF(COUNTIF(B:B,B486)&gt;1,_xlfn.CONCAT(A486," (",M486,")"),B486)</f>
        <v>Jiāoshān Xiāng</v>
      </c>
      <c r="D486" t="s">
        <v>418</v>
      </c>
      <c r="E486" t="s">
        <v>17</v>
      </c>
      <c r="F486" t="str">
        <f>_xlfn.CONCAT(D486,", ",H486,", ",I486,", ","山西省")</f>
        <v>蕉山乡, 广灵县, 大同市, 山西省</v>
      </c>
      <c r="G486">
        <v>16999</v>
      </c>
      <c r="H486" t="s">
        <v>2895</v>
      </c>
      <c r="I486" t="s">
        <v>2894</v>
      </c>
      <c r="J486" t="e">
        <f>VLOOKUP(F486,[1]!china_towns_second__2[[Column1]:[Y]],3,FALSE)</f>
        <v>#N/A</v>
      </c>
      <c r="K486" t="e">
        <f>VLOOKUP(F486,[1]!china_towns_second__2[[Column1]:[Y]],2,FALSE)</f>
        <v>#N/A</v>
      </c>
      <c r="L486" t="s">
        <v>4062</v>
      </c>
      <c r="M486" t="str">
        <f>VLOOKUP(H486,CHOOSE({1,2},Table12[Native],Table12[Name]),2,0)</f>
        <v>Guănglíng Xiàn</v>
      </c>
      <c r="N486" s="13" t="str">
        <f>VLOOKUP(I486,CHOOSE({1,2},Table12[Native],Table12[Name]),2,0)</f>
        <v>Dàtóng Shì</v>
      </c>
      <c r="O486" s="13" t="str">
        <f t="shared" si="14"/>
        <v>Jiaoshan Xiang (Dàtóng Shì)</v>
      </c>
      <c r="P486" s="13" t="str">
        <f t="shared" si="15"/>
        <v>Jiaoshan Xiang (Dàtóng Shì)</v>
      </c>
    </row>
    <row r="487" spans="1:16" hidden="1" x14ac:dyDescent="0.25">
      <c r="A487" t="s">
        <v>145</v>
      </c>
      <c r="B487" t="str">
        <f>IF(COUNTIF(A:A,A487)&gt;1,_xlfn.CONCAT(A487," (",N487,")"),A487)</f>
        <v>Jiăzhăng Zhèn</v>
      </c>
      <c r="C487" t="str">
        <f>IF(COUNTIF(B:B,B487)&gt;1,_xlfn.CONCAT(A487," (",M487,")"),B487)</f>
        <v>Jiăzhăng Zhèn</v>
      </c>
      <c r="D487" t="s">
        <v>146</v>
      </c>
      <c r="E487" t="s">
        <v>7</v>
      </c>
      <c r="F487" t="str">
        <f>_xlfn.CONCAT(D487,", ",H487,", ",I487,", ","山西省")</f>
        <v>贾掌镇, 上党区, 长治市, 山西省</v>
      </c>
      <c r="G487">
        <v>15489</v>
      </c>
      <c r="H487" t="s">
        <v>2889</v>
      </c>
      <c r="I487" t="s">
        <v>2878</v>
      </c>
      <c r="J487">
        <f>VLOOKUP(F487,[1]!china_towns_second__2[[Column1]:[Y]],3,FALSE)</f>
        <v>36.105953856311999</v>
      </c>
      <c r="K487">
        <f>VLOOKUP(F487,[1]!china_towns_second__2[[Column1]:[Y]],2,FALSE)</f>
        <v>113.1495257</v>
      </c>
      <c r="L487" t="s">
        <v>4063</v>
      </c>
      <c r="M487" t="str">
        <f>VLOOKUP(H487,CHOOSE({1,2},Table12[Native],Table12[Name]),2,0)</f>
        <v>Shàngdăng Qū</v>
      </c>
      <c r="N487" s="13" t="str">
        <f>VLOOKUP(I487,CHOOSE({1,2},Table12[Native],Table12[Name]),2,0)</f>
        <v>Chángzhì Shì</v>
      </c>
      <c r="O487" s="13" t="str">
        <f t="shared" si="14"/>
        <v>Jiazhang Zhen (Chángzhì Shì)</v>
      </c>
      <c r="P487" s="13" t="str">
        <f t="shared" si="15"/>
        <v>Jiazhang Zhen (Chángzhì Shì)</v>
      </c>
    </row>
    <row r="488" spans="1:16" hidden="1" x14ac:dyDescent="0.25">
      <c r="A488" t="s">
        <v>1780</v>
      </c>
      <c r="B488" t="str">
        <f>IF(COUNTIF(A:A,A488)&gt;1,_xlfn.CONCAT(A488," (",N488,")"),A488)</f>
        <v>Jiăzhuāng Xiāng</v>
      </c>
      <c r="C488" t="str">
        <f>IF(COUNTIF(B:B,B488)&gt;1,_xlfn.CONCAT(A488," (",M488,")"),B488)</f>
        <v>Jiăzhuāng Xiāng</v>
      </c>
      <c r="D488" t="s">
        <v>1781</v>
      </c>
      <c r="E488" t="s">
        <v>17</v>
      </c>
      <c r="F488" t="str">
        <f>_xlfn.CONCAT(D488,", ",H488,", ",I488,", ","山西省")</f>
        <v>贾庄乡, 朔城区, 朔州市, 山西省</v>
      </c>
      <c r="G488">
        <v>14283</v>
      </c>
      <c r="H488" t="s">
        <v>2965</v>
      </c>
      <c r="I488" t="s">
        <v>2961</v>
      </c>
      <c r="J488" t="e">
        <f>VLOOKUP(F488,[1]!china_towns_second__2[[Column1]:[Y]],3,FALSE)</f>
        <v>#N/A</v>
      </c>
      <c r="K488" t="e">
        <f>VLOOKUP(F488,[1]!china_towns_second__2[[Column1]:[Y]],2,FALSE)</f>
        <v>#N/A</v>
      </c>
      <c r="L488" t="s">
        <v>4064</v>
      </c>
      <c r="M488" t="str">
        <f>VLOOKUP(H488,CHOOSE({1,2},Table12[Native],Table12[Name]),2,0)</f>
        <v>Shuòchéng Qū</v>
      </c>
      <c r="N488" s="13" t="str">
        <f>VLOOKUP(I488,CHOOSE({1,2},Table12[Native],Table12[Name]),2,0)</f>
        <v>Shuòzhōu Shì</v>
      </c>
      <c r="O488" s="13" t="str">
        <f t="shared" si="14"/>
        <v>Jiazhuang Xiang (Shuòzhōu Shì)</v>
      </c>
      <c r="P488" s="13" t="str">
        <f t="shared" si="15"/>
        <v>Jiazhuang Xiang (Shuòzhōu Shì)</v>
      </c>
    </row>
    <row r="489" spans="1:16" hidden="1" x14ac:dyDescent="0.25">
      <c r="A489" t="s">
        <v>1188</v>
      </c>
      <c r="B489" t="str">
        <f>IF(COUNTIF(A:A,A489)&gt;1,_xlfn.CONCAT(A489," (",N489,")"),A489)</f>
        <v>Jíchāng Zhèn</v>
      </c>
      <c r="C489" t="str">
        <f>IF(COUNTIF(B:B,B489)&gt;1,_xlfn.CONCAT(A489," (",M489,")"),B489)</f>
        <v>Jíchāng Zhèn</v>
      </c>
      <c r="D489" t="s">
        <v>1189</v>
      </c>
      <c r="E489" t="s">
        <v>7</v>
      </c>
      <c r="F489" t="str">
        <f>_xlfn.CONCAT(D489,", ",H489,", ",I489,", ","山西省")</f>
        <v>吉昌镇, 吉县, 临汾市, 山西省</v>
      </c>
      <c r="G489">
        <v>43389</v>
      </c>
      <c r="H489" t="s">
        <v>2936</v>
      </c>
      <c r="I489" t="s">
        <v>2927</v>
      </c>
      <c r="J489">
        <f>VLOOKUP(F489,[1]!china_towns_second__2[[Column1]:[Y]],3,FALSE)</f>
        <v>36.114659932291097</v>
      </c>
      <c r="K489">
        <f>VLOOKUP(F489,[1]!china_towns_second__2[[Column1]:[Y]],2,FALSE)</f>
        <v>110.6682854</v>
      </c>
      <c r="L489" t="s">
        <v>4065</v>
      </c>
      <c r="M489" t="str">
        <f>VLOOKUP(H489,CHOOSE({1,2},Table12[Native],Table12[Name]),2,0)</f>
        <v>Jí Xiàn</v>
      </c>
      <c r="N489" s="13" t="str">
        <f>VLOOKUP(I489,CHOOSE({1,2},Table12[Native],Table12[Name]),2,0)</f>
        <v>Línfén Shì</v>
      </c>
      <c r="O489" s="13" t="str">
        <f t="shared" si="14"/>
        <v>Jichang Zhen (Línfén Shì)</v>
      </c>
      <c r="P489" s="13" t="str">
        <f t="shared" si="15"/>
        <v>Jichang Zhen (Línfén Shì)</v>
      </c>
    </row>
    <row r="490" spans="1:16" hidden="1" x14ac:dyDescent="0.25">
      <c r="A490" t="s">
        <v>876</v>
      </c>
      <c r="B490" t="str">
        <f>IF(COUNTIF(A:A,A490)&gt;1,_xlfn.CONCAT(A490," (",N490,")"),A490)</f>
        <v>Jīchéng Zhèn</v>
      </c>
      <c r="C490" t="str">
        <f>IF(COUNTIF(B:B,B490)&gt;1,_xlfn.CONCAT(A490," (",M490,")"),B490)</f>
        <v>Jīchéng Zhèn</v>
      </c>
      <c r="D490" t="s">
        <v>877</v>
      </c>
      <c r="E490" t="s">
        <v>7</v>
      </c>
      <c r="F490" t="str">
        <f>_xlfn.CONCAT(D490,", ",H490,", ",I490,", ","山西省")</f>
        <v>箕城镇, 榆社县, 晋中市, 山西省</v>
      </c>
      <c r="G490">
        <v>43484</v>
      </c>
      <c r="H490" t="s">
        <v>2924</v>
      </c>
      <c r="I490" t="s">
        <v>2914</v>
      </c>
      <c r="J490">
        <f>VLOOKUP(F490,[1]!china_towns_second__2[[Column1]:[Y]],3,FALSE)</f>
        <v>37.0769957373982</v>
      </c>
      <c r="K490">
        <f>VLOOKUP(F490,[1]!china_towns_second__2[[Column1]:[Y]],2,FALSE)</f>
        <v>112.9915754</v>
      </c>
      <c r="L490" t="s">
        <v>4066</v>
      </c>
      <c r="M490" t="str">
        <f>VLOOKUP(H490,CHOOSE({1,2},Table12[Native],Table12[Name]),2,0)</f>
        <v>Yúshè Xiàn</v>
      </c>
      <c r="N490" s="13" t="str">
        <f>VLOOKUP(I490,CHOOSE({1,2},Table12[Native],Table12[Name]),2,0)</f>
        <v>Jìnzhōng Shì</v>
      </c>
      <c r="O490" s="13" t="str">
        <f t="shared" si="14"/>
        <v>Jicheng Zhen (Jìnzhōng Shì)</v>
      </c>
      <c r="P490" s="13" t="str">
        <f t="shared" si="15"/>
        <v>Jicheng Zhen (Jìnzhōng Shì)</v>
      </c>
    </row>
    <row r="491" spans="1:16" hidden="1" x14ac:dyDescent="0.25">
      <c r="A491" t="s">
        <v>1512</v>
      </c>
      <c r="B491" t="str">
        <f>IF(COUNTIF(A:A,A491)&gt;1,_xlfn.CONCAT(A491," (",N491,")"),A491)</f>
        <v>Jīcuì Xiāng</v>
      </c>
      <c r="C491" t="str">
        <f>IF(COUNTIF(B:B,B491)&gt;1,_xlfn.CONCAT(A491," (",M491,")"),B491)</f>
        <v>Jīcuì Xiāng</v>
      </c>
      <c r="D491" t="s">
        <v>1513</v>
      </c>
      <c r="E491" t="s">
        <v>17</v>
      </c>
      <c r="F491" t="str">
        <f>_xlfn.CONCAT(D491,", ",H491,", ",I491,", ","山西省")</f>
        <v>积翠乡, 方山县, 吕梁市, 山西省</v>
      </c>
      <c r="G491">
        <v>8510</v>
      </c>
      <c r="H491" t="s">
        <v>2947</v>
      </c>
      <c r="I491" t="s">
        <v>2946</v>
      </c>
      <c r="J491" t="e">
        <f>VLOOKUP(F491,[1]!china_towns_second__2[[Column1]:[Y]],3,FALSE)</f>
        <v>#N/A</v>
      </c>
      <c r="K491" t="e">
        <f>VLOOKUP(F491,[1]!china_towns_second__2[[Column1]:[Y]],2,FALSE)</f>
        <v>#N/A</v>
      </c>
      <c r="L491" t="s">
        <v>4067</v>
      </c>
      <c r="M491" t="str">
        <f>VLOOKUP(H491,CHOOSE({1,2},Table12[Native],Table12[Name]),2,0)</f>
        <v>Fāngshān Xiàn</v>
      </c>
      <c r="N491" s="13" t="str">
        <f>VLOOKUP(I491,CHOOSE({1,2},Table12[Native],Table12[Name]),2,0)</f>
        <v>Lǚliáng Shì</v>
      </c>
      <c r="O491" s="13" t="str">
        <f t="shared" si="14"/>
        <v>Jicui Xiang (Lǚliáng Shì)</v>
      </c>
      <c r="P491" s="13" t="str">
        <f t="shared" si="15"/>
        <v>Jicui Xiang (Lǚliáng Shì)</v>
      </c>
    </row>
    <row r="492" spans="1:16" hidden="1" x14ac:dyDescent="0.25">
      <c r="A492" t="s">
        <v>1514</v>
      </c>
      <c r="B492" t="str">
        <f>IF(COUNTIF(A:A,A492)&gt;1,_xlfn.CONCAT(A492," (",N492,")"),A492)</f>
        <v>Jìcūn Zhèn</v>
      </c>
      <c r="C492" t="str">
        <f>IF(COUNTIF(B:B,B492)&gt;1,_xlfn.CONCAT(A492," (",M492,")"),B492)</f>
        <v>Jìcūn Zhèn</v>
      </c>
      <c r="D492" t="s">
        <v>1515</v>
      </c>
      <c r="E492" t="s">
        <v>7</v>
      </c>
      <c r="F492" t="str">
        <f>_xlfn.CONCAT(D492,", ",H492,", ",I492,", ","山西省")</f>
        <v>冀村镇, 汾阳市, 吕梁市, 山西省</v>
      </c>
      <c r="G492">
        <v>39138</v>
      </c>
      <c r="H492" t="s">
        <v>2948</v>
      </c>
      <c r="I492" t="s">
        <v>2946</v>
      </c>
      <c r="J492">
        <f>VLOOKUP(F492,[1]!china_towns_second__2[[Column1]:[Y]],3,FALSE)</f>
        <v>37.3012793396354</v>
      </c>
      <c r="K492">
        <f>VLOOKUP(F492,[1]!china_towns_second__2[[Column1]:[Y]],2,FALSE)</f>
        <v>111.95499959999999</v>
      </c>
      <c r="L492" t="s">
        <v>4068</v>
      </c>
      <c r="M492" t="str">
        <f>VLOOKUP(H492,CHOOSE({1,2},Table12[Native],Table12[Name]),2,0)</f>
        <v>Fényáng Shì</v>
      </c>
      <c r="N492" s="13" t="str">
        <f>VLOOKUP(I492,CHOOSE({1,2},Table12[Native],Table12[Name]),2,0)</f>
        <v>Lǚliáng Shì</v>
      </c>
      <c r="O492" s="13" t="str">
        <f t="shared" si="14"/>
        <v>Jicun Zhen (Lǚliáng Shì)</v>
      </c>
      <c r="P492" s="13" t="str">
        <f t="shared" si="15"/>
        <v>Jicun Zhen (Lǚliáng Shì)</v>
      </c>
    </row>
    <row r="493" spans="1:16" hidden="1" x14ac:dyDescent="0.25">
      <c r="A493" t="s">
        <v>147</v>
      </c>
      <c r="B493" t="str">
        <f>IF(COUNTIF(A:A,A493)&gt;1,_xlfn.CONCAT(A493," (",N493,")"),A493)</f>
        <v>Jídiàn Xiāng</v>
      </c>
      <c r="C493" t="str">
        <f>IF(COUNTIF(B:B,B493)&gt;1,_xlfn.CONCAT(A493," (",M493,")"),B493)</f>
        <v>Jídiàn Xiāng</v>
      </c>
      <c r="D493" t="s">
        <v>148</v>
      </c>
      <c r="E493" t="s">
        <v>17</v>
      </c>
      <c r="F493" t="str">
        <f>_xlfn.CONCAT(D493,", ",H493,", ",I493,", ","山西省")</f>
        <v>集店乡, 壶关县, 长治市, 山西省</v>
      </c>
      <c r="G493">
        <v>24889</v>
      </c>
      <c r="H493" t="s">
        <v>2881</v>
      </c>
      <c r="I493" t="s">
        <v>2878</v>
      </c>
      <c r="J493" t="e">
        <f>VLOOKUP(F493,[1]!china_towns_second__2[[Column1]:[Y]],3,FALSE)</f>
        <v>#N/A</v>
      </c>
      <c r="K493" t="e">
        <f>VLOOKUP(F493,[1]!china_towns_second__2[[Column1]:[Y]],2,FALSE)</f>
        <v>#N/A</v>
      </c>
      <c r="L493" t="s">
        <v>4069</v>
      </c>
      <c r="M493" t="str">
        <f>VLOOKUP(H493,CHOOSE({1,2},Table12[Native],Table12[Name]),2,0)</f>
        <v>Húguān Xiàn</v>
      </c>
      <c r="N493" s="13" t="str">
        <f>VLOOKUP(I493,CHOOSE({1,2},Table12[Native],Table12[Name]),2,0)</f>
        <v>Chángzhì Shì</v>
      </c>
      <c r="O493" s="13" t="str">
        <f t="shared" si="14"/>
        <v>Jidian Xiang (Chángzhì Shì)</v>
      </c>
      <c r="P493" s="13" t="str">
        <f t="shared" si="15"/>
        <v>Jidian Xiang (Chángzhì Shì)</v>
      </c>
    </row>
    <row r="494" spans="1:16" hidden="1" x14ac:dyDescent="0.25">
      <c r="A494" t="s">
        <v>878</v>
      </c>
      <c r="B494" t="str">
        <f>IF(COUNTIF(A:A,A494)&gt;1,_xlfn.CONCAT(A494," (",N494,")"),A494)</f>
        <v>Jiĕchóu Xiāng</v>
      </c>
      <c r="C494" t="str">
        <f>IF(COUNTIF(B:B,B494)&gt;1,_xlfn.CONCAT(A494," (",M494,")"),B494)</f>
        <v>Jiĕchóu Xiāng</v>
      </c>
      <c r="D494" t="s">
        <v>879</v>
      </c>
      <c r="E494" t="s">
        <v>17</v>
      </c>
      <c r="F494" t="str">
        <f>_xlfn.CONCAT(D494,", ",H494,", ",I494,", ","山西省")</f>
        <v>解愁乡, 寿阳县, 晋中市, 山西省</v>
      </c>
      <c r="G494">
        <v>9557</v>
      </c>
      <c r="H494" t="s">
        <v>2920</v>
      </c>
      <c r="I494" t="s">
        <v>2914</v>
      </c>
      <c r="J494" t="e">
        <f>VLOOKUP(F494,[1]!china_towns_second__2[[Column1]:[Y]],3,FALSE)</f>
        <v>#N/A</v>
      </c>
      <c r="K494" t="e">
        <f>VLOOKUP(F494,[1]!china_towns_second__2[[Column1]:[Y]],2,FALSE)</f>
        <v>#N/A</v>
      </c>
      <c r="L494" t="s">
        <v>4070</v>
      </c>
      <c r="M494" t="str">
        <f>VLOOKUP(H494,CHOOSE({1,2},Table12[Native],Table12[Name]),2,0)</f>
        <v>Shòuyáng Xiàn</v>
      </c>
      <c r="N494" s="13" t="str">
        <f>VLOOKUP(I494,CHOOSE({1,2},Table12[Native],Table12[Name]),2,0)</f>
        <v>Jìnzhōng Shì</v>
      </c>
      <c r="O494" s="13" t="str">
        <f t="shared" si="14"/>
        <v>Jiechou Xiang (Jìnzhōng Shì)</v>
      </c>
      <c r="P494" s="13" t="str">
        <f t="shared" si="15"/>
        <v>Jiechou Xiang (Jìnzhōng Shì)</v>
      </c>
    </row>
    <row r="495" spans="1:16" hidden="1" x14ac:dyDescent="0.25">
      <c r="A495" t="s">
        <v>2244</v>
      </c>
      <c r="B495" t="str">
        <f>IF(COUNTIF(A:A,A495)&gt;1,_xlfn.CONCAT(A495," (",N495,")"),A495)</f>
        <v>Jiĕcūn Xiāng</v>
      </c>
      <c r="C495" t="str">
        <f>IF(COUNTIF(B:B,B495)&gt;1,_xlfn.CONCAT(A495," (",M495,")"),B495)</f>
        <v>Jiĕcūn Xiāng</v>
      </c>
      <c r="D495" t="s">
        <v>2245</v>
      </c>
      <c r="E495" t="s">
        <v>17</v>
      </c>
      <c r="F495" t="str">
        <f>_xlfn.CONCAT(D495,", ",H495,", ",I495,", ","山西省")</f>
        <v>解村乡, 原平市, 忻州市, 山西省</v>
      </c>
      <c r="G495">
        <v>12118</v>
      </c>
      <c r="H495" t="s">
        <v>2995</v>
      </c>
      <c r="I495" t="s">
        <v>2981</v>
      </c>
      <c r="J495" t="e">
        <f>VLOOKUP(F495,[1]!china_towns_second__2[[Column1]:[Y]],3,FALSE)</f>
        <v>#N/A</v>
      </c>
      <c r="K495" t="e">
        <f>VLOOKUP(F495,[1]!china_towns_second__2[[Column1]:[Y]],2,FALSE)</f>
        <v>#N/A</v>
      </c>
      <c r="L495" t="s">
        <v>4071</v>
      </c>
      <c r="M495" t="str">
        <f>VLOOKUP(H495,CHOOSE({1,2},Table12[Native],Table12[Name]),2,0)</f>
        <v>Yuánpíng Shì</v>
      </c>
      <c r="N495" s="13" t="str">
        <f>VLOOKUP(I495,CHOOSE({1,2},Table12[Native],Table12[Name]),2,0)</f>
        <v>Xīnzhōu Shì</v>
      </c>
      <c r="O495" s="13" t="str">
        <f t="shared" si="14"/>
        <v>Jiecun Xiang (Xīnzhōu Shì)</v>
      </c>
      <c r="P495" s="13" t="str">
        <f t="shared" si="15"/>
        <v>Jiecun Xiang (Xīnzhōu Shì)</v>
      </c>
    </row>
    <row r="496" spans="1:16" hidden="1" x14ac:dyDescent="0.25">
      <c r="A496" t="s">
        <v>2689</v>
      </c>
      <c r="B496" t="str">
        <f>IF(COUNTIF(A:A,A496)&gt;1,_xlfn.CONCAT(A496," (",N496,")"),A496)</f>
        <v>Jiĕdiàn Zhèn</v>
      </c>
      <c r="C496" t="str">
        <f>IF(COUNTIF(B:B,B496)&gt;1,_xlfn.CONCAT(A496," (",M496,")"),B496)</f>
        <v>Jiĕdiàn Zhèn</v>
      </c>
      <c r="D496" t="s">
        <v>2690</v>
      </c>
      <c r="E496" t="s">
        <v>7</v>
      </c>
      <c r="F496" t="str">
        <f>_xlfn.CONCAT(D496,", ",H496,", ",I496,", ","山西省")</f>
        <v>解店镇, 万荣县, 运城市, 山西省</v>
      </c>
      <c r="G496">
        <v>81386</v>
      </c>
      <c r="H496" t="s">
        <v>3010</v>
      </c>
      <c r="I496" t="s">
        <v>3003</v>
      </c>
      <c r="J496">
        <f>VLOOKUP(F496,[1]!china_towns_second__2[[Column1]:[Y]],3,FALSE)</f>
        <v>35.417465895548098</v>
      </c>
      <c r="K496">
        <f>VLOOKUP(F496,[1]!china_towns_second__2[[Column1]:[Y]],2,FALSE)</f>
        <v>110.85217249999999</v>
      </c>
      <c r="L496" t="s">
        <v>4072</v>
      </c>
      <c r="M496" t="str">
        <f>VLOOKUP(H496,CHOOSE({1,2},Table12[Native],Table12[Name]),2,0)</f>
        <v>Wànróng Xiàn</v>
      </c>
      <c r="N496" s="13" t="str">
        <f>VLOOKUP(I496,CHOOSE({1,2},Table12[Native],Table12[Name]),2,0)</f>
        <v>Yùnchéng Shì</v>
      </c>
      <c r="O496" s="13" t="str">
        <f t="shared" si="14"/>
        <v>Jiedian Zhen (Yùnchéng Shì)</v>
      </c>
      <c r="P496" s="13" t="str">
        <f t="shared" si="15"/>
        <v>Jiedian Zhen (Yùnchéng Shì)</v>
      </c>
    </row>
    <row r="497" spans="1:16" hidden="1" x14ac:dyDescent="0.25">
      <c r="A497" t="s">
        <v>880</v>
      </c>
      <c r="B497" t="str">
        <f>IF(COUNTIF(A:A,A497)&gt;1,_xlfn.CONCAT(A497," (",N497,")"),A497)</f>
        <v>Jièdū Xiāng</v>
      </c>
      <c r="C497" t="str">
        <f>IF(COUNTIF(B:B,B497)&gt;1,_xlfn.CONCAT(A497," (",M497,")"),B497)</f>
        <v>Jièdū Xiāng</v>
      </c>
      <c r="D497" t="s">
        <v>881</v>
      </c>
      <c r="E497" t="s">
        <v>17</v>
      </c>
      <c r="F497" t="str">
        <f>_xlfn.CONCAT(D497,", ",H497,", ",I497,", ","山西省")</f>
        <v>界都乡, 昔阳县, 晋中市, 山西省</v>
      </c>
      <c r="G497">
        <v>11675</v>
      </c>
      <c r="H497" t="s">
        <v>2922</v>
      </c>
      <c r="I497" t="s">
        <v>2914</v>
      </c>
      <c r="J497" t="e">
        <f>VLOOKUP(F497,[1]!china_towns_second__2[[Column1]:[Y]],3,FALSE)</f>
        <v>#N/A</v>
      </c>
      <c r="K497" t="e">
        <f>VLOOKUP(F497,[1]!china_towns_second__2[[Column1]:[Y]],2,FALSE)</f>
        <v>#N/A</v>
      </c>
      <c r="L497" t="s">
        <v>4073</v>
      </c>
      <c r="M497" t="str">
        <f>VLOOKUP(H497,CHOOSE({1,2},Table12[Native],Table12[Name]),2,0)</f>
        <v>Xīyáng Xiàn</v>
      </c>
      <c r="N497" s="13" t="str">
        <f>VLOOKUP(I497,CHOOSE({1,2},Table12[Native],Table12[Name]),2,0)</f>
        <v>Jìnzhōng Shì</v>
      </c>
      <c r="O497" s="13" t="str">
        <f t="shared" si="14"/>
        <v>Jiedu Xiang (Jìnzhōng Shì)</v>
      </c>
      <c r="P497" s="13" t="str">
        <f t="shared" si="15"/>
        <v>Jiedu Xiang (Jìnzhōng Shì)</v>
      </c>
    </row>
    <row r="498" spans="1:16" hidden="1" x14ac:dyDescent="0.25">
      <c r="A498" t="s">
        <v>1190</v>
      </c>
      <c r="B498" t="str">
        <f>IF(COUNTIF(A:A,A498)&gt;1,_xlfn.CONCAT(A498," (",N498,")"),A498)</f>
        <v>Jiĕfànglù Jiēdào</v>
      </c>
      <c r="C498" t="str">
        <f>IF(COUNTIF(B:B,B498)&gt;1,_xlfn.CONCAT(A498," (",M498,")"),B498)</f>
        <v>Jiĕfànglù Jiēdào</v>
      </c>
      <c r="D498" t="s">
        <v>1191</v>
      </c>
      <c r="E498" t="s">
        <v>31</v>
      </c>
      <c r="F498" t="str">
        <f>_xlfn.CONCAT(D498,", ",H498,", ",I498,", ","山西省")</f>
        <v>解放路街道, 尧都区, 临汾市, 山西省</v>
      </c>
      <c r="G498">
        <v>60070</v>
      </c>
      <c r="H498" t="s">
        <v>2942</v>
      </c>
      <c r="I498" t="s">
        <v>2927</v>
      </c>
      <c r="J498">
        <f>VLOOKUP(F498,[1]!china_towns_second__2[[Column1]:[Y]],3,FALSE)</f>
        <v>36.086724547432503</v>
      </c>
      <c r="K498">
        <f>VLOOKUP(F498,[1]!china_towns_second__2[[Column1]:[Y]],2,FALSE)</f>
        <v>111.5161662</v>
      </c>
      <c r="L498" t="s">
        <v>4074</v>
      </c>
      <c r="M498" t="str">
        <f>VLOOKUP(H498,CHOOSE({1,2},Table12[Native],Table12[Name]),2,0)</f>
        <v>Yáodū Qū</v>
      </c>
      <c r="N498" s="13" t="str">
        <f>VLOOKUP(I498,CHOOSE({1,2},Table12[Native],Table12[Name]),2,0)</f>
        <v>Línfén Shì</v>
      </c>
      <c r="O498" s="13" t="str">
        <f t="shared" si="14"/>
        <v>Jiefanglu Jiedao (Línfén Shì)</v>
      </c>
      <c r="P498" s="13" t="str">
        <f t="shared" si="15"/>
        <v>Jiefanglu Jiedao (Línfén Shì)</v>
      </c>
    </row>
    <row r="499" spans="1:16" hidden="1" x14ac:dyDescent="0.25">
      <c r="A499" t="s">
        <v>1516</v>
      </c>
      <c r="B499" t="str">
        <f>IF(COUNTIF(A:A,A499)&gt;1,_xlfn.CONCAT(A499," (",N499,")"),A499)</f>
        <v>Jièhékŏu Zhèn</v>
      </c>
      <c r="C499" t="str">
        <f>IF(COUNTIF(B:B,B499)&gt;1,_xlfn.CONCAT(A499," (",M499,")"),B499)</f>
        <v>Jièhékŏu Zhèn</v>
      </c>
      <c r="D499" t="s">
        <v>1517</v>
      </c>
      <c r="E499" t="s">
        <v>7</v>
      </c>
      <c r="F499" t="str">
        <f>_xlfn.CONCAT(D499,", ",H499,", ",I499,", ","山西省")</f>
        <v>界河口镇, 岚县, 吕梁市, 山西省</v>
      </c>
      <c r="G499">
        <v>5371</v>
      </c>
      <c r="H499" t="s">
        <v>2951</v>
      </c>
      <c r="I499" t="s">
        <v>2946</v>
      </c>
      <c r="J499">
        <f>VLOOKUP(F499,[1]!china_towns_second__2[[Column1]:[Y]],3,FALSE)</f>
        <v>38.4998218106428</v>
      </c>
      <c r="K499">
        <f>VLOOKUP(F499,[1]!china_towns_second__2[[Column1]:[Y]],2,FALSE)</f>
        <v>111.48199630000001</v>
      </c>
      <c r="L499" t="s">
        <v>4075</v>
      </c>
      <c r="M499" t="str">
        <f>VLOOKUP(H499,CHOOSE({1,2},Table12[Native],Table12[Name]),2,0)</f>
        <v>Lán Xiàn</v>
      </c>
      <c r="N499" s="13" t="str">
        <f>VLOOKUP(I499,CHOOSE({1,2},Table12[Native],Table12[Name]),2,0)</f>
        <v>Lǚliáng Shì</v>
      </c>
      <c r="O499" s="13" t="str">
        <f t="shared" si="14"/>
        <v>Jiehekou Zhen (Lǚliáng Shì)</v>
      </c>
      <c r="P499" s="13" t="str">
        <f t="shared" si="15"/>
        <v>Jiehekou Zhen (Lǚliáng Shì)</v>
      </c>
    </row>
    <row r="500" spans="1:16" hidden="1" x14ac:dyDescent="0.25">
      <c r="A500" t="s">
        <v>2691</v>
      </c>
      <c r="B500" t="str">
        <f>IF(COUNTIF(A:A,A500)&gt;1,_xlfn.CONCAT(A500," (",N500,")"),A500)</f>
        <v>Jiĕyù Xiāng</v>
      </c>
      <c r="C500" t="str">
        <f>IF(COUNTIF(B:B,B500)&gt;1,_xlfn.CONCAT(A500," (",M500,")"),B500)</f>
        <v>Jiĕyù Xiāng</v>
      </c>
      <c r="D500" t="s">
        <v>2692</v>
      </c>
      <c r="E500" t="s">
        <v>17</v>
      </c>
      <c r="F500" t="str">
        <f>_xlfn.CONCAT(D500,", ",H500,", ",I500,", ","山西省")</f>
        <v>解峪乡, 垣曲县, 运城市, 山西省</v>
      </c>
      <c r="G500">
        <v>6332</v>
      </c>
      <c r="H500" t="s">
        <v>3016</v>
      </c>
      <c r="I500" t="s">
        <v>3003</v>
      </c>
      <c r="J500" t="e">
        <f>VLOOKUP(F500,[1]!china_towns_second__2[[Column1]:[Y]],3,FALSE)</f>
        <v>#N/A</v>
      </c>
      <c r="K500" t="e">
        <f>VLOOKUP(F500,[1]!china_towns_second__2[[Column1]:[Y]],2,FALSE)</f>
        <v>#N/A</v>
      </c>
      <c r="L500" t="s">
        <v>4076</v>
      </c>
      <c r="M500" t="str">
        <f>VLOOKUP(H500,CHOOSE({1,2},Table12[Native],Table12[Name]),2,0)</f>
        <v>Yuánqŭ Xiàn</v>
      </c>
      <c r="N500" s="13" t="str">
        <f>VLOOKUP(I500,CHOOSE({1,2},Table12[Native],Table12[Name]),2,0)</f>
        <v>Yùnchéng Shì</v>
      </c>
      <c r="O500" s="13" t="str">
        <f t="shared" si="14"/>
        <v>Jieyu Xiang (Yùnchéng Shì)</v>
      </c>
      <c r="P500" s="13" t="str">
        <f t="shared" si="15"/>
        <v>Jieyu Xiang (Yùnchéng Shì)</v>
      </c>
    </row>
    <row r="501" spans="1:16" hidden="1" x14ac:dyDescent="0.25">
      <c r="A501" t="s">
        <v>2693</v>
      </c>
      <c r="B501" t="str">
        <f>IF(COUNTIF(A:A,A501)&gt;1,_xlfn.CONCAT(A501," (",N501,")"),A501)</f>
        <v>Jiĕzhōu Zhèn</v>
      </c>
      <c r="C501" t="str">
        <f>IF(COUNTIF(B:B,B501)&gt;1,_xlfn.CONCAT(A501," (",M501,")"),B501)</f>
        <v>Jiĕzhōu Zhèn</v>
      </c>
      <c r="D501" t="s">
        <v>2694</v>
      </c>
      <c r="E501" t="s">
        <v>7</v>
      </c>
      <c r="F501" t="str">
        <f>_xlfn.CONCAT(D501,", ",H501,", ",I501,", ","山西省")</f>
        <v>解州镇, 盐湖区, 运城市, 山西省</v>
      </c>
      <c r="G501">
        <v>57773</v>
      </c>
      <c r="H501" t="s">
        <v>3014</v>
      </c>
      <c r="I501" t="s">
        <v>3003</v>
      </c>
      <c r="J501">
        <f>VLOOKUP(F501,[1]!china_towns_second__2[[Column1]:[Y]],3,FALSE)</f>
        <v>34.9126979951685</v>
      </c>
      <c r="K501">
        <f>VLOOKUP(F501,[1]!china_towns_second__2[[Column1]:[Y]],2,FALSE)</f>
        <v>110.8850211</v>
      </c>
      <c r="L501" t="s">
        <v>4077</v>
      </c>
      <c r="M501" t="str">
        <f>VLOOKUP(H501,CHOOSE({1,2},Table12[Native],Table12[Name]),2,0)</f>
        <v>Yánhú Qū</v>
      </c>
      <c r="N501" s="13" t="str">
        <f>VLOOKUP(I501,CHOOSE({1,2},Table12[Native],Table12[Name]),2,0)</f>
        <v>Yùnchéng Shì</v>
      </c>
      <c r="O501" s="13" t="str">
        <f t="shared" si="14"/>
        <v>Jiezhou Zhen (Yùnchéng Shì)</v>
      </c>
      <c r="P501" s="13" t="str">
        <f t="shared" si="15"/>
        <v>Jiezhou Zhen (Yùnchéng Shì)</v>
      </c>
    </row>
    <row r="502" spans="1:16" hidden="1" x14ac:dyDescent="0.25">
      <c r="A502" t="s">
        <v>2695</v>
      </c>
      <c r="B502" t="str">
        <f>IF(COUNTIF(A:A,A502)&gt;1,_xlfn.CONCAT(A502," (",N502,")"),A502)</f>
        <v>Jìfēng Zhèn</v>
      </c>
      <c r="C502" t="str">
        <f>IF(COUNTIF(B:B,B502)&gt;1,_xlfn.CONCAT(A502," (",M502,")"),B502)</f>
        <v>Jìfēng Zhèn</v>
      </c>
      <c r="D502" t="s">
        <v>2696</v>
      </c>
      <c r="E502" t="s">
        <v>7</v>
      </c>
      <c r="F502" t="str">
        <f>_xlfn.CONCAT(D502,", ",H502,", ",I502,", ","山西省")</f>
        <v>稷峰镇, 稷山县, 运城市, 山西省</v>
      </c>
      <c r="G502">
        <v>132509</v>
      </c>
      <c r="H502" t="s">
        <v>3006</v>
      </c>
      <c r="I502" t="s">
        <v>3003</v>
      </c>
      <c r="J502">
        <f>VLOOKUP(F502,[1]!china_towns_second__2[[Column1]:[Y]],3,FALSE)</f>
        <v>35.603558454424103</v>
      </c>
      <c r="K502">
        <f>VLOOKUP(F502,[1]!china_towns_second__2[[Column1]:[Y]],2,FALSE)</f>
        <v>110.97403319999999</v>
      </c>
      <c r="L502" t="s">
        <v>4078</v>
      </c>
      <c r="M502" t="str">
        <f>VLOOKUP(H502,CHOOSE({1,2},Table12[Native],Table12[Name]),2,0)</f>
        <v>Jìshān Xiàn</v>
      </c>
      <c r="N502" s="13" t="str">
        <f>VLOOKUP(I502,CHOOSE({1,2},Table12[Native],Table12[Name]),2,0)</f>
        <v>Yùnchéng Shì</v>
      </c>
      <c r="O502" s="13" t="str">
        <f t="shared" si="14"/>
        <v>Jifeng Zhen (Yùnchéng Shì)</v>
      </c>
      <c r="P502" s="13" t="str">
        <f t="shared" si="15"/>
        <v>Jifeng Zhen (Yùnchéng Shì)</v>
      </c>
    </row>
    <row r="503" spans="1:16" hidden="1" x14ac:dyDescent="0.25">
      <c r="A503" t="s">
        <v>419</v>
      </c>
      <c r="B503" t="str">
        <f>IF(COUNTIF(A:A,A503)&gt;1,_xlfn.CONCAT(A503," (",N503,")"),A503)</f>
        <v>Jíjiāzhuāng Xiāng</v>
      </c>
      <c r="C503" t="str">
        <f>IF(COUNTIF(B:B,B503)&gt;1,_xlfn.CONCAT(A503," (",M503,")"),B503)</f>
        <v>Jíjiāzhuāng Xiāng</v>
      </c>
      <c r="D503" t="s">
        <v>420</v>
      </c>
      <c r="E503" t="s">
        <v>17</v>
      </c>
      <c r="F503" t="str">
        <f>_xlfn.CONCAT(D503,", ",H503,", ",I503,", ","山西省")</f>
        <v>吉家庄乡, 云州区, 大同市, 山西省</v>
      </c>
      <c r="G503">
        <v>7306</v>
      </c>
      <c r="H503" t="s">
        <v>2903</v>
      </c>
      <c r="I503" t="s">
        <v>2894</v>
      </c>
      <c r="J503" t="e">
        <f>VLOOKUP(F503,[1]!china_towns_second__2[[Column1]:[Y]],3,FALSE)</f>
        <v>#N/A</v>
      </c>
      <c r="K503" t="e">
        <f>VLOOKUP(F503,[1]!china_towns_second__2[[Column1]:[Y]],2,FALSE)</f>
        <v>#N/A</v>
      </c>
      <c r="L503" t="s">
        <v>4079</v>
      </c>
      <c r="M503" t="str">
        <f>VLOOKUP(H503,CHOOSE({1,2},Table12[Native],Table12[Name]),2,0)</f>
        <v>Yúnzhōu Qū</v>
      </c>
      <c r="N503" s="13" t="str">
        <f>VLOOKUP(I503,CHOOSE({1,2},Table12[Native],Table12[Name]),2,0)</f>
        <v>Dàtóng Shì</v>
      </c>
      <c r="O503" s="13" t="str">
        <f t="shared" si="14"/>
        <v>Jijiazhuang Xiang (Dàtóng Shì)</v>
      </c>
      <c r="P503" s="13" t="str">
        <f t="shared" si="15"/>
        <v>Jijiazhuang Xiang (Dàtóng Shì)</v>
      </c>
    </row>
    <row r="504" spans="1:16" hidden="1" x14ac:dyDescent="0.25">
      <c r="A504" t="s">
        <v>2246</v>
      </c>
      <c r="B504" t="str">
        <f>IF(COUNTIF(A:A,A504)&gt;1,_xlfn.CONCAT(A504," (",N504,")"),A504)</f>
        <v>Jìnchāng Zhèn</v>
      </c>
      <c r="C504" t="str">
        <f>IF(COUNTIF(B:B,B504)&gt;1,_xlfn.CONCAT(A504," (",M504,")"),B504)</f>
        <v>Jìnchāng Zhèn</v>
      </c>
      <c r="D504" t="s">
        <v>2247</v>
      </c>
      <c r="E504" t="s">
        <v>7</v>
      </c>
      <c r="F504" t="str">
        <f>_xlfn.CONCAT(D504,", ",H504,", ",I504,", ","山西省")</f>
        <v>晋昌镇, 定襄县, 忻州市, 山西省</v>
      </c>
      <c r="G504">
        <v>54533</v>
      </c>
      <c r="H504" t="s">
        <v>2984</v>
      </c>
      <c r="I504" t="s">
        <v>2981</v>
      </c>
      <c r="J504">
        <f>VLOOKUP(F504,[1]!china_towns_second__2[[Column1]:[Y]],3,FALSE)</f>
        <v>38.487736372728101</v>
      </c>
      <c r="K504">
        <f>VLOOKUP(F504,[1]!china_towns_second__2[[Column1]:[Y]],2,FALSE)</f>
        <v>112.95883689999999</v>
      </c>
      <c r="L504" t="s">
        <v>4080</v>
      </c>
      <c r="M504" t="str">
        <f>VLOOKUP(H504,CHOOSE({1,2},Table12[Native],Table12[Name]),2,0)</f>
        <v>Dìngxiāng Xiàn</v>
      </c>
      <c r="N504" s="13" t="str">
        <f>VLOOKUP(I504,CHOOSE({1,2},Table12[Native],Table12[Name]),2,0)</f>
        <v>Xīnzhōu Shì</v>
      </c>
      <c r="O504" s="13" t="str">
        <f t="shared" si="14"/>
        <v>Jinchang Zhen (Xīnzhōu Shì)</v>
      </c>
      <c r="P504" s="13" t="str">
        <f t="shared" si="15"/>
        <v>Jinchang Zhen (Xīnzhōu Shì)</v>
      </c>
    </row>
    <row r="505" spans="1:16" hidden="1" x14ac:dyDescent="0.25">
      <c r="A505" t="s">
        <v>1782</v>
      </c>
      <c r="B505" t="str">
        <f>IF(COUNTIF(A:A,A505)&gt;1,_xlfn.CONCAT(A505," (",N505,")"),A505)</f>
        <v>Jīnchéng Zhèn</v>
      </c>
      <c r="C505" t="str">
        <f>IF(COUNTIF(B:B,B505)&gt;1,_xlfn.CONCAT(A505," (",M505,")"),B505)</f>
        <v>Jīnchéng Zhèn</v>
      </c>
      <c r="D505" t="s">
        <v>1783</v>
      </c>
      <c r="E505" t="s">
        <v>7</v>
      </c>
      <c r="F505" t="str">
        <f>_xlfn.CONCAT(D505,", ",H505,", ",I505,", ","山西省")</f>
        <v>金城镇, 应县, 朔州市, 山西省</v>
      </c>
      <c r="G505">
        <v>105038</v>
      </c>
      <c r="H505" t="s">
        <v>2966</v>
      </c>
      <c r="I505" t="s">
        <v>2961</v>
      </c>
      <c r="J505">
        <f>VLOOKUP(F505,[1]!china_towns_second__2[[Column1]:[Y]],3,FALSE)</f>
        <v>39.5617613985346</v>
      </c>
      <c r="K505">
        <f>VLOOKUP(F505,[1]!china_towns_second__2[[Column1]:[Y]],2,FALSE)</f>
        <v>113.1689155</v>
      </c>
      <c r="L505" t="s">
        <v>4081</v>
      </c>
      <c r="M505" t="str">
        <f>VLOOKUP(H505,CHOOSE({1,2},Table12[Native],Table12[Name]),2,0)</f>
        <v>Yīng Xiàn</v>
      </c>
      <c r="N505" s="13" t="str">
        <f>VLOOKUP(I505,CHOOSE({1,2},Table12[Native],Table12[Name]),2,0)</f>
        <v>Shuòzhōu Shì</v>
      </c>
      <c r="O505" s="13" t="str">
        <f t="shared" si="14"/>
        <v>Jincheng Zhen (Shuòzhōu Shì)</v>
      </c>
      <c r="P505" s="13" t="str">
        <f t="shared" si="15"/>
        <v>Jincheng Zhen (Shuòzhōu Shì)</v>
      </c>
    </row>
    <row r="506" spans="1:16" hidden="1" x14ac:dyDescent="0.25">
      <c r="A506" t="s">
        <v>1959</v>
      </c>
      <c r="B506" t="str">
        <f>IF(COUNTIF(A:A,A506)&gt;1,_xlfn.CONCAT(A506," (",N506,")"),A506)</f>
        <v>Jìncí Zhèn</v>
      </c>
      <c r="C506" t="str">
        <f>IF(COUNTIF(B:B,B506)&gt;1,_xlfn.CONCAT(A506," (",M506,")"),B506)</f>
        <v>Jìncí Zhèn</v>
      </c>
      <c r="D506" t="s">
        <v>1960</v>
      </c>
      <c r="E506" t="s">
        <v>7</v>
      </c>
      <c r="F506" t="str">
        <f>_xlfn.CONCAT(D506,", ",H506,", ",I506,", ","山西省")</f>
        <v>晋祠镇, 晋源区, 太原市, 山西省</v>
      </c>
      <c r="G506">
        <v>40871</v>
      </c>
      <c r="H506" t="s">
        <v>2972</v>
      </c>
      <c r="I506" t="s">
        <v>2969</v>
      </c>
      <c r="J506">
        <f>VLOOKUP(F506,[1]!china_towns_second__2[[Column1]:[Y]],3,FALSE)</f>
        <v>37.710887799408503</v>
      </c>
      <c r="K506">
        <f>VLOOKUP(F506,[1]!china_towns_second__2[[Column1]:[Y]],2,FALSE)</f>
        <v>112.4146507</v>
      </c>
      <c r="L506" t="s">
        <v>4082</v>
      </c>
      <c r="M506" t="str">
        <f>VLOOKUP(H506,CHOOSE({1,2},Table12[Native],Table12[Name]),2,0)</f>
        <v>Jìnyuán Qū</v>
      </c>
      <c r="N506" s="13" t="str">
        <f>VLOOKUP(I506,CHOOSE({1,2},Table12[Native],Table12[Name]),2,0)</f>
        <v>Tàiyuán Shì</v>
      </c>
      <c r="O506" s="13" t="str">
        <f t="shared" si="14"/>
        <v>Jinci Zhen (Tàiyuán Shì)</v>
      </c>
      <c r="P506" s="13" t="str">
        <f t="shared" si="15"/>
        <v>Jinci Zhen (Tàiyuán Shì)</v>
      </c>
    </row>
    <row r="507" spans="1:16" hidden="1" x14ac:dyDescent="0.25">
      <c r="A507" t="s">
        <v>689</v>
      </c>
      <c r="B507" t="str">
        <f>IF(COUNTIF(A:A,A507)&gt;1,_xlfn.CONCAT(A507," (",N507,")"),A507)</f>
        <v>Jīncūn Zhèn</v>
      </c>
      <c r="C507" t="str">
        <f>IF(COUNTIF(B:B,B507)&gt;1,_xlfn.CONCAT(A507," (",M507,")"),B507)</f>
        <v>Jīncūn Zhèn</v>
      </c>
      <c r="D507" t="s">
        <v>690</v>
      </c>
      <c r="E507" t="s">
        <v>7</v>
      </c>
      <c r="F507" t="str">
        <f>_xlfn.CONCAT(D507,", ",H507,", ",I507,", ","山西省")</f>
        <v>金村镇, 泽州县, 晋城市, 山西省</v>
      </c>
      <c r="G507">
        <v>51880</v>
      </c>
      <c r="H507" t="s">
        <v>2912</v>
      </c>
      <c r="I507" t="s">
        <v>2906</v>
      </c>
      <c r="J507">
        <f>VLOOKUP(F507,[1]!china_towns_second__2[[Column1]:[Y]],3,FALSE)</f>
        <v>35.470387080395398</v>
      </c>
      <c r="K507">
        <f>VLOOKUP(F507,[1]!china_towns_second__2[[Column1]:[Y]],2,FALSE)</f>
        <v>112.9641701</v>
      </c>
      <c r="L507" t="s">
        <v>4083</v>
      </c>
      <c r="M507" t="str">
        <f>VLOOKUP(H507,CHOOSE({1,2},Table12[Native],Table12[Name]),2,0)</f>
        <v>Zézhōu Xiàn</v>
      </c>
      <c r="N507" s="13" t="str">
        <f>VLOOKUP(I507,CHOOSE({1,2},Table12[Native],Table12[Name]),2,0)</f>
        <v>Jìnchéng Shì</v>
      </c>
      <c r="O507" s="13" t="str">
        <f t="shared" si="14"/>
        <v>Jincun Zhen (Jìnchéng Shì)</v>
      </c>
      <c r="P507" s="13" t="str">
        <f t="shared" si="15"/>
        <v>Jincun Zhen (Jìnchéng Shì)</v>
      </c>
    </row>
    <row r="508" spans="1:16" hidden="1" x14ac:dyDescent="0.25">
      <c r="A508" t="s">
        <v>1192</v>
      </c>
      <c r="B508" t="str">
        <f>IF(COUNTIF(A:A,A508)&gt;1,_xlfn.CONCAT(A508," (",N508,")"),A508)</f>
        <v>Jīndiàn Zhèn</v>
      </c>
      <c r="C508" t="str">
        <f>IF(COUNTIF(B:B,B508)&gt;1,_xlfn.CONCAT(A508," (",M508,")"),B508)</f>
        <v>Jīndiàn Zhèn</v>
      </c>
      <c r="D508" t="s">
        <v>1193</v>
      </c>
      <c r="E508" t="s">
        <v>7</v>
      </c>
      <c r="F508" t="str">
        <f>_xlfn.CONCAT(D508,", ",H508,", ",I508,", ","山西省")</f>
        <v>金殿镇, 尧都区, 临汾市, 山西省</v>
      </c>
      <c r="G508">
        <v>65795</v>
      </c>
      <c r="H508" t="s">
        <v>2942</v>
      </c>
      <c r="I508" t="s">
        <v>2927</v>
      </c>
      <c r="J508">
        <f>VLOOKUP(F508,[1]!china_towns_second__2[[Column1]:[Y]],3,FALSE)</f>
        <v>36.075173360362697</v>
      </c>
      <c r="K508">
        <f>VLOOKUP(F508,[1]!china_towns_second__2[[Column1]:[Y]],2,FALSE)</f>
        <v>111.38427969999999</v>
      </c>
      <c r="L508" t="s">
        <v>4084</v>
      </c>
      <c r="M508" t="str">
        <f>VLOOKUP(H508,CHOOSE({1,2},Table12[Native],Table12[Name]),2,0)</f>
        <v>Yáodū Qū</v>
      </c>
      <c r="N508" s="13" t="str">
        <f>VLOOKUP(I508,CHOOSE({1,2},Table12[Native],Table12[Name]),2,0)</f>
        <v>Línfén Shì</v>
      </c>
      <c r="O508" s="13" t="str">
        <f t="shared" si="14"/>
        <v>Jindian Zhen (Línfén Shì)</v>
      </c>
      <c r="P508" s="13" t="str">
        <f t="shared" si="15"/>
        <v>Jindian Zhen (Línfén Shì)</v>
      </c>
    </row>
    <row r="509" spans="1:16" hidden="1" x14ac:dyDescent="0.25">
      <c r="A509" t="s">
        <v>2248</v>
      </c>
      <c r="B509" t="str">
        <f>IF(COUNTIF(A:A,A509)&gt;1,_xlfn.CONCAT(A509," (",N509,")"),A509)</f>
        <v>Jīngăngkù Xiāng</v>
      </c>
      <c r="C509" t="str">
        <f>IF(COUNTIF(B:B,B509)&gt;1,_xlfn.CONCAT(A509," (",M509,")"),B509)</f>
        <v>Jīngăngkù Xiāng</v>
      </c>
      <c r="D509" t="s">
        <v>2249</v>
      </c>
      <c r="E509" t="s">
        <v>17</v>
      </c>
      <c r="F509" t="str">
        <f>_xlfn.CONCAT(D509,", ",H509,", ",I509,", ","山西省")</f>
        <v>金岗库乡, 五台县, 忻州市, 山西省</v>
      </c>
      <c r="G509">
        <v>2056</v>
      </c>
      <c r="H509" t="s">
        <v>2992</v>
      </c>
      <c r="I509" t="s">
        <v>2981</v>
      </c>
      <c r="J509" t="e">
        <f>VLOOKUP(F509,[1]!china_towns_second__2[[Column1]:[Y]],3,FALSE)</f>
        <v>#N/A</v>
      </c>
      <c r="K509" t="e">
        <f>VLOOKUP(F509,[1]!china_towns_second__2[[Column1]:[Y]],2,FALSE)</f>
        <v>#N/A</v>
      </c>
      <c r="L509" t="s">
        <v>4085</v>
      </c>
      <c r="M509" t="str">
        <f>VLOOKUP(H509,CHOOSE({1,2},Table12[Native],Table12[Name]),2,0)</f>
        <v>Wŭtái Xiàn</v>
      </c>
      <c r="N509" s="13" t="str">
        <f>VLOOKUP(I509,CHOOSE({1,2},Table12[Native],Table12[Name]),2,0)</f>
        <v>Xīnzhōu Shì</v>
      </c>
      <c r="O509" s="13" t="str">
        <f t="shared" si="14"/>
        <v>Jingangku Xiang (Xīnzhōu Shì)</v>
      </c>
      <c r="P509" s="13" t="str">
        <f t="shared" si="15"/>
        <v>Jingangku Xiang (Xīnzhōu Shì)</v>
      </c>
    </row>
    <row r="510" spans="1:16" hidden="1" x14ac:dyDescent="0.25">
      <c r="A510" t="s">
        <v>149</v>
      </c>
      <c r="B510" t="str">
        <f>IF(COUNTIF(A:A,A510)&gt;1,_xlfn.CONCAT(A510," (",N510,")"),A510)</f>
        <v>Jĭngfèng Xiāng</v>
      </c>
      <c r="C510" t="str">
        <f>IF(COUNTIF(B:B,B510)&gt;1,_xlfn.CONCAT(A510," (",M510,")"),B510)</f>
        <v>Jĭngfèng Xiāng</v>
      </c>
      <c r="D510" t="s">
        <v>150</v>
      </c>
      <c r="E510" t="s">
        <v>17</v>
      </c>
      <c r="F510" t="str">
        <f>_xlfn.CONCAT(D510,", ",H510,", ",I510,", ","山西省")</f>
        <v>景凤乡, 沁源县, 长治市, 山西省</v>
      </c>
      <c r="G510">
        <v>2077</v>
      </c>
      <c r="H510" t="s">
        <v>2888</v>
      </c>
      <c r="I510" t="s">
        <v>2878</v>
      </c>
      <c r="J510" t="e">
        <f>VLOOKUP(F510,[1]!china_towns_second__2[[Column1]:[Y]],3,FALSE)</f>
        <v>#N/A</v>
      </c>
      <c r="K510" t="e">
        <f>VLOOKUP(F510,[1]!china_towns_second__2[[Column1]:[Y]],2,FALSE)</f>
        <v>#N/A</v>
      </c>
      <c r="L510" t="s">
        <v>4086</v>
      </c>
      <c r="M510" t="str">
        <f>VLOOKUP(H510,CHOOSE({1,2},Table12[Native],Table12[Name]),2,0)</f>
        <v>Qìnyuán Xiàn</v>
      </c>
      <c r="N510" s="13" t="str">
        <f>VLOOKUP(I510,CHOOSE({1,2},Table12[Native],Table12[Name]),2,0)</f>
        <v>Chángzhì Shì</v>
      </c>
      <c r="O510" s="13" t="str">
        <f t="shared" si="14"/>
        <v>Jingfeng Xiang (Chángzhì Shì)</v>
      </c>
      <c r="P510" s="13" t="str">
        <f t="shared" si="15"/>
        <v>Jingfeng Xiang (Chángzhì Shì)</v>
      </c>
    </row>
    <row r="511" spans="1:16" hidden="1" x14ac:dyDescent="0.25">
      <c r="A511" t="s">
        <v>421</v>
      </c>
      <c r="B511" t="str">
        <f>IF(COUNTIF(A:A,A511)&gt;1,_xlfn.CONCAT(A511," (",N511,")"),A511)</f>
        <v>Jīngjì Jìshù Kāifāqū</v>
      </c>
      <c r="C511" t="str">
        <f>IF(COUNTIF(B:B,B511)&gt;1,_xlfn.CONCAT(A511," (",M511,")"),B511)</f>
        <v>Jīngjì Jìshù Kāifāqū</v>
      </c>
      <c r="D511" t="s">
        <v>422</v>
      </c>
      <c r="E511" t="s">
        <v>35</v>
      </c>
      <c r="F511" t="str">
        <f>_xlfn.CONCAT(D511,", ",H511,", ",I511,", ","山西省")</f>
        <v>经济技术开发区, 云州区, 大同市, 山西省</v>
      </c>
      <c r="G511">
        <v>16161</v>
      </c>
      <c r="H511" t="s">
        <v>2903</v>
      </c>
      <c r="I511" t="s">
        <v>2894</v>
      </c>
      <c r="J511">
        <f>VLOOKUP(F511,[1]!china_towns_second__2[[Column1]:[Y]],3,FALSE)</f>
        <v>40.038459036966998</v>
      </c>
      <c r="K511">
        <f>VLOOKUP(F511,[1]!china_towns_second__2[[Column1]:[Y]],2,FALSE)</f>
        <v>113.41200019999999</v>
      </c>
      <c r="L511" t="s">
        <v>4087</v>
      </c>
      <c r="M511" t="str">
        <f>VLOOKUP(H511,CHOOSE({1,2},Table12[Native],Table12[Name]),2,0)</f>
        <v>Yúnzhōu Qū</v>
      </c>
      <c r="N511" s="13" t="str">
        <f>VLOOKUP(I511,CHOOSE({1,2},Table12[Native],Table12[Name]),2,0)</f>
        <v>Dàtóng Shì</v>
      </c>
      <c r="O511" s="13" t="str">
        <f t="shared" si="14"/>
        <v>Jingji Jishu Kaifaqu (Dàtóng Shì)</v>
      </c>
      <c r="P511" s="13" t="str">
        <f t="shared" si="15"/>
        <v>Jingji Jishu Kaifaqu (Dàtóng Shì)</v>
      </c>
    </row>
    <row r="512" spans="1:16" hidden="1" x14ac:dyDescent="0.25">
      <c r="A512" t="s">
        <v>1194</v>
      </c>
      <c r="B512" t="str">
        <f>IF(COUNTIF(A:A,A512)&gt;1,_xlfn.CONCAT(A512," (",N512,")"),A512)</f>
        <v>Jĭngmáo Xiāng</v>
      </c>
      <c r="C512" t="str">
        <f>IF(COUNTIF(B:B,B512)&gt;1,_xlfn.CONCAT(A512," (",M512,")"),B512)</f>
        <v>Jĭngmáo Xiāng</v>
      </c>
      <c r="D512" t="s">
        <v>1195</v>
      </c>
      <c r="E512" t="s">
        <v>17</v>
      </c>
      <c r="F512" t="str">
        <f>_xlfn.CONCAT(D512,", ",H512,", ",I512,", ","山西省")</f>
        <v>景毛乡, 襄汾县, 临汾市, 山西省</v>
      </c>
      <c r="G512">
        <v>16558</v>
      </c>
      <c r="H512" t="s">
        <v>2939</v>
      </c>
      <c r="I512" t="s">
        <v>2927</v>
      </c>
      <c r="J512" t="e">
        <f>VLOOKUP(F512,[1]!china_towns_second__2[[Column1]:[Y]],3,FALSE)</f>
        <v>#N/A</v>
      </c>
      <c r="K512" t="e">
        <f>VLOOKUP(F512,[1]!china_towns_second__2[[Column1]:[Y]],2,FALSE)</f>
        <v>#N/A</v>
      </c>
      <c r="L512" t="s">
        <v>4088</v>
      </c>
      <c r="M512" t="str">
        <f>VLOOKUP(H512,CHOOSE({1,2},Table12[Native],Table12[Name]),2,0)</f>
        <v>Xiāngfén Xiàn</v>
      </c>
      <c r="N512" s="13" t="str">
        <f>VLOOKUP(I512,CHOOSE({1,2},Table12[Native],Table12[Name]),2,0)</f>
        <v>Línfén Shì</v>
      </c>
      <c r="O512" s="13" t="str">
        <f t="shared" si="14"/>
        <v>Jingmao Xiang (Línfén Shì)</v>
      </c>
      <c r="P512" s="13" t="str">
        <f t="shared" si="15"/>
        <v>Jingmao Xiang (Línfén Shì)</v>
      </c>
    </row>
    <row r="513" spans="1:16" hidden="1" x14ac:dyDescent="0.25">
      <c r="A513" t="s">
        <v>1784</v>
      </c>
      <c r="B513" t="str">
        <f>IF(COUNTIF(A:A,A513)&gt;1,_xlfn.CONCAT(A513," (",N513,")"),A513)</f>
        <v>Jĭngpíng Zhèn</v>
      </c>
      <c r="C513" t="str">
        <f>IF(COUNTIF(B:B,B513)&gt;1,_xlfn.CONCAT(A513," (",M513,")"),B513)</f>
        <v>Jĭngpíng Zhèn</v>
      </c>
      <c r="D513" t="s">
        <v>1785</v>
      </c>
      <c r="E513" t="s">
        <v>7</v>
      </c>
      <c r="F513" t="str">
        <f>_xlfn.CONCAT(D513,", ",H513,", ",I513,", ","山西省")</f>
        <v>井坪镇, 平鲁区, 朔州市, 山西省</v>
      </c>
      <c r="G513">
        <v>101297</v>
      </c>
      <c r="H513" t="s">
        <v>2963</v>
      </c>
      <c r="I513" t="s">
        <v>2961</v>
      </c>
      <c r="J513">
        <f>VLOOKUP(F513,[1]!china_towns_second__2[[Column1]:[Y]],3,FALSE)</f>
        <v>39.532071962735202</v>
      </c>
      <c r="K513">
        <f>VLOOKUP(F513,[1]!china_towns_second__2[[Column1]:[Y]],2,FALSE)</f>
        <v>112.25327729999999</v>
      </c>
      <c r="L513" t="s">
        <v>4089</v>
      </c>
      <c r="M513" t="str">
        <f>VLOOKUP(H513,CHOOSE({1,2},Table12[Native],Table12[Name]),2,0)</f>
        <v>Pínglŭ Qū</v>
      </c>
      <c r="N513" s="13" t="str">
        <f>VLOOKUP(I513,CHOOSE({1,2},Table12[Native],Table12[Name]),2,0)</f>
        <v>Shuòzhōu Shì</v>
      </c>
      <c r="O513" s="13" t="str">
        <f t="shared" si="14"/>
        <v>Jingping Zhen (Shuòzhōu Shì)</v>
      </c>
      <c r="P513" s="13" t="str">
        <f t="shared" si="15"/>
        <v>Jingping Zhen (Shuòzhōu Shì)</v>
      </c>
    </row>
    <row r="514" spans="1:16" hidden="1" x14ac:dyDescent="0.25">
      <c r="A514" t="s">
        <v>882</v>
      </c>
      <c r="B514" t="str">
        <f>IF(COUNTIF(A:A,A514)&gt;1,_xlfn.CONCAT(A514," (",N514,")"),A514)</f>
        <v>Jĭngshàng Xiāng</v>
      </c>
      <c r="C514" t="str">
        <f>IF(COUNTIF(B:B,B514)&gt;1,_xlfn.CONCAT(A514," (",M514,")"),B514)</f>
        <v>Jĭngshàng Xiāng</v>
      </c>
      <c r="D514" t="s">
        <v>883</v>
      </c>
      <c r="E514" t="s">
        <v>17</v>
      </c>
      <c r="F514" t="str">
        <f>_xlfn.CONCAT(D514,", ",H514,", ",I514,", ","山西省")</f>
        <v>景尚乡, 寿阳县, 晋中市, 山西省</v>
      </c>
      <c r="G514">
        <v>4593</v>
      </c>
      <c r="H514" t="s">
        <v>2920</v>
      </c>
      <c r="I514" t="s">
        <v>2914</v>
      </c>
      <c r="J514" t="e">
        <f>VLOOKUP(F514,[1]!china_towns_second__2[[Column1]:[Y]],3,FALSE)</f>
        <v>#N/A</v>
      </c>
      <c r="K514" t="e">
        <f>VLOOKUP(F514,[1]!china_towns_second__2[[Column1]:[Y]],2,FALSE)</f>
        <v>#N/A</v>
      </c>
      <c r="L514" t="s">
        <v>4090</v>
      </c>
      <c r="M514" t="str">
        <f>VLOOKUP(H514,CHOOSE({1,2},Table12[Native],Table12[Name]),2,0)</f>
        <v>Shòuyáng Xiàn</v>
      </c>
      <c r="N514" s="13" t="str">
        <f>VLOOKUP(I514,CHOOSE({1,2},Table12[Native],Table12[Name]),2,0)</f>
        <v>Jìnzhōng Shì</v>
      </c>
      <c r="O514" s="13" t="str">
        <f t="shared" ref="O514:O577" si="16">_xlfn.CONCAT(L514," (",N514,")")</f>
        <v>Jingshang Xiang (Jìnzhōng Shì)</v>
      </c>
      <c r="P514" s="13" t="str">
        <f t="shared" ref="P514:P577" si="17">IF(COUNTIF(O:O,O514)&gt;1,_xlfn.CONCAT(L514," (",M514,")"),O514)</f>
        <v>Jingshang Xiang (Jìnzhōng Shì)</v>
      </c>
    </row>
    <row r="515" spans="1:16" hidden="1" x14ac:dyDescent="0.25">
      <c r="A515" t="s">
        <v>884</v>
      </c>
      <c r="B515" t="str">
        <f>IF(COUNTIF(A:A,A515)&gt;1,_xlfn.CONCAT(A515," (",N515,")"),A515)</f>
        <v>Jìngshēng Zhèn</v>
      </c>
      <c r="C515" t="str">
        <f>IF(COUNTIF(B:B,B515)&gt;1,_xlfn.CONCAT(A515," (",M515,")"),B515)</f>
        <v>Jìngshēng Zhèn</v>
      </c>
      <c r="D515" t="s">
        <v>885</v>
      </c>
      <c r="E515" t="s">
        <v>7</v>
      </c>
      <c r="F515" t="str">
        <f>_xlfn.CONCAT(D515,", ",H515,", ",I515,", ","山西省")</f>
        <v>静升镇, 灵石县, 晋中市, 山西省</v>
      </c>
      <c r="G515">
        <v>28767</v>
      </c>
      <c r="H515" t="s">
        <v>2917</v>
      </c>
      <c r="I515" t="s">
        <v>2914</v>
      </c>
      <c r="J515">
        <f>VLOOKUP(F515,[1]!china_towns_second__2[[Column1]:[Y]],3,FALSE)</f>
        <v>36.902864650759803</v>
      </c>
      <c r="K515">
        <f>VLOOKUP(F515,[1]!china_towns_second__2[[Column1]:[Y]],2,FALSE)</f>
        <v>111.8563561</v>
      </c>
      <c r="L515" t="s">
        <v>4091</v>
      </c>
      <c r="M515" t="str">
        <f>VLOOKUP(H515,CHOOSE({1,2},Table12[Native],Table12[Name]),2,0)</f>
        <v>Língshí Xiàn</v>
      </c>
      <c r="N515" s="13" t="str">
        <f>VLOOKUP(I515,CHOOSE({1,2},Table12[Native],Table12[Name]),2,0)</f>
        <v>Jìnzhōng Shì</v>
      </c>
      <c r="O515" s="13" t="str">
        <f t="shared" si="16"/>
        <v>Jingsheng Zhen (Jìnzhōng Shì)</v>
      </c>
      <c r="P515" s="13" t="str">
        <f t="shared" si="17"/>
        <v>Jingsheng Zhen (Jìnzhōng Shì)</v>
      </c>
    </row>
    <row r="516" spans="1:16" hidden="1" x14ac:dyDescent="0.25">
      <c r="A516" t="s">
        <v>886</v>
      </c>
      <c r="B516" t="str">
        <f>IF(COUNTIF(A:A,A516)&gt;1,_xlfn.CONCAT(A516," (",N516,")"),A516)</f>
        <v>Jīngwĕi Jiēdào</v>
      </c>
      <c r="C516" t="str">
        <f>IF(COUNTIF(B:B,B516)&gt;1,_xlfn.CONCAT(A516," (",M516,")"),B516)</f>
        <v>Jīngwĕi Jiēdào</v>
      </c>
      <c r="D516" t="s">
        <v>887</v>
      </c>
      <c r="E516" t="s">
        <v>31</v>
      </c>
      <c r="F516" t="str">
        <f>_xlfn.CONCAT(D516,", ",H516,", ",I516,", ","山西省")</f>
        <v>经纬街道, 榆次区, 晋中市, 山西省</v>
      </c>
      <c r="G516">
        <v>20037</v>
      </c>
      <c r="H516" t="s">
        <v>2923</v>
      </c>
      <c r="I516" t="s">
        <v>2914</v>
      </c>
      <c r="J516">
        <f>VLOOKUP(F516,[1]!china_towns_second__2[[Column1]:[Y]],3,FALSE)</f>
        <v>37.680753855234798</v>
      </c>
      <c r="K516">
        <f>VLOOKUP(F516,[1]!china_towns_second__2[[Column1]:[Y]],2,FALSE)</f>
        <v>112.69405089999999</v>
      </c>
      <c r="L516" t="s">
        <v>4092</v>
      </c>
      <c r="M516" t="str">
        <f>VLOOKUP(H516,CHOOSE({1,2},Table12[Native],Table12[Name]),2,0)</f>
        <v>Yúcì Qū</v>
      </c>
      <c r="N516" s="13" t="str">
        <f>VLOOKUP(I516,CHOOSE({1,2},Table12[Native],Table12[Name]),2,0)</f>
        <v>Jìnzhōng Shì</v>
      </c>
      <c r="O516" s="13" t="str">
        <f t="shared" si="16"/>
        <v>Jingwei Jiedao (Jìnzhōng Shì)</v>
      </c>
      <c r="P516" s="13" t="str">
        <f t="shared" si="17"/>
        <v>Jingwei Jiedao (Jìnzhōng Shì)</v>
      </c>
    </row>
    <row r="517" spans="1:16" hidden="1" x14ac:dyDescent="0.25">
      <c r="A517" t="s">
        <v>1962</v>
      </c>
      <c r="B517" t="str">
        <f>IF(COUNTIF(A:A,A517)&gt;1,_xlfn.CONCAT(A517," (",N517,")"),A517)</f>
        <v>Jìngyóu Zhèn</v>
      </c>
      <c r="C517" t="str">
        <f>IF(COUNTIF(B:B,B517)&gt;1,_xlfn.CONCAT(A517," (",M517,")"),B517)</f>
        <v>Jìngyóu Zhèn</v>
      </c>
      <c r="D517" t="s">
        <v>1963</v>
      </c>
      <c r="E517" t="s">
        <v>7</v>
      </c>
      <c r="F517" t="str">
        <f>_xlfn.CONCAT(D517,", ",H517,", ",I517,", ","山西省")</f>
        <v>静游镇, 娄烦县, 太原市, 山西省</v>
      </c>
      <c r="G517">
        <v>17921</v>
      </c>
      <c r="H517" t="s">
        <v>2973</v>
      </c>
      <c r="I517" t="s">
        <v>2969</v>
      </c>
      <c r="J517">
        <f>VLOOKUP(F517,[1]!china_towns_second__2[[Column1]:[Y]],3,FALSE)</f>
        <v>38.158584299797397</v>
      </c>
      <c r="K517">
        <f>VLOOKUP(F517,[1]!china_towns_second__2[[Column1]:[Y]],2,FALSE)</f>
        <v>111.7970318</v>
      </c>
      <c r="L517" t="s">
        <v>4093</v>
      </c>
      <c r="M517" t="str">
        <f>VLOOKUP(H517,CHOOSE({1,2},Table12[Native],Table12[Name]),2,0)</f>
        <v>Lóufán Xiàn</v>
      </c>
      <c r="N517" s="13" t="str">
        <f>VLOOKUP(I517,CHOOSE({1,2},Table12[Native],Table12[Name]),2,0)</f>
        <v>Tàiyuán Shì</v>
      </c>
      <c r="O517" s="13" t="str">
        <f t="shared" si="16"/>
        <v>Jingyou Zhen (Tàiyuán Shì)</v>
      </c>
      <c r="P517" s="13" t="str">
        <f t="shared" si="17"/>
        <v>Jingyou Zhen (Tàiyuán Shì)</v>
      </c>
    </row>
    <row r="518" spans="1:16" hidden="1" x14ac:dyDescent="0.25">
      <c r="A518" t="s">
        <v>888</v>
      </c>
      <c r="B518" t="str">
        <f>IF(COUNTIF(A:A,A518)&gt;1,_xlfn.CONCAT(A518," (",N518,")"),A518)</f>
        <v>Jìnhuá Jiēdào</v>
      </c>
      <c r="C518" t="str">
        <f>IF(COUNTIF(B:B,B518)&gt;1,_xlfn.CONCAT(A518," (",M518,")"),B518)</f>
        <v>Jìnhuá Jiēdào</v>
      </c>
      <c r="D518" t="s">
        <v>889</v>
      </c>
      <c r="E518" t="s">
        <v>31</v>
      </c>
      <c r="F518" t="str">
        <f>_xlfn.CONCAT(D518,", ",H518,", ",I518,", ","山西省")</f>
        <v>晋华街道, 榆次区, 晋中市, 山西省</v>
      </c>
      <c r="G518">
        <v>50413</v>
      </c>
      <c r="H518" t="s">
        <v>2923</v>
      </c>
      <c r="I518" t="s">
        <v>2914</v>
      </c>
      <c r="J518">
        <f>VLOOKUP(F518,[1]!china_towns_second__2[[Column1]:[Y]],3,FALSE)</f>
        <v>37.690937127196698</v>
      </c>
      <c r="K518">
        <f>VLOOKUP(F518,[1]!china_towns_second__2[[Column1]:[Y]],2,FALSE)</f>
        <v>112.73068739999999</v>
      </c>
      <c r="L518" t="s">
        <v>4094</v>
      </c>
      <c r="M518" t="str">
        <f>VLOOKUP(H518,CHOOSE({1,2},Table12[Native],Table12[Name]),2,0)</f>
        <v>Yúcì Qū</v>
      </c>
      <c r="N518" s="13" t="str">
        <f>VLOOKUP(I518,CHOOSE({1,2},Table12[Native],Table12[Name]),2,0)</f>
        <v>Jìnzhōng Shì</v>
      </c>
      <c r="O518" s="13" t="str">
        <f t="shared" si="16"/>
        <v>Jinhua Jiedao (Jìnzhōng Shì)</v>
      </c>
      <c r="P518" s="13" t="str">
        <f t="shared" si="17"/>
        <v>Jinhua Jiedao (Jìnzhōng Shì)</v>
      </c>
    </row>
    <row r="519" spans="1:16" hidden="1" x14ac:dyDescent="0.25">
      <c r="A519" t="s">
        <v>423</v>
      </c>
      <c r="B519" t="str">
        <f>IF(COUNTIF(A:A,A519)&gt;1,_xlfn.CONCAT(A519," (",N519,")"),A519)</f>
        <v>Jìnhuágōng Jiēdào</v>
      </c>
      <c r="C519" t="str">
        <f>IF(COUNTIF(B:B,B519)&gt;1,_xlfn.CONCAT(A519," (",M519,")"),B519)</f>
        <v>Jìnhuágōng Jiēdào</v>
      </c>
      <c r="D519" t="s">
        <v>424</v>
      </c>
      <c r="E519" t="s">
        <v>31</v>
      </c>
      <c r="F519" t="str">
        <f>_xlfn.CONCAT(D519,", ",H519,", ",I519,", ","山西省")</f>
        <v>晋华宫街道, 云冈区, 大同市, 山西省</v>
      </c>
      <c r="G519">
        <v>20406</v>
      </c>
      <c r="H519" t="s">
        <v>2902</v>
      </c>
      <c r="I519" t="s">
        <v>2894</v>
      </c>
      <c r="J519" t="e">
        <f>VLOOKUP(F519,[1]!china_towns_second__2[[Column1]:[Y]],3,FALSE)</f>
        <v>#N/A</v>
      </c>
      <c r="K519" t="e">
        <f>VLOOKUP(F519,[1]!china_towns_second__2[[Column1]:[Y]],2,FALSE)</f>
        <v>#N/A</v>
      </c>
      <c r="L519" t="s">
        <v>4095</v>
      </c>
      <c r="M519" t="str">
        <f>VLOOKUP(H519,CHOOSE({1,2},Table12[Native],Table12[Name]),2,0)</f>
        <v>Yúngāng Qū</v>
      </c>
      <c r="N519" s="13" t="str">
        <f>VLOOKUP(I519,CHOOSE({1,2},Table12[Native],Table12[Name]),2,0)</f>
        <v>Dàtóng Shì</v>
      </c>
      <c r="O519" s="13" t="str">
        <f t="shared" si="16"/>
        <v>Jinhuagong Jiedao (Dàtóng Shì)</v>
      </c>
      <c r="P519" s="13" t="str">
        <f t="shared" si="17"/>
        <v>Jinhuagong Jiedao (Dàtóng Shì)</v>
      </c>
    </row>
    <row r="520" spans="1:16" hidden="1" x14ac:dyDescent="0.25">
      <c r="A520" t="s">
        <v>1518</v>
      </c>
      <c r="B520" t="str">
        <f>IF(COUNTIF(A:A,A520)&gt;1,_xlfn.CONCAT(A520," (",N520,")"),A520)</f>
        <v>Jīnjiāzhuāng Xiāng</v>
      </c>
      <c r="C520" t="str">
        <f>IF(COUNTIF(B:B,B520)&gt;1,_xlfn.CONCAT(A520," (",M520,")"),B520)</f>
        <v>Jīnjiāzhuāng Xiāng</v>
      </c>
      <c r="D520" t="s">
        <v>1519</v>
      </c>
      <c r="E520" t="s">
        <v>17</v>
      </c>
      <c r="F520" t="str">
        <f>_xlfn.CONCAT(D520,", ",H520,", ",I520,", ","山西省")</f>
        <v>金家庄乡, 柳林县, 吕梁市, 山西省</v>
      </c>
      <c r="G520">
        <v>10512</v>
      </c>
      <c r="H520" t="s">
        <v>2954</v>
      </c>
      <c r="I520" t="s">
        <v>2946</v>
      </c>
      <c r="J520" t="e">
        <f>VLOOKUP(F520,[1]!china_towns_second__2[[Column1]:[Y]],3,FALSE)</f>
        <v>#N/A</v>
      </c>
      <c r="K520" t="e">
        <f>VLOOKUP(F520,[1]!china_towns_second__2[[Column1]:[Y]],2,FALSE)</f>
        <v>#N/A</v>
      </c>
      <c r="L520" t="s">
        <v>4096</v>
      </c>
      <c r="M520" t="str">
        <f>VLOOKUP(H520,CHOOSE({1,2},Table12[Native],Table12[Name]),2,0)</f>
        <v>Liŭlín Xiàn</v>
      </c>
      <c r="N520" s="13" t="str">
        <f>VLOOKUP(I520,CHOOSE({1,2},Table12[Native],Table12[Name]),2,0)</f>
        <v>Lǚliáng Shì</v>
      </c>
      <c r="O520" s="13" t="str">
        <f t="shared" si="16"/>
        <v>Jinjiazhuang Xiang (Lǚliáng Shì)</v>
      </c>
      <c r="P520" s="13" t="str">
        <f t="shared" si="17"/>
        <v>Jinjiazhuang Xiang (Lǚliáng Shì)</v>
      </c>
    </row>
    <row r="521" spans="1:16" hidden="1" x14ac:dyDescent="0.25">
      <c r="A521" t="s">
        <v>2697</v>
      </c>
      <c r="B521" t="str">
        <f>IF(COUNTIF(A:A,A521)&gt;1,_xlfn.CONCAT(A521," (",N521,")"),A521)</f>
        <v>Jīnjĭng Xiāng</v>
      </c>
      <c r="C521" t="str">
        <f>IF(COUNTIF(B:B,B521)&gt;1,_xlfn.CONCAT(A521," (",M521,")"),B521)</f>
        <v>Jīnjĭng Xiāng</v>
      </c>
      <c r="D521" t="s">
        <v>2698</v>
      </c>
      <c r="E521" t="s">
        <v>17</v>
      </c>
      <c r="F521" t="str">
        <f>_xlfn.CONCAT(D521,", ",H521,", ",I521,", ","山西省")</f>
        <v>金井乡, 盐湖区, 运城市, 山西省</v>
      </c>
      <c r="G521">
        <v>21934</v>
      </c>
      <c r="H521" t="s">
        <v>3014</v>
      </c>
      <c r="I521" t="s">
        <v>3003</v>
      </c>
      <c r="J521" t="e">
        <f>VLOOKUP(F521,[1]!china_towns_second__2[[Column1]:[Y]],3,FALSE)</f>
        <v>#N/A</v>
      </c>
      <c r="K521" t="e">
        <f>VLOOKUP(F521,[1]!china_towns_second__2[[Column1]:[Y]],2,FALSE)</f>
        <v>#N/A</v>
      </c>
      <c r="L521" t="s">
        <v>4097</v>
      </c>
      <c r="M521" t="str">
        <f>VLOOKUP(H521,CHOOSE({1,2},Table12[Native],Table12[Name]),2,0)</f>
        <v>Yánhú Qū</v>
      </c>
      <c r="N521" s="13" t="str">
        <f>VLOOKUP(I521,CHOOSE({1,2},Table12[Native],Table12[Name]),2,0)</f>
        <v>Yùnchéng Shì</v>
      </c>
      <c r="O521" s="13" t="str">
        <f t="shared" si="16"/>
        <v>Jinjing Xiang (Yùnchéng Shì)</v>
      </c>
      <c r="P521" s="13" t="str">
        <f t="shared" si="17"/>
        <v>Jinjing Xiang (Yùnchéng Shì)</v>
      </c>
    </row>
    <row r="522" spans="1:16" hidden="1" x14ac:dyDescent="0.25">
      <c r="A522" t="s">
        <v>890</v>
      </c>
      <c r="B522" t="str">
        <f>IF(COUNTIF(A:A,A522)&gt;1,_xlfn.CONCAT(A522," (",N522,")"),A522)</f>
        <v>Jĭnlún Jiēdào</v>
      </c>
      <c r="C522" t="str">
        <f>IF(COUNTIF(B:B,B522)&gt;1,_xlfn.CONCAT(A522," (",M522,")"),B522)</f>
        <v>Jĭnlún Jiēdào</v>
      </c>
      <c r="D522" t="s">
        <v>891</v>
      </c>
      <c r="E522" t="s">
        <v>31</v>
      </c>
      <c r="F522" t="str">
        <f>_xlfn.CONCAT(D522,", ",H522,", ",I522,", ","山西省")</f>
        <v>锦纶街道, 榆次区, 晋中市, 山西省</v>
      </c>
      <c r="G522">
        <v>41713</v>
      </c>
      <c r="H522" t="s">
        <v>2923</v>
      </c>
      <c r="I522" t="s">
        <v>2914</v>
      </c>
      <c r="J522">
        <f>VLOOKUP(F522,[1]!china_towns_second__2[[Column1]:[Y]],3,FALSE)</f>
        <v>37.707577343558597</v>
      </c>
      <c r="K522">
        <f>VLOOKUP(F522,[1]!china_towns_second__2[[Column1]:[Y]],2,FALSE)</f>
        <v>112.7539793</v>
      </c>
      <c r="L522" t="s">
        <v>4098</v>
      </c>
      <c r="M522" t="str">
        <f>VLOOKUP(H522,CHOOSE({1,2},Table12[Native],Table12[Name]),2,0)</f>
        <v>Yúcì Qū</v>
      </c>
      <c r="N522" s="13" t="str">
        <f>VLOOKUP(I522,CHOOSE({1,2},Table12[Native],Table12[Name]),2,0)</f>
        <v>Jìnzhōng Shì</v>
      </c>
      <c r="O522" s="13" t="str">
        <f t="shared" si="16"/>
        <v>Jinlun Jiedao (Jìnzhōng Shì)</v>
      </c>
      <c r="P522" s="13" t="str">
        <f t="shared" si="17"/>
        <v>Jinlun Jiedao (Jìnzhōng Shì)</v>
      </c>
    </row>
    <row r="523" spans="1:16" hidden="1" x14ac:dyDescent="0.25">
      <c r="A523" t="s">
        <v>1520</v>
      </c>
      <c r="B523" t="str">
        <f>IF(COUNTIF(A:A,A523)&gt;1,_xlfn.CONCAT(A523," (",N523,")"),A523)</f>
        <v>Jīnluó Zhèn</v>
      </c>
      <c r="C523" t="str">
        <f>IF(COUNTIF(B:B,B523)&gt;1,_xlfn.CONCAT(A523," (",M523,")"),B523)</f>
        <v>Jīnluó Zhèn</v>
      </c>
      <c r="D523" t="s">
        <v>1521</v>
      </c>
      <c r="E523" t="s">
        <v>7</v>
      </c>
      <c r="F523" t="str">
        <f>_xlfn.CONCAT(D523,", ",H523,", ",I523,", ","山西省")</f>
        <v>金罗镇, 中阳县, 吕梁市, 山西省</v>
      </c>
      <c r="G523">
        <v>21834</v>
      </c>
      <c r="H523" t="s">
        <v>2959</v>
      </c>
      <c r="I523" t="s">
        <v>2946</v>
      </c>
      <c r="J523">
        <f>VLOOKUP(F523,[1]!china_towns_second__2[[Column1]:[Y]],3,FALSE)</f>
        <v>37.428240567192901</v>
      </c>
      <c r="K523">
        <f>VLOOKUP(F523,[1]!china_towns_second__2[[Column1]:[Y]],2,FALSE)</f>
        <v>111.10995200000001</v>
      </c>
      <c r="L523" t="s">
        <v>4099</v>
      </c>
      <c r="M523" t="str">
        <f>VLOOKUP(H523,CHOOSE({1,2},Table12[Native],Table12[Name]),2,0)</f>
        <v>Zhōngyáng Xiàn</v>
      </c>
      <c r="N523" s="13" t="str">
        <f>VLOOKUP(I523,CHOOSE({1,2},Table12[Native],Table12[Name]),2,0)</f>
        <v>Lǚliáng Shì</v>
      </c>
      <c r="O523" s="13" t="str">
        <f t="shared" si="16"/>
        <v>Jinluo Zhen (Lǚliáng Shì)</v>
      </c>
      <c r="P523" s="13" t="str">
        <f t="shared" si="17"/>
        <v>Jinluo Zhen (Lǚliáng Shì)</v>
      </c>
    </row>
    <row r="524" spans="1:16" hidden="1" x14ac:dyDescent="0.25">
      <c r="A524" t="s">
        <v>691</v>
      </c>
      <c r="B524" t="str">
        <f>IF(COUNTIF(A:A,A524)&gt;1,_xlfn.CONCAT(A524," (",N524,")"),A524)</f>
        <v>Jìnmiàopū Zhèn</v>
      </c>
      <c r="C524" t="str">
        <f>IF(COUNTIF(B:B,B524)&gt;1,_xlfn.CONCAT(A524," (",M524,")"),B524)</f>
        <v>Jìnmiàopū Zhèn</v>
      </c>
      <c r="D524" t="s">
        <v>692</v>
      </c>
      <c r="E524" t="s">
        <v>7</v>
      </c>
      <c r="F524" t="str">
        <f>_xlfn.CONCAT(D524,", ",H524,", ",I524,", ","山西省")</f>
        <v>晋庙铺镇, 泽州县, 晋城市, 山西省</v>
      </c>
      <c r="G524">
        <v>19107</v>
      </c>
      <c r="H524" t="s">
        <v>2912</v>
      </c>
      <c r="I524" t="s">
        <v>2906</v>
      </c>
      <c r="J524">
        <f>VLOOKUP(F524,[1]!china_towns_second__2[[Column1]:[Y]],3,FALSE)</f>
        <v>35.3085773911111</v>
      </c>
      <c r="K524">
        <f>VLOOKUP(F524,[1]!china_towns_second__2[[Column1]:[Y]],2,FALSE)</f>
        <v>112.8652809</v>
      </c>
      <c r="L524" t="s">
        <v>4100</v>
      </c>
      <c r="M524" t="str">
        <f>VLOOKUP(H524,CHOOSE({1,2},Table12[Native],Table12[Name]),2,0)</f>
        <v>Zézhōu Xiàn</v>
      </c>
      <c r="N524" s="13" t="str">
        <f>VLOOKUP(I524,CHOOSE({1,2},Table12[Native],Table12[Name]),2,0)</f>
        <v>Jìnchéng Shì</v>
      </c>
      <c r="O524" s="13" t="str">
        <f t="shared" si="16"/>
        <v>Jinmiaopu Zhen (Jìnchéng Shì)</v>
      </c>
      <c r="P524" s="13" t="str">
        <f t="shared" si="17"/>
        <v>Jinmiaopu Zhen (Jìnchéng Shì)</v>
      </c>
    </row>
    <row r="525" spans="1:16" hidden="1" x14ac:dyDescent="0.25">
      <c r="A525" t="s">
        <v>2250</v>
      </c>
      <c r="B525" t="str">
        <f>IF(COUNTIF(A:A,A525)&gt;1,_xlfn.CONCAT(A525," (",N525,")"),A525)</f>
        <v>Jīnshānpū Xiāng</v>
      </c>
      <c r="C525" t="str">
        <f>IF(COUNTIF(B:B,B525)&gt;1,_xlfn.CONCAT(A525," (",M525,")"),B525)</f>
        <v>Jīnshānpū Xiāng</v>
      </c>
      <c r="D525" t="s">
        <v>2251</v>
      </c>
      <c r="E525" t="s">
        <v>17</v>
      </c>
      <c r="F525" t="str">
        <f>_xlfn.CONCAT(D525,", ",H525,", ",I525,", ","山西省")</f>
        <v>金山铺乡, 繁峙县, 忻州市, 山西省</v>
      </c>
      <c r="G525">
        <v>14023</v>
      </c>
      <c r="H525" t="s">
        <v>2985</v>
      </c>
      <c r="I525" t="s">
        <v>2981</v>
      </c>
      <c r="J525" t="e">
        <f>VLOOKUP(F525,[1]!china_towns_second__2[[Column1]:[Y]],3,FALSE)</f>
        <v>#N/A</v>
      </c>
      <c r="K525" t="e">
        <f>VLOOKUP(F525,[1]!china_towns_second__2[[Column1]:[Y]],2,FALSE)</f>
        <v>#N/A</v>
      </c>
      <c r="L525" t="s">
        <v>4101</v>
      </c>
      <c r="M525" t="str">
        <f>VLOOKUP(H525,CHOOSE({1,2},Table12[Native],Table12[Name]),2,0)</f>
        <v>Fánshì Xiàn</v>
      </c>
      <c r="N525" s="13" t="str">
        <f>VLOOKUP(I525,CHOOSE({1,2},Table12[Native],Table12[Name]),2,0)</f>
        <v>Xīnzhōu Shì</v>
      </c>
      <c r="O525" s="13" t="str">
        <f t="shared" si="16"/>
        <v>Jinshanpu Xiang (Xīnzhōu Shì)</v>
      </c>
      <c r="P525" s="13" t="str">
        <f t="shared" si="17"/>
        <v>Jinshanpu Xiang (Xīnzhōu Shì)</v>
      </c>
    </row>
    <row r="526" spans="1:16" hidden="1" x14ac:dyDescent="0.25">
      <c r="A526" t="s">
        <v>1786</v>
      </c>
      <c r="B526" t="str">
        <f>IF(COUNTIF(A:A,A526)&gt;1,_xlfn.CONCAT(A526," (",N526,")"),A526)</f>
        <v>Jīnshātān Zhèn [incl. Jīnshātān Línchǎng, Jīnshātān Nóngmùchǎng]</v>
      </c>
      <c r="C526" t="str">
        <f>IF(COUNTIF(B:B,B526)&gt;1,_xlfn.CONCAT(A526," (",M526,")"),B526)</f>
        <v>Jīnshātān Zhèn [incl. Jīnshātān Línchǎng, Jīnshātān Nóngmùchǎng]</v>
      </c>
      <c r="D526" t="s">
        <v>1787</v>
      </c>
      <c r="E526" t="s">
        <v>7</v>
      </c>
      <c r="F526" t="str">
        <f>_xlfn.CONCAT(D526,", ",H526,", ",I526,", ","山西省")</f>
        <v>金沙滩镇, 怀仁市, 朔州市, 山西省</v>
      </c>
      <c r="G526">
        <v>21144</v>
      </c>
      <c r="H526" t="s">
        <v>2962</v>
      </c>
      <c r="I526" t="s">
        <v>2961</v>
      </c>
      <c r="J526">
        <f>VLOOKUP(F526,[1]!china_towns_second__2[[Column1]:[Y]],3,FALSE)</f>
        <v>39.674487573380702</v>
      </c>
      <c r="K526">
        <f>VLOOKUP(F526,[1]!china_towns_second__2[[Column1]:[Y]],2,FALSE)</f>
        <v>112.89985470000001</v>
      </c>
      <c r="L526" t="s">
        <v>4102</v>
      </c>
      <c r="M526" t="str">
        <f>VLOOKUP(H526,CHOOSE({1,2},Table12[Native],Table12[Name]),2,0)</f>
        <v>Huáirén Shì</v>
      </c>
      <c r="N526" s="13" t="str">
        <f>VLOOKUP(I526,CHOOSE({1,2},Table12[Native],Table12[Name]),2,0)</f>
        <v>Shuòzhōu Shì</v>
      </c>
      <c r="O526" s="13" t="str">
        <f t="shared" si="16"/>
        <v>Jinshatan Zhen [incl. Jinshatan Linchang, Jinshatan Nongmuchang] (Shuòzhōu Shì)</v>
      </c>
      <c r="P526" s="13" t="str">
        <f t="shared" si="17"/>
        <v>Jinshatan Zhen [incl. Jinshatan Linchang, Jinshatan Nongmuchang] (Shuòzhōu Shì)</v>
      </c>
    </row>
    <row r="527" spans="1:16" hidden="1" x14ac:dyDescent="0.25">
      <c r="A527" t="s">
        <v>1964</v>
      </c>
      <c r="B527" t="str">
        <f>IF(COUNTIF(A:A,A527)&gt;1,_xlfn.CONCAT(A527," (",N527,")"),A527)</f>
        <v>Jīnshèng Zhèn</v>
      </c>
      <c r="C527" t="str">
        <f>IF(COUNTIF(B:B,B527)&gt;1,_xlfn.CONCAT(A527," (",M527,")"),B527)</f>
        <v>Jīnshèng Zhèn</v>
      </c>
      <c r="D527" t="s">
        <v>1965</v>
      </c>
      <c r="E527" t="s">
        <v>7</v>
      </c>
      <c r="F527" t="str">
        <f>_xlfn.CONCAT(D527,", ",H527,", ",I527,", ","山西省")</f>
        <v>金胜镇, 晋源区, 太原市, 山西省</v>
      </c>
      <c r="G527">
        <v>39489</v>
      </c>
      <c r="H527" t="s">
        <v>2972</v>
      </c>
      <c r="I527" t="s">
        <v>2969</v>
      </c>
      <c r="J527">
        <f>VLOOKUP(F527,[1]!china_towns_second__2[[Column1]:[Y]],3,FALSE)</f>
        <v>37.780345337967503</v>
      </c>
      <c r="K527">
        <f>VLOOKUP(F527,[1]!china_towns_second__2[[Column1]:[Y]],2,FALSE)</f>
        <v>112.479365</v>
      </c>
      <c r="L527" t="s">
        <v>4103</v>
      </c>
      <c r="M527" t="str">
        <f>VLOOKUP(H527,CHOOSE({1,2},Table12[Native],Table12[Name]),2,0)</f>
        <v>Jìnyuán Qū</v>
      </c>
      <c r="N527" s="13" t="str">
        <f>VLOOKUP(I527,CHOOSE({1,2},Table12[Native],Table12[Name]),2,0)</f>
        <v>Tàiyuán Shì</v>
      </c>
      <c r="O527" s="13" t="str">
        <f t="shared" si="16"/>
        <v>Jinsheng Zhen (Tàiyuán Shì)</v>
      </c>
      <c r="P527" s="13" t="str">
        <f t="shared" si="17"/>
        <v>Jinsheng Zhen (Tàiyuán Shì)</v>
      </c>
    </row>
    <row r="528" spans="1:16" hidden="1" x14ac:dyDescent="0.25">
      <c r="A528" t="s">
        <v>1966</v>
      </c>
      <c r="B528" t="str">
        <f>IF(COUNTIF(A:A,A528)&gt;1,_xlfn.CONCAT(A528," (",N528,")"),A528)</f>
        <v>Jìnyuán Jiēdào</v>
      </c>
      <c r="C528" t="str">
        <f>IF(COUNTIF(B:B,B528)&gt;1,_xlfn.CONCAT(A528," (",M528,")"),B528)</f>
        <v>Jìnyuán Jiēdào</v>
      </c>
      <c r="D528" t="s">
        <v>1967</v>
      </c>
      <c r="E528" t="s">
        <v>31</v>
      </c>
      <c r="F528" t="str">
        <f>_xlfn.CONCAT(D528,", ",H528,", ",I528,", ","山西省")</f>
        <v>晋源街道, 晋源区, 太原市, 山西省</v>
      </c>
      <c r="G528">
        <v>41293</v>
      </c>
      <c r="H528" t="s">
        <v>2972</v>
      </c>
      <c r="I528" t="s">
        <v>2969</v>
      </c>
      <c r="J528">
        <f>VLOOKUP(F528,[1]!china_towns_second__2[[Column1]:[Y]],3,FALSE)</f>
        <v>37.743996423630797</v>
      </c>
      <c r="K528">
        <f>VLOOKUP(F528,[1]!china_towns_second__2[[Column1]:[Y]],2,FALSE)</f>
        <v>112.4415087</v>
      </c>
      <c r="L528" t="s">
        <v>4104</v>
      </c>
      <c r="M528" t="str">
        <f>VLOOKUP(H528,CHOOSE({1,2},Table12[Native],Table12[Name]),2,0)</f>
        <v>Jìnyuán Qū</v>
      </c>
      <c r="N528" s="13" t="str">
        <f>VLOOKUP(I528,CHOOSE({1,2},Table12[Native],Table12[Name]),2,0)</f>
        <v>Tàiyuán Shì</v>
      </c>
      <c r="O528" s="13" t="str">
        <f t="shared" si="16"/>
        <v>Jinyuan Jiedao (Tàiyuán Shì)</v>
      </c>
      <c r="P528" s="13" t="str">
        <f t="shared" si="17"/>
        <v>Jinyuan Jiedao (Tàiyuán Shì)</v>
      </c>
    </row>
    <row r="529" spans="1:16" hidden="1" x14ac:dyDescent="0.25">
      <c r="A529" t="s">
        <v>892</v>
      </c>
      <c r="B529" t="str">
        <f>IF(COUNTIF(A:A,A529)&gt;1,_xlfn.CONCAT(A529," (",N529,")"),A529)</f>
        <v>Jìnzhōng Jīngjì Kāifāqū</v>
      </c>
      <c r="C529" t="str">
        <f>IF(COUNTIF(B:B,B529)&gt;1,_xlfn.CONCAT(A529," (",M529,")"),B529)</f>
        <v>Jìnzhōng Jīngjì Kāifāqū</v>
      </c>
      <c r="D529" t="s">
        <v>893</v>
      </c>
      <c r="E529" t="s">
        <v>35</v>
      </c>
      <c r="F529" t="str">
        <f>_xlfn.CONCAT(D529,", ",H529,", ",I529,", ","山西省")</f>
        <v>晋中经济开发区, 榆次区, 晋中市, 山西省</v>
      </c>
      <c r="G529">
        <v>49720</v>
      </c>
      <c r="H529" t="s">
        <v>2923</v>
      </c>
      <c r="I529" t="s">
        <v>2914</v>
      </c>
      <c r="J529">
        <f>VLOOKUP(F529,[1]!china_towns_second__2[[Column1]:[Y]],3,FALSE)</f>
        <v>37.722192336661301</v>
      </c>
      <c r="K529">
        <f>VLOOKUP(F529,[1]!china_towns_second__2[[Column1]:[Y]],2,FALSE)</f>
        <v>112.6734213</v>
      </c>
      <c r="L529" t="s">
        <v>4105</v>
      </c>
      <c r="M529" t="str">
        <f>VLOOKUP(H529,CHOOSE({1,2},Table12[Native],Table12[Name]),2,0)</f>
        <v>Yúcì Qū</v>
      </c>
      <c r="N529" s="13" t="str">
        <f>VLOOKUP(I529,CHOOSE({1,2},Table12[Native],Table12[Name]),2,0)</f>
        <v>Jìnzhōng Shì</v>
      </c>
      <c r="O529" s="13" t="str">
        <f t="shared" si="16"/>
        <v>Jinzhong Jingji Kaifaqu (Jìnzhōng Shì)</v>
      </c>
      <c r="P529" s="13" t="str">
        <f t="shared" si="17"/>
        <v>Jinzhong Jingji Kaifaqu (Jìnzhōng Shì)</v>
      </c>
    </row>
    <row r="530" spans="1:16" hidden="1" x14ac:dyDescent="0.25">
      <c r="A530" t="s">
        <v>151</v>
      </c>
      <c r="B530" t="str">
        <f>IF(COUNTIF(A:A,A530)&gt;1,_xlfn.CONCAT(A530," (",N530,")"),A530)</f>
        <v>Jìnzhuāng Zhèn</v>
      </c>
      <c r="C530" t="str">
        <f>IF(COUNTIF(B:B,B530)&gt;1,_xlfn.CONCAT(A530," (",M530,")"),B530)</f>
        <v>Jìnzhuāng Zhèn</v>
      </c>
      <c r="D530" t="s">
        <v>152</v>
      </c>
      <c r="E530" t="s">
        <v>7</v>
      </c>
      <c r="F530" t="str">
        <f>_xlfn.CONCAT(D530,", ",H530,", ",I530,", ","山西省")</f>
        <v>晋庄镇, 壶关县, 长治市, 山西省</v>
      </c>
      <c r="G530">
        <v>24848</v>
      </c>
      <c r="H530" t="s">
        <v>2881</v>
      </c>
      <c r="I530" t="s">
        <v>2878</v>
      </c>
      <c r="J530">
        <f>VLOOKUP(F530,[1]!china_towns_second__2[[Column1]:[Y]],3,FALSE)</f>
        <v>36.083664539734599</v>
      </c>
      <c r="K530">
        <f>VLOOKUP(F530,[1]!china_towns_second__2[[Column1]:[Y]],2,FALSE)</f>
        <v>113.3277523</v>
      </c>
      <c r="L530" t="s">
        <v>4106</v>
      </c>
      <c r="M530" t="str">
        <f>VLOOKUP(H530,CHOOSE({1,2},Table12[Native],Table12[Name]),2,0)</f>
        <v>Húguān Xiàn</v>
      </c>
      <c r="N530" s="13" t="str">
        <f>VLOOKUP(I530,CHOOSE({1,2},Table12[Native],Table12[Name]),2,0)</f>
        <v>Chángzhì Shì</v>
      </c>
      <c r="O530" s="13" t="str">
        <f t="shared" si="16"/>
        <v>Jinzhuang Zhen (Chángzhì Shì)</v>
      </c>
      <c r="P530" s="13" t="str">
        <f t="shared" si="17"/>
        <v>Jinzhuang Zhen (Chángzhì Shì)</v>
      </c>
    </row>
    <row r="531" spans="1:16" hidden="1" x14ac:dyDescent="0.25">
      <c r="A531" t="s">
        <v>1196</v>
      </c>
      <c r="B531" t="str">
        <f>IF(COUNTIF(A:A,A531)&gt;1,_xlfn.CONCAT(A531," (",N531,")"),A531)</f>
        <v>Jìshì Zhèn</v>
      </c>
      <c r="C531" t="str">
        <f>IF(COUNTIF(B:B,B531)&gt;1,_xlfn.CONCAT(A531," (",M531,")"),B531)</f>
        <v>Jìshì Zhèn</v>
      </c>
      <c r="D531" t="s">
        <v>1197</v>
      </c>
      <c r="E531" t="s">
        <v>7</v>
      </c>
      <c r="F531" t="str">
        <f>_xlfn.CONCAT(D531,", ",H531,", ",I531,", ","山西省")</f>
        <v>冀氏镇, 安泽县, 临汾市, 山西省</v>
      </c>
      <c r="G531">
        <v>9461</v>
      </c>
      <c r="H531" t="s">
        <v>2928</v>
      </c>
      <c r="I531" t="s">
        <v>2927</v>
      </c>
      <c r="J531">
        <f>VLOOKUP(F531,[1]!china_towns_second__2[[Column1]:[Y]],3,FALSE)</f>
        <v>36.047820096849101</v>
      </c>
      <c r="K531">
        <f>VLOOKUP(F531,[1]!china_towns_second__2[[Column1]:[Y]],2,FALSE)</f>
        <v>112.2374623</v>
      </c>
      <c r="L531" t="s">
        <v>4107</v>
      </c>
      <c r="M531" t="str">
        <f>VLOOKUP(H531,CHOOSE({1,2},Table12[Native],Table12[Name]),2,0)</f>
        <v>Ānzé Xiàn</v>
      </c>
      <c r="N531" s="13" t="str">
        <f>VLOOKUP(I531,CHOOSE({1,2},Table12[Native],Table12[Name]),2,0)</f>
        <v>Línfén Shì</v>
      </c>
      <c r="O531" s="13" t="str">
        <f t="shared" si="16"/>
        <v>Jishi Zhen (Línfén Shì)</v>
      </c>
      <c r="P531" s="13" t="str">
        <f t="shared" si="17"/>
        <v>Jishi Zhen (Línfén Shì)</v>
      </c>
    </row>
    <row r="532" spans="1:16" hidden="1" x14ac:dyDescent="0.25">
      <c r="A532" t="s">
        <v>2514</v>
      </c>
      <c r="B532" t="str">
        <f>IF(COUNTIF(A:A,A532)&gt;1,_xlfn.CONCAT(A532," (",N532,")"),A532)</f>
        <v>Jiùjiē Xiāng</v>
      </c>
      <c r="C532" t="str">
        <f>IF(COUNTIF(B:B,B532)&gt;1,_xlfn.CONCAT(A532," (",M532,")"),B532)</f>
        <v>Jiùjiē Xiāng</v>
      </c>
      <c r="D532" t="s">
        <v>2515</v>
      </c>
      <c r="E532" t="s">
        <v>17</v>
      </c>
      <c r="F532" t="str">
        <f>_xlfn.CONCAT(D532,", ",H532,", ",I532,", ","山西省")</f>
        <v>旧街乡, 郊区, 阳泉市, 山西省</v>
      </c>
      <c r="G532">
        <v>6384</v>
      </c>
      <c r="H532" t="s">
        <v>2998</v>
      </c>
      <c r="I532" t="s">
        <v>2997</v>
      </c>
      <c r="J532" t="e">
        <f>VLOOKUP(F532,[1]!china_towns_second__2[[Column1]:[Y]],3,FALSE)</f>
        <v>#N/A</v>
      </c>
      <c r="K532" t="e">
        <f>VLOOKUP(F532,[1]!china_towns_second__2[[Column1]:[Y]],2,FALSE)</f>
        <v>#N/A</v>
      </c>
      <c r="L532" t="s">
        <v>4108</v>
      </c>
      <c r="M532" t="str">
        <f>VLOOKUP(H532,CHOOSE({1,2},Table12[Native],Table12[Name]),2,0)</f>
        <v>Jiāo Qū</v>
      </c>
      <c r="N532" s="13" t="str">
        <f>VLOOKUP(I532,CHOOSE({1,2},Table12[Native],Table12[Name]),2,0)</f>
        <v>Yángquán Shì</v>
      </c>
      <c r="O532" s="13" t="str">
        <f t="shared" si="16"/>
        <v>Jiujie Xiang (Yángquán Shì)</v>
      </c>
      <c r="P532" s="13" t="str">
        <f t="shared" si="17"/>
        <v>Jiujie Xiang (Yángquán Shì)</v>
      </c>
    </row>
    <row r="533" spans="1:16" hidden="1" x14ac:dyDescent="0.25">
      <c r="A533" t="s">
        <v>1198</v>
      </c>
      <c r="B533" t="str">
        <f>IF(COUNTIF(A:A,A533)&gt;1,_xlfn.CONCAT(A533," (",N533,")"),A533)</f>
        <v>Jiùxiàn Zhèn (Línfén Shì)</v>
      </c>
      <c r="C533" t="str">
        <f>IF(COUNTIF(B:B,B533)&gt;1,_xlfn.CONCAT(A533," (",M533,")"),B533)</f>
        <v>Jiùxiàn Zhèn (Línfén Shì)</v>
      </c>
      <c r="D533" t="s">
        <v>1199</v>
      </c>
      <c r="E533" t="s">
        <v>7</v>
      </c>
      <c r="F533" t="str">
        <f>_xlfn.CONCAT(D533,", ",H533,", ",I533,", ","山西省")</f>
        <v>旧县镇, 古县, 临汾市, 山西省</v>
      </c>
      <c r="G533">
        <v>11098</v>
      </c>
      <c r="H533" t="s">
        <v>2932</v>
      </c>
      <c r="I533" t="s">
        <v>2927</v>
      </c>
      <c r="J533">
        <f>VLOOKUP(F533,[1]!china_towns_second__2[[Column1]:[Y]],3,FALSE)</f>
        <v>36.162333587426197</v>
      </c>
      <c r="K533">
        <f>VLOOKUP(F533,[1]!china_towns_second__2[[Column1]:[Y]],2,FALSE)</f>
        <v>111.9810916</v>
      </c>
      <c r="L533" t="s">
        <v>4109</v>
      </c>
      <c r="M533" t="str">
        <f>VLOOKUP(H533,CHOOSE({1,2},Table12[Native],Table12[Name]),2,0)</f>
        <v>Gŭ Xiàn</v>
      </c>
      <c r="N533" s="13" t="str">
        <f>VLOOKUP(I533,CHOOSE({1,2},Table12[Native],Table12[Name]),2,0)</f>
        <v>Línfén Shì</v>
      </c>
      <c r="O533" s="13" t="str">
        <f t="shared" si="16"/>
        <v>Jiuxian Zhen (Linfen Shi) (Línfén Shì)</v>
      </c>
      <c r="P533" s="13" t="str">
        <f t="shared" si="17"/>
        <v>Jiuxian Zhen (Linfen Shi) (Línfén Shì)</v>
      </c>
    </row>
    <row r="534" spans="1:16" hidden="1" x14ac:dyDescent="0.25">
      <c r="A534" t="s">
        <v>1198</v>
      </c>
      <c r="B534" t="str">
        <f>IF(COUNTIF(A:A,A534)&gt;1,_xlfn.CONCAT(A534," (",N534,")"),A534)</f>
        <v>Jiùxiàn Zhèn (Xīnzhōu Shì)</v>
      </c>
      <c r="C534" t="str">
        <f>IF(COUNTIF(B:B,B534)&gt;1,_xlfn.CONCAT(A534," (",M534,")"),B534)</f>
        <v>Jiùxiàn Zhèn (Xīnzhōu Shì)</v>
      </c>
      <c r="D534" t="s">
        <v>1199</v>
      </c>
      <c r="E534" t="s">
        <v>7</v>
      </c>
      <c r="F534" t="str">
        <f>_xlfn.CONCAT(D534,", ",H534,", ",I534,", ","山西省")</f>
        <v>旧县镇, 河曲县, 忻州市, 山西省</v>
      </c>
      <c r="G534">
        <v>6372</v>
      </c>
      <c r="H534" t="s">
        <v>2986</v>
      </c>
      <c r="I534" t="s">
        <v>2981</v>
      </c>
      <c r="J534">
        <f>VLOOKUP(F534,[1]!china_towns_second__2[[Column1]:[Y]],3,FALSE)</f>
        <v>39.158884328995399</v>
      </c>
      <c r="K534">
        <f>VLOOKUP(F534,[1]!china_towns_second__2[[Column1]:[Y]],2,FALSE)</f>
        <v>111.2055969</v>
      </c>
      <c r="L534" t="s">
        <v>4110</v>
      </c>
      <c r="M534" t="str">
        <f>VLOOKUP(H534,CHOOSE({1,2},Table12[Native],Table12[Name]),2,0)</f>
        <v>Héqŭ Xiàn</v>
      </c>
      <c r="N534" s="13" t="str">
        <f>VLOOKUP(I534,CHOOSE({1,2},Table12[Native],Table12[Name]),2,0)</f>
        <v>Xīnzhōu Shì</v>
      </c>
      <c r="O534" s="13" t="str">
        <f t="shared" si="16"/>
        <v>Jiuxian Zhen (Xinzhou Shi) (Xīnzhōu Shì)</v>
      </c>
      <c r="P534" s="13" t="str">
        <f t="shared" si="17"/>
        <v>Jiuxian Zhen (Xinzhou Shi) (Xīnzhōu Shì)</v>
      </c>
    </row>
    <row r="535" spans="1:16" hidden="1" x14ac:dyDescent="0.25">
      <c r="A535" t="s">
        <v>2252</v>
      </c>
      <c r="B535" t="str">
        <f>IF(COUNTIF(A:A,A535)&gt;1,_xlfn.CONCAT(A535," (",N535,")"),A535)</f>
        <v>Jiǔyuánjiē Jiēdào [Jiĕyuán Xiāng]</v>
      </c>
      <c r="C535" t="str">
        <f>IF(COUNTIF(B:B,B535)&gt;1,_xlfn.CONCAT(A535," (",M535,")"),B535)</f>
        <v>Jiǔyuánjiē Jiēdào [Jiĕyuán Xiāng]</v>
      </c>
      <c r="D535" t="s">
        <v>2253</v>
      </c>
      <c r="E535" t="s">
        <v>31</v>
      </c>
      <c r="F535" t="str">
        <f>_xlfn.CONCAT(D535,", ",H535,", ",I535,", ","山西省")</f>
        <v>九原街街道, 忻府区, 忻州市, 山西省</v>
      </c>
      <c r="G535">
        <v>28523</v>
      </c>
      <c r="H535" t="s">
        <v>2994</v>
      </c>
      <c r="I535" t="s">
        <v>2981</v>
      </c>
      <c r="J535" t="e">
        <f>VLOOKUP(F535,[1]!china_towns_second__2[[Column1]:[Y]],3,FALSE)</f>
        <v>#N/A</v>
      </c>
      <c r="K535" t="e">
        <f>VLOOKUP(F535,[1]!china_towns_second__2[[Column1]:[Y]],2,FALSE)</f>
        <v>#N/A</v>
      </c>
      <c r="L535" t="s">
        <v>4111</v>
      </c>
      <c r="M535" t="str">
        <f>VLOOKUP(H535,CHOOSE({1,2},Table12[Native],Table12[Name]),2,0)</f>
        <v>Xīnfŭ Qū</v>
      </c>
      <c r="N535" s="13" t="str">
        <f>VLOOKUP(I535,CHOOSE({1,2},Table12[Native],Table12[Name]),2,0)</f>
        <v>Xīnzhōu Shì</v>
      </c>
      <c r="O535" s="13" t="str">
        <f t="shared" si="16"/>
        <v>Jiuyuanjie Jiedao [Jieyuan Xiang] (Xīnzhōu Shì)</v>
      </c>
      <c r="P535" s="13" t="str">
        <f t="shared" si="17"/>
        <v>Jiuyuanjie Jiedao [Jieyuan Xiang] (Xīnzhōu Shì)</v>
      </c>
    </row>
    <row r="536" spans="1:16" hidden="1" x14ac:dyDescent="0.25">
      <c r="A536" t="s">
        <v>1968</v>
      </c>
      <c r="B536" t="str">
        <f>IF(COUNTIF(A:A,A536)&gt;1,_xlfn.CONCAT(A536," (",N536,")"),A536)</f>
        <v>Jíyì Xiāng</v>
      </c>
      <c r="C536" t="str">
        <f>IF(COUNTIF(B:B,B536)&gt;1,_xlfn.CONCAT(A536," (",M536,")"),B536)</f>
        <v>Jíyì Xiāng</v>
      </c>
      <c r="D536" t="s">
        <v>1969</v>
      </c>
      <c r="E536" t="s">
        <v>17</v>
      </c>
      <c r="F536" t="str">
        <f>_xlfn.CONCAT(D536,", ",H536,", ",I536,", ","山西省")</f>
        <v>集义乡, 清徐县, 太原市, 山西省</v>
      </c>
      <c r="G536">
        <v>27022</v>
      </c>
      <c r="H536" t="s">
        <v>2974</v>
      </c>
      <c r="I536" t="s">
        <v>2969</v>
      </c>
      <c r="J536" t="e">
        <f>VLOOKUP(F536,[1]!china_towns_second__2[[Column1]:[Y]],3,FALSE)</f>
        <v>#N/A</v>
      </c>
      <c r="K536" t="e">
        <f>VLOOKUP(F536,[1]!china_towns_second__2[[Column1]:[Y]],2,FALSE)</f>
        <v>#N/A</v>
      </c>
      <c r="L536" t="s">
        <v>4112</v>
      </c>
      <c r="M536" t="str">
        <f>VLOOKUP(H536,CHOOSE({1,2},Table12[Native],Table12[Name]),2,0)</f>
        <v>Qīngxú Xiàn</v>
      </c>
      <c r="N536" s="13" t="str">
        <f>VLOOKUP(I536,CHOOSE({1,2},Table12[Native],Table12[Name]),2,0)</f>
        <v>Tàiyuán Shì</v>
      </c>
      <c r="O536" s="13" t="str">
        <f t="shared" si="16"/>
        <v>Jiyi Xiang (Tàiyuán Shì)</v>
      </c>
      <c r="P536" s="13" t="str">
        <f t="shared" si="17"/>
        <v>Jiyi Xiang (Tàiyuán Shì)</v>
      </c>
    </row>
    <row r="537" spans="1:16" hidden="1" x14ac:dyDescent="0.25">
      <c r="A537" t="s">
        <v>2254</v>
      </c>
      <c r="B537" t="str">
        <f>IF(COUNTIF(A:A,A537)&gt;1,_xlfn.CONCAT(A537," (",N537,")"),A537)</f>
        <v>Jíyìzhuāng Xiāng</v>
      </c>
      <c r="C537" t="str">
        <f>IF(COUNTIF(B:B,B537)&gt;1,_xlfn.CONCAT(A537," (",M537,")"),B537)</f>
        <v>Jíyìzhuāng Xiāng</v>
      </c>
      <c r="D537" t="s">
        <v>2255</v>
      </c>
      <c r="E537" t="s">
        <v>17</v>
      </c>
      <c r="F537" t="str">
        <f>_xlfn.CONCAT(D537,", ",H537,", ",I537,", ","山西省")</f>
        <v>集义庄乡, 繁峙县, 忻州市, 山西省</v>
      </c>
      <c r="G537">
        <v>11217</v>
      </c>
      <c r="H537" t="s">
        <v>2985</v>
      </c>
      <c r="I537" t="s">
        <v>2981</v>
      </c>
      <c r="J537" t="e">
        <f>VLOOKUP(F537,[1]!china_towns_second__2[[Column1]:[Y]],3,FALSE)</f>
        <v>#N/A</v>
      </c>
      <c r="K537" t="e">
        <f>VLOOKUP(F537,[1]!china_towns_second__2[[Column1]:[Y]],2,FALSE)</f>
        <v>#N/A</v>
      </c>
      <c r="L537" t="s">
        <v>4113</v>
      </c>
      <c r="M537" t="str">
        <f>VLOOKUP(H537,CHOOSE({1,2},Table12[Native],Table12[Name]),2,0)</f>
        <v>Fánshì Xiàn</v>
      </c>
      <c r="N537" s="13" t="str">
        <f>VLOOKUP(I537,CHOOSE({1,2},Table12[Native],Table12[Name]),2,0)</f>
        <v>Xīnzhōu Shì</v>
      </c>
      <c r="O537" s="13" t="str">
        <f t="shared" si="16"/>
        <v>Jiyizhuang Xiang (Xīnzhōu Shì)</v>
      </c>
      <c r="P537" s="13" t="str">
        <f t="shared" si="17"/>
        <v>Jiyizhuang Xiang (Xīnzhōu Shì)</v>
      </c>
    </row>
    <row r="538" spans="1:16" hidden="1" x14ac:dyDescent="0.25">
      <c r="A538" t="s">
        <v>2256</v>
      </c>
      <c r="B538" t="str">
        <f>IF(COUNTIF(A:A,A538)&gt;1,_xlfn.CONCAT(A538," (",N538,")"),A538)</f>
        <v>Jìzhuāng Xiāng</v>
      </c>
      <c r="C538" t="str">
        <f>IF(COUNTIF(B:B,B538)&gt;1,_xlfn.CONCAT(A538," (",M538,")"),B538)</f>
        <v>Jìzhuāng Xiāng</v>
      </c>
      <c r="D538" t="s">
        <v>2257</v>
      </c>
      <c r="E538" t="s">
        <v>17</v>
      </c>
      <c r="F538" t="str">
        <f>_xlfn.CONCAT(D538,", ",H538,", ",I538,", ","山西省")</f>
        <v>季庄乡, 定襄县, 忻州市, 山西省</v>
      </c>
      <c r="G538">
        <v>17079</v>
      </c>
      <c r="H538" t="s">
        <v>2984</v>
      </c>
      <c r="I538" t="s">
        <v>2981</v>
      </c>
      <c r="J538" t="e">
        <f>VLOOKUP(F538,[1]!china_towns_second__2[[Column1]:[Y]],3,FALSE)</f>
        <v>#N/A</v>
      </c>
      <c r="K538" t="e">
        <f>VLOOKUP(F538,[1]!china_towns_second__2[[Column1]:[Y]],2,FALSE)</f>
        <v>#N/A</v>
      </c>
      <c r="L538" t="s">
        <v>4114</v>
      </c>
      <c r="M538" t="str">
        <f>VLOOKUP(H538,CHOOSE({1,2},Table12[Native],Table12[Name]),2,0)</f>
        <v>Dìngxiāng Xiàn</v>
      </c>
      <c r="N538" s="13" t="str">
        <f>VLOOKUP(I538,CHOOSE({1,2},Table12[Native],Table12[Name]),2,0)</f>
        <v>Xīnzhōu Shì</v>
      </c>
      <c r="O538" s="13" t="str">
        <f t="shared" si="16"/>
        <v>Jizhuang Xiang (Xīnzhōu Shì)</v>
      </c>
      <c r="P538" s="13" t="str">
        <f t="shared" si="17"/>
        <v>Jizhuang Xiang (Xīnzhōu Shì)</v>
      </c>
    </row>
    <row r="539" spans="1:16" hidden="1" x14ac:dyDescent="0.25">
      <c r="A539" t="s">
        <v>2516</v>
      </c>
      <c r="B539" t="str">
        <f>IF(COUNTIF(A:A,A539)&gt;1,_xlfn.CONCAT(A539," (",N539,")"),A539)</f>
        <v>Jùchéng Zhèn</v>
      </c>
      <c r="C539" t="str">
        <f>IF(COUNTIF(B:B,B539)&gt;1,_xlfn.CONCAT(A539," (",M539,")"),B539)</f>
        <v>Jùchéng Zhèn</v>
      </c>
      <c r="D539" t="s">
        <v>2517</v>
      </c>
      <c r="E539" t="s">
        <v>7</v>
      </c>
      <c r="F539" t="str">
        <f>_xlfn.CONCAT(D539,", ",H539,", ",I539,", ","山西省")</f>
        <v>巨城镇, 平定县, 阳泉市, 山西省</v>
      </c>
      <c r="G539">
        <v>27018</v>
      </c>
      <c r="H539" t="s">
        <v>3000</v>
      </c>
      <c r="I539" t="s">
        <v>2997</v>
      </c>
      <c r="J539">
        <f>VLOOKUP(F539,[1]!china_towns_second__2[[Column1]:[Y]],3,FALSE)</f>
        <v>37.904191260672697</v>
      </c>
      <c r="K539">
        <f>VLOOKUP(F539,[1]!china_towns_second__2[[Column1]:[Y]],2,FALSE)</f>
        <v>113.74075809999999</v>
      </c>
      <c r="L539" t="s">
        <v>4115</v>
      </c>
      <c r="M539" t="str">
        <f>VLOOKUP(H539,CHOOSE({1,2},Table12[Native],Table12[Name]),2,0)</f>
        <v>Píngdìng Xiàn</v>
      </c>
      <c r="N539" s="13" t="str">
        <f>VLOOKUP(I539,CHOOSE({1,2},Table12[Native],Table12[Name]),2,0)</f>
        <v>Yángquán Shì</v>
      </c>
      <c r="O539" s="13" t="str">
        <f t="shared" si="16"/>
        <v>Jucheng Zhen (Yángquán Shì)</v>
      </c>
      <c r="P539" s="13" t="str">
        <f t="shared" si="17"/>
        <v>Jucheng Zhen (Yángquán Shì)</v>
      </c>
    </row>
    <row r="540" spans="1:16" hidden="1" x14ac:dyDescent="0.25">
      <c r="A540" t="s">
        <v>425</v>
      </c>
      <c r="B540" t="str">
        <f>IF(COUNTIF(A:A,A540)&gt;1,_xlfn.CONCAT(A540," (",N540,")"),A540)</f>
        <v>Jùlè Xiāng</v>
      </c>
      <c r="C540" t="str">
        <f>IF(COUNTIF(B:B,B540)&gt;1,_xlfn.CONCAT(A540," (",M540,")"),B540)</f>
        <v>Jùlè Xiāng</v>
      </c>
      <c r="D540" t="s">
        <v>426</v>
      </c>
      <c r="E540" t="s">
        <v>17</v>
      </c>
      <c r="F540" t="str">
        <f>_xlfn.CONCAT(D540,", ",H540,", ",I540,", ","山西省")</f>
        <v>聚乐乡, 云州区, 大同市, 山西省</v>
      </c>
      <c r="G540">
        <v>6832</v>
      </c>
      <c r="H540" t="s">
        <v>2903</v>
      </c>
      <c r="I540" t="s">
        <v>2894</v>
      </c>
      <c r="J540" t="e">
        <f>VLOOKUP(F540,[1]!china_towns_second__2[[Column1]:[Y]],3,FALSE)</f>
        <v>#N/A</v>
      </c>
      <c r="K540" t="e">
        <f>VLOOKUP(F540,[1]!china_towns_second__2[[Column1]:[Y]],2,FALSE)</f>
        <v>#N/A</v>
      </c>
      <c r="L540" t="s">
        <v>4116</v>
      </c>
      <c r="M540" t="str">
        <f>VLOOKUP(H540,CHOOSE({1,2},Table12[Native],Table12[Name]),2,0)</f>
        <v>Yúnzhōu Qū</v>
      </c>
      <c r="N540" s="13" t="str">
        <f>VLOOKUP(I540,CHOOSE({1,2},Table12[Native],Table12[Name]),2,0)</f>
        <v>Dàtóng Shì</v>
      </c>
      <c r="O540" s="13" t="str">
        <f t="shared" si="16"/>
        <v>Jule Xiang (Dàtóng Shì)</v>
      </c>
      <c r="P540" s="13" t="str">
        <f t="shared" si="17"/>
        <v>Jule Xiang (Dàtóng Shì)</v>
      </c>
    </row>
    <row r="541" spans="1:16" hidden="1" x14ac:dyDescent="0.25">
      <c r="A541" t="s">
        <v>1970</v>
      </c>
      <c r="B541" t="str">
        <f>IF(COUNTIF(A:A,A541)&gt;1,_xlfn.CONCAT(A541," (",N541,")"),A541)</f>
        <v>Jùlún Jiēdào</v>
      </c>
      <c r="C541" t="str">
        <f>IF(COUNTIF(B:B,B541)&gt;1,_xlfn.CONCAT(A541," (",M541,")"),B541)</f>
        <v>Jùlún Jiēdào</v>
      </c>
      <c r="D541" t="s">
        <v>1971</v>
      </c>
      <c r="E541" t="s">
        <v>31</v>
      </c>
      <c r="F541" t="str">
        <f>_xlfn.CONCAT(D541,", ",H541,", ",I541,", ","山西省")</f>
        <v>巨轮街道, 杏花岭区, 太原市, 山西省</v>
      </c>
      <c r="G541">
        <v>79085</v>
      </c>
      <c r="H541" t="s">
        <v>2977</v>
      </c>
      <c r="I541" t="s">
        <v>2969</v>
      </c>
      <c r="J541">
        <f>VLOOKUP(F541,[1]!china_towns_second__2[[Column1]:[Y]],3,FALSE)</f>
        <v>37.891846078215501</v>
      </c>
      <c r="K541">
        <f>VLOOKUP(F541,[1]!china_towns_second__2[[Column1]:[Y]],2,FALSE)</f>
        <v>112.55459810000001</v>
      </c>
      <c r="L541" t="s">
        <v>4117</v>
      </c>
      <c r="M541" t="str">
        <f>VLOOKUP(H541,CHOOSE({1,2},Table12[Native],Table12[Name]),2,0)</f>
        <v>Xìnghuālĭng Qū</v>
      </c>
      <c r="N541" s="13" t="str">
        <f>VLOOKUP(I541,CHOOSE({1,2},Table12[Native],Table12[Name]),2,0)</f>
        <v>Tàiyuán Shì</v>
      </c>
      <c r="O541" s="13" t="str">
        <f t="shared" si="16"/>
        <v>Julun Jiedao (Tàiyuán Shì)</v>
      </c>
      <c r="P541" s="13" t="str">
        <f t="shared" si="17"/>
        <v>Julun Jiedao (Tàiyuán Shì)</v>
      </c>
    </row>
    <row r="542" spans="1:16" hidden="1" x14ac:dyDescent="0.25">
      <c r="A542" t="s">
        <v>153</v>
      </c>
      <c r="B542" t="str">
        <f>IF(COUNTIF(A:A,A542)&gt;1,_xlfn.CONCAT(A542," (",N542,")"),A542)</f>
        <v>Kāifā Yuánqū Kāifāqū</v>
      </c>
      <c r="C542" t="str">
        <f>IF(COUNTIF(B:B,B542)&gt;1,_xlfn.CONCAT(A542," (",M542,")"),B542)</f>
        <v>Kāifā Yuánqū Kāifāqū</v>
      </c>
      <c r="D542" t="s">
        <v>154</v>
      </c>
      <c r="E542" t="s">
        <v>35</v>
      </c>
      <c r="F542" t="str">
        <f>_xlfn.CONCAT(D542,", ",H542,", ",I542,", ","山西省")</f>
        <v>开发园区, 上党区, 长治市, 山西省</v>
      </c>
      <c r="G542">
        <v>11482</v>
      </c>
      <c r="H542" t="s">
        <v>2889</v>
      </c>
      <c r="I542" t="s">
        <v>2878</v>
      </c>
      <c r="J542" t="e">
        <f>VLOOKUP(F542,[1]!china_towns_second__2[[Column1]:[Y]],3,FALSE)</f>
        <v>#N/A</v>
      </c>
      <c r="K542" t="e">
        <f>VLOOKUP(F542,[1]!china_towns_second__2[[Column1]:[Y]],2,FALSE)</f>
        <v>#N/A</v>
      </c>
      <c r="L542" t="s">
        <v>4118</v>
      </c>
      <c r="M542" t="str">
        <f>VLOOKUP(H542,CHOOSE({1,2},Table12[Native],Table12[Name]),2,0)</f>
        <v>Shàngdăng Qū</v>
      </c>
      <c r="N542" s="13" t="str">
        <f>VLOOKUP(I542,CHOOSE({1,2},Table12[Native],Table12[Name]),2,0)</f>
        <v>Chángzhì Shì</v>
      </c>
      <c r="O542" s="13" t="str">
        <f t="shared" si="16"/>
        <v>Kaifa Yuanqu Kaifaqu (Chángzhì Shì)</v>
      </c>
      <c r="P542" s="13" t="str">
        <f t="shared" si="17"/>
        <v>Kaifa Yuanqu Kaifaqu (Chángzhì Shì)</v>
      </c>
    </row>
    <row r="543" spans="1:16" hidden="1" x14ac:dyDescent="0.25">
      <c r="A543" t="s">
        <v>2518</v>
      </c>
      <c r="B543" t="str">
        <f>IF(COUNTIF(A:A,A543)&gt;1,_xlfn.CONCAT(A543," (",N543,")"),A543)</f>
        <v>Kāifāqū (Yángquán Shì)</v>
      </c>
      <c r="C543" t="str">
        <f>IF(COUNTIF(B:B,B543)&gt;1,_xlfn.CONCAT(A543," (",M543,")"),B543)</f>
        <v>Kāifāqū (Yángquán Shì)</v>
      </c>
      <c r="D543" t="s">
        <v>2519</v>
      </c>
      <c r="E543" t="s">
        <v>35</v>
      </c>
      <c r="F543" t="str">
        <f>_xlfn.CONCAT(D543,", ",H543,", ",I543,", ","山西省")</f>
        <v>开发区, 郊区, 阳泉市, 山西省</v>
      </c>
      <c r="G543">
        <v>50715</v>
      </c>
      <c r="H543" t="s">
        <v>2998</v>
      </c>
      <c r="I543" t="s">
        <v>2997</v>
      </c>
      <c r="J543">
        <f>VLOOKUP(F543,[1]!china_towns_second__2[[Column1]:[Y]],3,FALSE)</f>
        <v>37.867264215018203</v>
      </c>
      <c r="K543">
        <f>VLOOKUP(F543,[1]!china_towns_second__2[[Column1]:[Y]],2,FALSE)</f>
        <v>113.60369590000001</v>
      </c>
      <c r="L543" t="s">
        <v>4119</v>
      </c>
      <c r="M543" t="str">
        <f>VLOOKUP(H543,CHOOSE({1,2},Table12[Native],Table12[Name]),2,0)</f>
        <v>Jiāo Qū</v>
      </c>
      <c r="N543" s="13" t="str">
        <f>VLOOKUP(I543,CHOOSE({1,2},Table12[Native],Table12[Name]),2,0)</f>
        <v>Yángquán Shì</v>
      </c>
      <c r="O543" s="13" t="str">
        <f t="shared" si="16"/>
        <v>Kaifaqu (Yangquan Shi) (Yángquán Shì)</v>
      </c>
      <c r="P543" s="13" t="str">
        <f t="shared" si="17"/>
        <v>Kaifaqu (Yangquan Shi) (Yángquán Shì)</v>
      </c>
    </row>
    <row r="544" spans="1:16" hidden="1" x14ac:dyDescent="0.25">
      <c r="A544" t="s">
        <v>2518</v>
      </c>
      <c r="B544" t="str">
        <f>IF(COUNTIF(A:A,A544)&gt;1,_xlfn.CONCAT(A544," (",N544,")"),A544)</f>
        <v>Kāifāqū (Yùnchéng Shì)</v>
      </c>
      <c r="C544" t="str">
        <f>IF(COUNTIF(B:B,B544)&gt;1,_xlfn.CONCAT(A544," (",M544,")"),B544)</f>
        <v>Kāifāqū (Yùnchéng Shì)</v>
      </c>
      <c r="D544" t="s">
        <v>2519</v>
      </c>
      <c r="E544" t="s">
        <v>35</v>
      </c>
      <c r="F544" t="str">
        <f>_xlfn.CONCAT(D544,", ",H544,", ",I544,", ","山西省")</f>
        <v>开发区, 新绛县, 运城市, 山西省</v>
      </c>
      <c r="G544">
        <v>11997</v>
      </c>
      <c r="H544" t="s">
        <v>3013</v>
      </c>
      <c r="I544" t="s">
        <v>3003</v>
      </c>
      <c r="J544" t="e">
        <f>VLOOKUP(F544,[1]!china_towns_second__2[[Column1]:[Y]],3,FALSE)</f>
        <v>#N/A</v>
      </c>
      <c r="K544" t="e">
        <f>VLOOKUP(F544,[1]!china_towns_second__2[[Column1]:[Y]],2,FALSE)</f>
        <v>#N/A</v>
      </c>
      <c r="L544" t="s">
        <v>4120</v>
      </c>
      <c r="M544" t="str">
        <f>VLOOKUP(H544,CHOOSE({1,2},Table12[Native],Table12[Name]),2,0)</f>
        <v>Xīnjiàng Xiàn</v>
      </c>
      <c r="N544" s="13" t="str">
        <f>VLOOKUP(I544,CHOOSE({1,2},Table12[Native],Table12[Name]),2,0)</f>
        <v>Yùnchéng Shì</v>
      </c>
      <c r="O544" s="13" t="str">
        <f t="shared" si="16"/>
        <v>Kaifaqu (Yuncheng Shi) (Yùnchéng Shì)</v>
      </c>
      <c r="P544" s="13" t="str">
        <f t="shared" si="17"/>
        <v>Kaifaqu (Yuncheng Shi) (Yùnchéng Shì)</v>
      </c>
    </row>
    <row r="545" spans="1:16" hidden="1" x14ac:dyDescent="0.25">
      <c r="A545" t="s">
        <v>693</v>
      </c>
      <c r="B545" t="str">
        <f>IF(COUNTIF(A:A,A545)&gt;1,_xlfn.CONCAT(A545," (",N545,")"),A545)</f>
        <v>Kāifāqū Jiēdào</v>
      </c>
      <c r="C545" t="str">
        <f>IF(COUNTIF(B:B,B545)&gt;1,_xlfn.CONCAT(A545," (",M545,")"),B545)</f>
        <v>Kāifāqū Jiēdào</v>
      </c>
      <c r="D545" t="s">
        <v>694</v>
      </c>
      <c r="E545" t="s">
        <v>31</v>
      </c>
      <c r="F545" t="str">
        <f>_xlfn.CONCAT(D545,", ",H545,", ",I545,", ","山西省")</f>
        <v>开发区街道, 城区, 晋城市, 山西省</v>
      </c>
      <c r="G545">
        <v>42156</v>
      </c>
      <c r="H545" t="s">
        <v>814</v>
      </c>
      <c r="I545" t="s">
        <v>2906</v>
      </c>
      <c r="J545" t="e">
        <f>VLOOKUP(F545,[1]!china_towns_second__2[[Column1]:[Y]],3,FALSE)</f>
        <v>#N/A</v>
      </c>
      <c r="K545" t="e">
        <f>VLOOKUP(F545,[1]!china_towns_second__2[[Column1]:[Y]],2,FALSE)</f>
        <v>#N/A</v>
      </c>
      <c r="L545" t="s">
        <v>4121</v>
      </c>
      <c r="M545" t="str">
        <f>VLOOKUP(H545,CHOOSE({1,2},Table12[Native],Table12[Name]),2,0)</f>
        <v>Chéng Qū</v>
      </c>
      <c r="N545" s="13" t="str">
        <f>VLOOKUP(I545,CHOOSE({1,2},Table12[Native],Table12[Name]),2,0)</f>
        <v>Jìnchéng Shì</v>
      </c>
      <c r="O545" s="13" t="str">
        <f t="shared" si="16"/>
        <v>Kaifaqu Jiedao (Jìnchéng Shì)</v>
      </c>
      <c r="P545" s="13" t="str">
        <f t="shared" si="17"/>
        <v>Kaifaqu Jiedao (Jìnchéng Shì)</v>
      </c>
    </row>
    <row r="546" spans="1:16" hidden="1" x14ac:dyDescent="0.25">
      <c r="A546" t="s">
        <v>1200</v>
      </c>
      <c r="B546" t="str">
        <f>IF(COUNTIF(A:A,A546)&gt;1,_xlfn.CONCAT(A546," (",N546,")"),A546)</f>
        <v>Kāiyuán Jiēdào</v>
      </c>
      <c r="C546" t="str">
        <f>IF(COUNTIF(B:B,B546)&gt;1,_xlfn.CONCAT(A546," (",M546,")"),B546)</f>
        <v>Kāiyuán Jiēdào</v>
      </c>
      <c r="D546" t="s">
        <v>1201</v>
      </c>
      <c r="E546" t="s">
        <v>31</v>
      </c>
      <c r="F546" t="str">
        <f>_xlfn.CONCAT(D546,", ",H546,", ",I546,", ","山西省")</f>
        <v>开元街道, 霍州市, 临汾市, 山西省</v>
      </c>
      <c r="G546">
        <v>19273</v>
      </c>
      <c r="H546" t="s">
        <v>2935</v>
      </c>
      <c r="I546" t="s">
        <v>2927</v>
      </c>
      <c r="J546">
        <f>VLOOKUP(F546,[1]!china_towns_second__2[[Column1]:[Y]],3,FALSE)</f>
        <v>36.5660544951605</v>
      </c>
      <c r="K546">
        <f>VLOOKUP(F546,[1]!china_towns_second__2[[Column1]:[Y]],2,FALSE)</f>
        <v>111.7375663</v>
      </c>
      <c r="L546" t="s">
        <v>4122</v>
      </c>
      <c r="M546" t="str">
        <f>VLOOKUP(H546,CHOOSE({1,2},Table12[Native],Table12[Name]),2,0)</f>
        <v>Huòzhōu Shì</v>
      </c>
      <c r="N546" s="13" t="str">
        <f>VLOOKUP(I546,CHOOSE({1,2},Table12[Native],Table12[Name]),2,0)</f>
        <v>Línfén Shì</v>
      </c>
      <c r="O546" s="13" t="str">
        <f t="shared" si="16"/>
        <v>Kaiyuan Jiedao (Línfén Shì)</v>
      </c>
      <c r="P546" s="13" t="str">
        <f t="shared" si="17"/>
        <v>Kaiyuan Jiedao (Línfén Shì)</v>
      </c>
    </row>
    <row r="547" spans="1:16" hidden="1" x14ac:dyDescent="0.25">
      <c r="A547" t="s">
        <v>1522</v>
      </c>
      <c r="B547" t="str">
        <f>IF(COUNTIF(A:A,A547)&gt;1,_xlfn.CONCAT(A547," (",N547,")"),A547)</f>
        <v>Kāizhà Zhèn</v>
      </c>
      <c r="C547" t="str">
        <f>IF(COUNTIF(B:B,B547)&gt;1,_xlfn.CONCAT(A547," (",M547,")"),B547)</f>
        <v>Kāizhà Zhèn</v>
      </c>
      <c r="D547" t="s">
        <v>1523</v>
      </c>
      <c r="E547" t="s">
        <v>7</v>
      </c>
      <c r="F547" t="str">
        <f>_xlfn.CONCAT(D547,", ",H547,", ",I547,", ","山西省")</f>
        <v>开栅镇, 文水县, 吕梁市, 山西省</v>
      </c>
      <c r="G547">
        <v>34205</v>
      </c>
      <c r="H547" t="s">
        <v>2956</v>
      </c>
      <c r="I547" t="s">
        <v>2946</v>
      </c>
      <c r="J547">
        <f>VLOOKUP(F547,[1]!china_towns_second__2[[Column1]:[Y]],3,FALSE)</f>
        <v>37.514913558272198</v>
      </c>
      <c r="K547">
        <f>VLOOKUP(F547,[1]!china_towns_second__2[[Column1]:[Y]],2,FALSE)</f>
        <v>111.733017</v>
      </c>
      <c r="L547" t="s">
        <v>4123</v>
      </c>
      <c r="M547" t="str">
        <f>VLOOKUP(H547,CHOOSE({1,2},Table12[Native],Table12[Name]),2,0)</f>
        <v>Wénshuĭ Xiàn</v>
      </c>
      <c r="N547" s="13" t="str">
        <f>VLOOKUP(I547,CHOOSE({1,2},Table12[Native],Table12[Name]),2,0)</f>
        <v>Lǚliáng Shì</v>
      </c>
      <c r="O547" s="13" t="str">
        <f t="shared" si="16"/>
        <v>Kaizha Zhen (Lǚliáng Shì)</v>
      </c>
      <c r="P547" s="13" t="str">
        <f t="shared" si="17"/>
        <v>Kaizha Zhen (Lǚliáng Shì)</v>
      </c>
    </row>
    <row r="548" spans="1:16" hidden="1" x14ac:dyDescent="0.25">
      <c r="A548" t="s">
        <v>2699</v>
      </c>
      <c r="B548" t="str">
        <f>IF(COUNTIF(A:A,A548)&gt;1,_xlfn.CONCAT(A548," (",N548,")"),A548)</f>
        <v>Kāizhāng Zhèn</v>
      </c>
      <c r="C548" t="str">
        <f>IF(COUNTIF(B:B,B548)&gt;1,_xlfn.CONCAT(A548," (",M548,")"),B548)</f>
        <v>Kāizhāng Zhèn</v>
      </c>
      <c r="D548" t="s">
        <v>2700</v>
      </c>
      <c r="E548" t="s">
        <v>7</v>
      </c>
      <c r="F548" t="str">
        <f>_xlfn.CONCAT(D548,", ",H548,", ",I548,", ","山西省")</f>
        <v>开张镇, 永济市, 运城市, 山西省</v>
      </c>
      <c r="G548">
        <v>38578</v>
      </c>
      <c r="H548" t="s">
        <v>3015</v>
      </c>
      <c r="I548" t="s">
        <v>3003</v>
      </c>
      <c r="J548">
        <f>VLOOKUP(F548,[1]!china_towns_second__2[[Column1]:[Y]],3,FALSE)</f>
        <v>34.9525622935477</v>
      </c>
      <c r="K548">
        <f>VLOOKUP(F548,[1]!china_towns_second__2[[Column1]:[Y]],2,FALSE)</f>
        <v>110.5884875</v>
      </c>
      <c r="L548" t="s">
        <v>4124</v>
      </c>
      <c r="M548" t="str">
        <f>VLOOKUP(H548,CHOOSE({1,2},Table12[Native],Table12[Name]),2,0)</f>
        <v>Yŏngjì Shì</v>
      </c>
      <c r="N548" s="13" t="str">
        <f>VLOOKUP(I548,CHOOSE({1,2},Table12[Native],Table12[Name]),2,0)</f>
        <v>Yùnchéng Shì</v>
      </c>
      <c r="O548" s="13" t="str">
        <f t="shared" si="16"/>
        <v>Kaizhang Zhen (Yùnchéng Shì)</v>
      </c>
      <c r="P548" s="13" t="str">
        <f t="shared" si="17"/>
        <v>Kaizhang Zhen (Yùnchéng Shì)</v>
      </c>
    </row>
    <row r="549" spans="1:16" hidden="1" x14ac:dyDescent="0.25">
      <c r="A549" t="s">
        <v>1524</v>
      </c>
      <c r="B549" t="str">
        <f>IF(COUNTIF(A:A,A549)&gt;1,_xlfn.CONCAT(A549," (",N549,")"),A549)</f>
        <v>Kāngchéng Zhèn</v>
      </c>
      <c r="C549" t="str">
        <f>IF(COUNTIF(B:B,B549)&gt;1,_xlfn.CONCAT(A549," (",M549,")"),B549)</f>
        <v>Kāngchéng Zhèn</v>
      </c>
      <c r="D549" t="s">
        <v>1525</v>
      </c>
      <c r="E549" t="s">
        <v>7</v>
      </c>
      <c r="F549" t="str">
        <f>_xlfn.CONCAT(D549,", ",H549,", ",I549,", ","山西省")</f>
        <v>康城镇, 交口县, 吕梁市, 山西省</v>
      </c>
      <c r="G549">
        <v>14867</v>
      </c>
      <c r="H549" t="s">
        <v>2950</v>
      </c>
      <c r="I549" t="s">
        <v>2946</v>
      </c>
      <c r="J549">
        <f>VLOOKUP(F549,[1]!china_towns_second__2[[Column1]:[Y]],3,FALSE)</f>
        <v>36.8098301012555</v>
      </c>
      <c r="K549">
        <f>VLOOKUP(F549,[1]!china_towns_second__2[[Column1]:[Y]],2,FALSE)</f>
        <v>111.2892701</v>
      </c>
      <c r="L549" t="s">
        <v>4125</v>
      </c>
      <c r="M549" t="str">
        <f>VLOOKUP(H549,CHOOSE({1,2},Table12[Native],Table12[Name]),2,0)</f>
        <v>Jiāokŏu Xiàn</v>
      </c>
      <c r="N549" s="13" t="str">
        <f>VLOOKUP(I549,CHOOSE({1,2},Table12[Native],Table12[Name]),2,0)</f>
        <v>Lǚliáng Shì</v>
      </c>
      <c r="O549" s="13" t="str">
        <f t="shared" si="16"/>
        <v>Kangcheng Zhen (Lǚliáng Shì)</v>
      </c>
      <c r="P549" s="13" t="str">
        <f t="shared" si="17"/>
        <v>Kangcheng Zhen (Lǚliáng Shì)</v>
      </c>
    </row>
    <row r="550" spans="1:16" hidden="1" x14ac:dyDescent="0.25">
      <c r="A550" t="s">
        <v>2258</v>
      </c>
      <c r="B550" t="str">
        <f>IF(COUNTIF(A:A,A550)&gt;1,_xlfn.CONCAT(A550," (",N550,")"),A550)</f>
        <v>Kāngjiāhuì Zhèn</v>
      </c>
      <c r="C550" t="str">
        <f>IF(COUNTIF(B:B,B550)&gt;1,_xlfn.CONCAT(A550," (",M550,")"),B550)</f>
        <v>Kāngjiāhuì Zhèn</v>
      </c>
      <c r="D550" t="s">
        <v>2259</v>
      </c>
      <c r="E550" t="s">
        <v>7</v>
      </c>
      <c r="F550" t="str">
        <f>_xlfn.CONCAT(D550,", ",H550,", ",I550,", ","山西省")</f>
        <v>康家会镇, 静乐县, 忻州市, 山西省</v>
      </c>
      <c r="G550">
        <v>6480</v>
      </c>
      <c r="H550" t="s">
        <v>2987</v>
      </c>
      <c r="I550" t="s">
        <v>2981</v>
      </c>
      <c r="J550">
        <f>VLOOKUP(F550,[1]!china_towns_second__2[[Column1]:[Y]],3,FALSE)</f>
        <v>38.324172885841101</v>
      </c>
      <c r="K550">
        <f>VLOOKUP(F550,[1]!china_towns_second__2[[Column1]:[Y]],2,FALSE)</f>
        <v>112.18797050000001</v>
      </c>
      <c r="L550" t="s">
        <v>4126</v>
      </c>
      <c r="M550" t="str">
        <f>VLOOKUP(H550,CHOOSE({1,2},Table12[Native],Table12[Name]),2,0)</f>
        <v>Jìnglè Xiàn</v>
      </c>
      <c r="N550" s="13" t="str">
        <f>VLOOKUP(I550,CHOOSE({1,2},Table12[Native],Table12[Name]),2,0)</f>
        <v>Xīnzhōu Shì</v>
      </c>
      <c r="O550" s="13" t="str">
        <f t="shared" si="16"/>
        <v>Kangjiahui Zhen (Xīnzhōu Shì)</v>
      </c>
      <c r="P550" s="13" t="str">
        <f t="shared" si="17"/>
        <v>Kangjiahui Zhen (Xīnzhōu Shì)</v>
      </c>
    </row>
    <row r="551" spans="1:16" hidden="1" x14ac:dyDescent="0.25">
      <c r="A551" t="s">
        <v>1526</v>
      </c>
      <c r="B551" t="str">
        <f>IF(COUNTIF(A:A,A551)&gt;1,_xlfn.CONCAT(A551," (",N551,")"),A551)</f>
        <v>Kāngníng Zhèn</v>
      </c>
      <c r="C551" t="str">
        <f>IF(COUNTIF(B:B,B551)&gt;1,_xlfn.CONCAT(A551," (",M551,")"),B551)</f>
        <v>Kāngníng Zhèn</v>
      </c>
      <c r="D551" t="s">
        <v>1527</v>
      </c>
      <c r="E551" t="s">
        <v>7</v>
      </c>
      <c r="F551" t="str">
        <f>_xlfn.CONCAT(D551,", ",H551,", ",I551,", ","山西省")</f>
        <v>康宁镇, 兴县, 吕梁市, 山西省</v>
      </c>
      <c r="G551">
        <v>17826</v>
      </c>
      <c r="H551" t="s">
        <v>2958</v>
      </c>
      <c r="I551" t="s">
        <v>2946</v>
      </c>
      <c r="J551">
        <f>VLOOKUP(F551,[1]!china_towns_second__2[[Column1]:[Y]],3,FALSE)</f>
        <v>38.312176509792899</v>
      </c>
      <c r="K551">
        <f>VLOOKUP(F551,[1]!china_towns_second__2[[Column1]:[Y]],2,FALSE)</f>
        <v>111.0789134</v>
      </c>
      <c r="L551" t="s">
        <v>4127</v>
      </c>
      <c r="M551" t="str">
        <f>VLOOKUP(H551,CHOOSE({1,2},Table12[Native],Table12[Name]),2,0)</f>
        <v>Xīng Xiàn</v>
      </c>
      <c r="N551" s="13" t="str">
        <f>VLOOKUP(I551,CHOOSE({1,2},Table12[Native],Table12[Name]),2,0)</f>
        <v>Lǚliáng Shì</v>
      </c>
      <c r="O551" s="13" t="str">
        <f t="shared" si="16"/>
        <v>Kangning Zhen (Lǚliáng Shì)</v>
      </c>
      <c r="P551" s="13" t="str">
        <f t="shared" si="17"/>
        <v>Kangning Zhen (Lǚliáng Shì)</v>
      </c>
    </row>
    <row r="552" spans="1:16" hidden="1" x14ac:dyDescent="0.25">
      <c r="A552" t="s">
        <v>155</v>
      </c>
      <c r="B552" t="str">
        <f>IF(COUNTIF(A:A,A552)&gt;1,_xlfn.CONCAT(A552," (",N552,")"),A552)</f>
        <v>Kāngzhuāng Gōngyè Yuánqū</v>
      </c>
      <c r="C552" t="str">
        <f>IF(COUNTIF(B:B,B552)&gt;1,_xlfn.CONCAT(A552," (",M552,")"),B552)</f>
        <v>Kāngzhuāng Gōngyè Yuánqū</v>
      </c>
      <c r="D552" t="s">
        <v>156</v>
      </c>
      <c r="E552" t="s">
        <v>35</v>
      </c>
      <c r="F552" t="str">
        <f>_xlfn.CONCAT(D552,", ",H552,", ",I552,", ","山西省")</f>
        <v>康庄工业园区, 屯留区, 长治市, 山西省</v>
      </c>
      <c r="G552">
        <v>14170</v>
      </c>
      <c r="H552" t="s">
        <v>2890</v>
      </c>
      <c r="I552" t="s">
        <v>2878</v>
      </c>
      <c r="J552">
        <f>VLOOKUP(F552,[1]!china_towns_second__2[[Column1]:[Y]],3,FALSE)</f>
        <v>36.239650875457201</v>
      </c>
      <c r="K552">
        <f>VLOOKUP(F552,[1]!china_towns_second__2[[Column1]:[Y]],2,FALSE)</f>
        <v>112.98623809999999</v>
      </c>
      <c r="L552" t="s">
        <v>4128</v>
      </c>
      <c r="M552" t="str">
        <f>VLOOKUP(H552,CHOOSE({1,2},Table12[Native],Table12[Name]),2,0)</f>
        <v>Túnliú Qū</v>
      </c>
      <c r="N552" s="13" t="str">
        <f>VLOOKUP(I552,CHOOSE({1,2},Table12[Native],Table12[Name]),2,0)</f>
        <v>Chángzhì Shì</v>
      </c>
      <c r="O552" s="13" t="str">
        <f t="shared" si="16"/>
        <v>Kangzhuang Gongye Yuanqu (Chángzhì Shì)</v>
      </c>
      <c r="P552" s="13" t="str">
        <f t="shared" si="17"/>
        <v>Kangzhuang Gongye Yuanqu (Chángzhì Shì)</v>
      </c>
    </row>
    <row r="553" spans="1:16" hidden="1" x14ac:dyDescent="0.25">
      <c r="A553" t="s">
        <v>2701</v>
      </c>
      <c r="B553" t="str">
        <f>IF(COUNTIF(A:A,A553)&gt;1,_xlfn.CONCAT(A553," (",N553,")"),A553)</f>
        <v>Kăolăo Zhèn</v>
      </c>
      <c r="C553" t="str">
        <f>IF(COUNTIF(B:B,B553)&gt;1,_xlfn.CONCAT(A553," (",M553,")"),B553)</f>
        <v>Kăolăo Zhèn</v>
      </c>
      <c r="D553" t="s">
        <v>2702</v>
      </c>
      <c r="E553" t="s">
        <v>7</v>
      </c>
      <c r="F553" t="str">
        <f>_xlfn.CONCAT(D553,", ",H553,", ",I553,", ","山西省")</f>
        <v>栲栳镇, 永济市, 运城市, 山西省</v>
      </c>
      <c r="G553">
        <v>47634</v>
      </c>
      <c r="H553" t="s">
        <v>3015</v>
      </c>
      <c r="I553" t="s">
        <v>3003</v>
      </c>
      <c r="J553">
        <f>VLOOKUP(F553,[1]!china_towns_second__2[[Column1]:[Y]],3,FALSE)</f>
        <v>34.949591688983197</v>
      </c>
      <c r="K553">
        <f>VLOOKUP(F553,[1]!china_towns_second__2[[Column1]:[Y]],2,FALSE)</f>
        <v>110.3924339</v>
      </c>
      <c r="L553" t="s">
        <v>4129</v>
      </c>
      <c r="M553" t="str">
        <f>VLOOKUP(H553,CHOOSE({1,2},Table12[Native],Table12[Name]),2,0)</f>
        <v>Yŏngjì Shì</v>
      </c>
      <c r="N553" s="13" t="str">
        <f>VLOOKUP(I553,CHOOSE({1,2},Table12[Native],Table12[Name]),2,0)</f>
        <v>Yùnchéng Shì</v>
      </c>
      <c r="O553" s="13" t="str">
        <f t="shared" si="16"/>
        <v>Kaolao Zhen (Yùnchéng Shì)</v>
      </c>
      <c r="P553" s="13" t="str">
        <f t="shared" si="17"/>
        <v>Kaolao Zhen (Yùnchéng Shì)</v>
      </c>
    </row>
    <row r="554" spans="1:16" hidden="1" x14ac:dyDescent="0.25">
      <c r="A554" t="s">
        <v>1202</v>
      </c>
      <c r="B554" t="str">
        <f>IF(COUNTIF(A:A,A554)&gt;1,_xlfn.CONCAT(A554," (",N554,")"),A554)</f>
        <v>Kèchéng Zhèn</v>
      </c>
      <c r="C554" t="str">
        <f>IF(COUNTIF(B:B,B554)&gt;1,_xlfn.CONCAT(A554," (",M554,")"),B554)</f>
        <v>Kèchéng Zhèn</v>
      </c>
      <c r="D554" t="s">
        <v>1203</v>
      </c>
      <c r="E554" t="s">
        <v>7</v>
      </c>
      <c r="F554" t="str">
        <f>_xlfn.CONCAT(D554,", ",H554,", ",I554,", ","山西省")</f>
        <v>克城镇, 蒲县, 临汾市, 山西省</v>
      </c>
      <c r="G554">
        <v>17148</v>
      </c>
      <c r="H554" t="s">
        <v>2937</v>
      </c>
      <c r="I554" t="s">
        <v>2927</v>
      </c>
      <c r="J554">
        <f>VLOOKUP(F554,[1]!china_towns_second__2[[Column1]:[Y]],3,FALSE)</f>
        <v>36.556640641981303</v>
      </c>
      <c r="K554">
        <f>VLOOKUP(F554,[1]!china_towns_second__2[[Column1]:[Y]],2,FALSE)</f>
        <v>111.2665305</v>
      </c>
      <c r="L554" t="s">
        <v>4130</v>
      </c>
      <c r="M554" t="str">
        <f>VLOOKUP(H554,CHOOSE({1,2},Table12[Native],Table12[Name]),2,0)</f>
        <v>Pú Xiàn</v>
      </c>
      <c r="N554" s="13" t="str">
        <f>VLOOKUP(I554,CHOOSE({1,2},Table12[Native],Table12[Name]),2,0)</f>
        <v>Línfén Shì</v>
      </c>
      <c r="O554" s="13" t="str">
        <f t="shared" si="16"/>
        <v>Kecheng Zhen (Línfén Shì)</v>
      </c>
      <c r="P554" s="13" t="str">
        <f t="shared" si="17"/>
        <v>Kecheng Zhen (Línfén Shì)</v>
      </c>
    </row>
    <row r="555" spans="1:16" hidden="1" x14ac:dyDescent="0.25">
      <c r="A555" t="s">
        <v>1528</v>
      </c>
      <c r="B555" t="str">
        <f>IF(COUNTIF(A:A,A555)&gt;1,_xlfn.CONCAT(A555," (",N555,")"),A555)</f>
        <v>Kèhŭ Zhèn</v>
      </c>
      <c r="C555" t="str">
        <f>IF(COUNTIF(B:B,B555)&gt;1,_xlfn.CONCAT(A555," (",M555,")"),B555)</f>
        <v>Kèhŭ Zhèn</v>
      </c>
      <c r="D555" t="s">
        <v>1529</v>
      </c>
      <c r="E555" t="s">
        <v>7</v>
      </c>
      <c r="F555" t="str">
        <f>_xlfn.CONCAT(D555,", ",H555,", ",I555,", ","山西省")</f>
        <v>克虎镇, 临县, 吕梁市, 山西省</v>
      </c>
      <c r="G555">
        <v>11751</v>
      </c>
      <c r="H555" t="s">
        <v>2952</v>
      </c>
      <c r="I555" t="s">
        <v>2946</v>
      </c>
      <c r="J555">
        <f>VLOOKUP(F555,[1]!china_towns_second__2[[Column1]:[Y]],3,FALSE)</f>
        <v>38.009070759436099</v>
      </c>
      <c r="K555">
        <f>VLOOKUP(F555,[1]!china_towns_second__2[[Column1]:[Y]],2,FALSE)</f>
        <v>110.54469709999999</v>
      </c>
      <c r="L555" t="s">
        <v>4131</v>
      </c>
      <c r="M555" t="str">
        <f>VLOOKUP(H555,CHOOSE({1,2},Table12[Native],Table12[Name]),2,0)</f>
        <v>Lín Xiàn</v>
      </c>
      <c r="N555" s="13" t="str">
        <f>VLOOKUP(I555,CHOOSE({1,2},Table12[Native],Table12[Name]),2,0)</f>
        <v>Lǚliáng Shì</v>
      </c>
      <c r="O555" s="13" t="str">
        <f t="shared" si="16"/>
        <v>Kehu Zhen (Lǚliáng Shì)</v>
      </c>
      <c r="P555" s="13" t="str">
        <f t="shared" si="17"/>
        <v>Kehu Zhen (Lǚliáng Shì)</v>
      </c>
    </row>
    <row r="556" spans="1:16" hidden="1" x14ac:dyDescent="0.25">
      <c r="A556" t="s">
        <v>894</v>
      </c>
      <c r="B556" t="str">
        <f>IF(COUNTIF(A:A,A556)&gt;1,_xlfn.CONCAT(A556," (",N556,")"),A556)</f>
        <v>Kŏngshì Xiāng</v>
      </c>
      <c r="C556" t="str">
        <f>IF(COUNTIF(B:B,B556)&gt;1,_xlfn.CONCAT(A556," (",M556,")"),B556)</f>
        <v>Kŏngshì Xiāng</v>
      </c>
      <c r="D556" t="s">
        <v>895</v>
      </c>
      <c r="E556" t="s">
        <v>17</v>
      </c>
      <c r="F556" t="str">
        <f>_xlfn.CONCAT(D556,", ",H556,", ",I556,", ","山西省")</f>
        <v>孔氏乡, 昔阳县, 晋中市, 山西省</v>
      </c>
      <c r="G556">
        <v>10615</v>
      </c>
      <c r="H556" t="s">
        <v>2922</v>
      </c>
      <c r="I556" t="s">
        <v>2914</v>
      </c>
      <c r="J556" t="e">
        <f>VLOOKUP(F556,[1]!china_towns_second__2[[Column1]:[Y]],3,FALSE)</f>
        <v>#N/A</v>
      </c>
      <c r="K556" t="e">
        <f>VLOOKUP(F556,[1]!china_towns_second__2[[Column1]:[Y]],2,FALSE)</f>
        <v>#N/A</v>
      </c>
      <c r="L556" t="s">
        <v>4132</v>
      </c>
      <c r="M556" t="str">
        <f>VLOOKUP(H556,CHOOSE({1,2},Table12[Native],Table12[Name]),2,0)</f>
        <v>Xīyáng Xiàn</v>
      </c>
      <c r="N556" s="13" t="str">
        <f>VLOOKUP(I556,CHOOSE({1,2},Table12[Native],Table12[Name]),2,0)</f>
        <v>Jìnzhōng Shì</v>
      </c>
      <c r="O556" s="13" t="str">
        <f t="shared" si="16"/>
        <v>Kongshi Xiang (Jìnzhōng Shì)</v>
      </c>
      <c r="P556" s="13" t="str">
        <f t="shared" si="17"/>
        <v>Kongshi Xiang (Jìnzhōng Shì)</v>
      </c>
    </row>
    <row r="557" spans="1:16" hidden="1" x14ac:dyDescent="0.25">
      <c r="A557" t="s">
        <v>427</v>
      </c>
      <c r="B557" t="str">
        <f>IF(COUNTIF(A:A,A557)&gt;1,_xlfn.CONCAT(A557," (",N557,")"),A557)</f>
        <v>Kŏuquán Jiēdào</v>
      </c>
      <c r="C557" t="str">
        <f>IF(COUNTIF(B:B,B557)&gt;1,_xlfn.CONCAT(A557," (",M557,")"),B557)</f>
        <v>Kŏuquán Jiēdào</v>
      </c>
      <c r="D557" t="s">
        <v>428</v>
      </c>
      <c r="E557" t="s">
        <v>31</v>
      </c>
      <c r="F557" t="str">
        <f>_xlfn.CONCAT(D557,", ",H557,", ",I557,", ","山西省")</f>
        <v>口泉街道, 云冈区, 大同市, 山西省</v>
      </c>
      <c r="G557">
        <v>32012</v>
      </c>
      <c r="H557" t="s">
        <v>2902</v>
      </c>
      <c r="I557" t="s">
        <v>2894</v>
      </c>
      <c r="J557" t="e">
        <f>VLOOKUP(F557,[1]!china_towns_second__2[[Column1]:[Y]],3,FALSE)</f>
        <v>#N/A</v>
      </c>
      <c r="K557" t="e">
        <f>VLOOKUP(F557,[1]!china_towns_second__2[[Column1]:[Y]],2,FALSE)</f>
        <v>#N/A</v>
      </c>
      <c r="L557" t="s">
        <v>4133</v>
      </c>
      <c r="M557" t="str">
        <f>VLOOKUP(H557,CHOOSE({1,2},Table12[Native],Table12[Name]),2,0)</f>
        <v>Yúngāng Qū</v>
      </c>
      <c r="N557" s="13" t="str">
        <f>VLOOKUP(I557,CHOOSE({1,2},Table12[Native],Table12[Name]),2,0)</f>
        <v>Dàtóng Shì</v>
      </c>
      <c r="O557" s="13" t="str">
        <f t="shared" si="16"/>
        <v>Kouquan Jiedao (Dàtóng Shì)</v>
      </c>
      <c r="P557" s="13" t="str">
        <f t="shared" si="17"/>
        <v>Kouquan Jiedao (Dàtóng Shì)</v>
      </c>
    </row>
    <row r="558" spans="1:16" hidden="1" x14ac:dyDescent="0.25">
      <c r="A558" t="s">
        <v>429</v>
      </c>
      <c r="B558" t="str">
        <f>IF(COUNTIF(A:A,A558)&gt;1,_xlfn.CONCAT(A558," (",N558,")"),A558)</f>
        <v>Kŏuquán Xiāng</v>
      </c>
      <c r="C558" t="str">
        <f>IF(COUNTIF(B:B,B558)&gt;1,_xlfn.CONCAT(A558," (",M558,")"),B558)</f>
        <v>Kŏuquán Xiāng</v>
      </c>
      <c r="D558" t="s">
        <v>430</v>
      </c>
      <c r="E558" t="s">
        <v>17</v>
      </c>
      <c r="F558" t="str">
        <f>_xlfn.CONCAT(D558,", ",H558,", ",I558,", ","山西省")</f>
        <v>口泉乡, 云冈区, 大同市, 山西省</v>
      </c>
      <c r="G558">
        <v>57048</v>
      </c>
      <c r="H558" t="s">
        <v>2902</v>
      </c>
      <c r="I558" t="s">
        <v>2894</v>
      </c>
      <c r="J558" t="e">
        <f>VLOOKUP(F558,[1]!china_towns_second__2[[Column1]:[Y]],3,FALSE)</f>
        <v>#N/A</v>
      </c>
      <c r="K558" t="e">
        <f>VLOOKUP(F558,[1]!china_towns_second__2[[Column1]:[Y]],2,FALSE)</f>
        <v>#N/A</v>
      </c>
      <c r="L558" t="s">
        <v>4134</v>
      </c>
      <c r="M558" t="str">
        <f>VLOOKUP(H558,CHOOSE({1,2},Table12[Native],Table12[Name]),2,0)</f>
        <v>Yúngāng Qū</v>
      </c>
      <c r="N558" s="13" t="str">
        <f>VLOOKUP(I558,CHOOSE({1,2},Table12[Native],Table12[Name]),2,0)</f>
        <v>Dàtóng Shì</v>
      </c>
      <c r="O558" s="13" t="str">
        <f t="shared" si="16"/>
        <v>Kouquan Xiang (Dàtóng Shì)</v>
      </c>
      <c r="P558" s="13" t="str">
        <f t="shared" si="17"/>
        <v>Kouquan Xiang (Dàtóng Shì)</v>
      </c>
    </row>
    <row r="559" spans="1:16" hidden="1" x14ac:dyDescent="0.25">
      <c r="A559" t="s">
        <v>695</v>
      </c>
      <c r="B559" t="str">
        <f>IF(COUNTIF(A:A,A559)&gt;1,_xlfn.CONCAT(A559," (",N559,")"),A559)</f>
        <v>Kuàngqū Jiēdào</v>
      </c>
      <c r="C559" t="str">
        <f>IF(COUNTIF(B:B,B559)&gt;1,_xlfn.CONCAT(A559," (",M559,")"),B559)</f>
        <v>Kuàngqū Jiēdào</v>
      </c>
      <c r="D559" t="s">
        <v>696</v>
      </c>
      <c r="E559" t="s">
        <v>31</v>
      </c>
      <c r="F559" t="str">
        <f>_xlfn.CONCAT(D559,", ",H559,", ",I559,", ","山西省")</f>
        <v>矿区街道, 城区, 晋城市, 山西省</v>
      </c>
      <c r="G559">
        <v>47512</v>
      </c>
      <c r="H559" t="s">
        <v>814</v>
      </c>
      <c r="I559" t="s">
        <v>2906</v>
      </c>
      <c r="J559">
        <f>VLOOKUP(F559,[1]!china_towns_second__2[[Column1]:[Y]],3,FALSE)</f>
        <v>35.553770130060698</v>
      </c>
      <c r="K559">
        <f>VLOOKUP(F559,[1]!china_towns_second__2[[Column1]:[Y]],2,FALSE)</f>
        <v>112.8890665</v>
      </c>
      <c r="L559" t="s">
        <v>4135</v>
      </c>
      <c r="M559" t="str">
        <f>VLOOKUP(H559,CHOOSE({1,2},Table12[Native],Table12[Name]),2,0)</f>
        <v>Chéng Qū</v>
      </c>
      <c r="N559" s="13" t="str">
        <f>VLOOKUP(I559,CHOOSE({1,2},Table12[Native],Table12[Name]),2,0)</f>
        <v>Jìnchéng Shì</v>
      </c>
      <c r="O559" s="13" t="str">
        <f t="shared" si="16"/>
        <v>Kuangqu Jiedao (Jìnchéng Shì)</v>
      </c>
      <c r="P559" s="13" t="str">
        <f t="shared" si="17"/>
        <v>Kuangqu Jiedao (Jìnchéng Shì)</v>
      </c>
    </row>
    <row r="560" spans="1:16" hidden="1" x14ac:dyDescent="0.25">
      <c r="A560" t="s">
        <v>896</v>
      </c>
      <c r="B560" t="str">
        <f>IF(COUNTIF(A:A,A560)&gt;1,_xlfn.CONCAT(A560," (",N560,")"),A560)</f>
        <v>Láiyuăn Zhèn</v>
      </c>
      <c r="C560" t="str">
        <f>IF(COUNTIF(B:B,B560)&gt;1,_xlfn.CONCAT(A560," (",M560,")"),B560)</f>
        <v>Láiyuăn Zhèn</v>
      </c>
      <c r="D560" t="s">
        <v>897</v>
      </c>
      <c r="E560" t="s">
        <v>7</v>
      </c>
      <c r="F560" t="str">
        <f>_xlfn.CONCAT(D560,", ",H560,", ",I560,", ","山西省")</f>
        <v>来远镇, 祁县, 晋中市, 山西省</v>
      </c>
      <c r="G560">
        <v>2011</v>
      </c>
      <c r="H560" t="s">
        <v>2919</v>
      </c>
      <c r="I560" t="s">
        <v>2914</v>
      </c>
      <c r="J560">
        <f>VLOOKUP(F560,[1]!china_towns_second__2[[Column1]:[Y]],3,FALSE)</f>
        <v>37.168183857281498</v>
      </c>
      <c r="K560">
        <f>VLOOKUP(F560,[1]!china_towns_second__2[[Column1]:[Y]],2,FALSE)</f>
        <v>112.54915440000001</v>
      </c>
      <c r="L560" t="s">
        <v>4136</v>
      </c>
      <c r="M560" t="str">
        <f>VLOOKUP(H560,CHOOSE({1,2},Table12[Native],Table12[Name]),2,0)</f>
        <v>Qí Xiàn</v>
      </c>
      <c r="N560" s="13" t="str">
        <f>VLOOKUP(I560,CHOOSE({1,2},Table12[Native],Table12[Name]),2,0)</f>
        <v>Jìnzhōng Shì</v>
      </c>
      <c r="O560" s="13" t="str">
        <f t="shared" si="16"/>
        <v>Laiyuan Zhen (Jìnzhōng Shì)</v>
      </c>
      <c r="P560" s="13" t="str">
        <f t="shared" si="17"/>
        <v>Laiyuan Zhen (Jìnzhōng Shì)</v>
      </c>
    </row>
    <row r="561" spans="1:16" hidden="1" x14ac:dyDescent="0.25">
      <c r="A561" t="s">
        <v>1530</v>
      </c>
      <c r="B561" t="str">
        <f>IF(COUNTIF(A:A,A561)&gt;1,_xlfn.CONCAT(A561," (",N561,")"),A561)</f>
        <v>Lánchéng Zhèn</v>
      </c>
      <c r="C561" t="str">
        <f>IF(COUNTIF(B:B,B561)&gt;1,_xlfn.CONCAT(A561," (",M561,")"),B561)</f>
        <v>Lánchéng Zhèn</v>
      </c>
      <c r="D561" t="s">
        <v>1531</v>
      </c>
      <c r="E561" t="s">
        <v>7</v>
      </c>
      <c r="F561" t="str">
        <f>_xlfn.CONCAT(D561,", ",H561,", ",I561,", ","山西省")</f>
        <v>岚城镇, 岚县, 吕梁市, 山西省</v>
      </c>
      <c r="G561">
        <v>10736</v>
      </c>
      <c r="H561" t="s">
        <v>2951</v>
      </c>
      <c r="I561" t="s">
        <v>2946</v>
      </c>
      <c r="J561">
        <f>VLOOKUP(F561,[1]!china_towns_second__2[[Column1]:[Y]],3,FALSE)</f>
        <v>38.4124888291418</v>
      </c>
      <c r="K561">
        <f>VLOOKUP(F561,[1]!china_towns_second__2[[Column1]:[Y]],2,FALSE)</f>
        <v>111.6659202</v>
      </c>
      <c r="L561" t="s">
        <v>4137</v>
      </c>
      <c r="M561" t="str">
        <f>VLOOKUP(H561,CHOOSE({1,2},Table12[Native],Table12[Name]),2,0)</f>
        <v>Lán Xiàn</v>
      </c>
      <c r="N561" s="13" t="str">
        <f>VLOOKUP(I561,CHOOSE({1,2},Table12[Native],Table12[Name]),2,0)</f>
        <v>Lǚliáng Shì</v>
      </c>
      <c r="O561" s="13" t="str">
        <f t="shared" si="16"/>
        <v>Lancheng Zhen (Lǚliáng Shì)</v>
      </c>
      <c r="P561" s="13" t="str">
        <f t="shared" si="17"/>
        <v>Lancheng Zhen (Lǚliáng Shì)</v>
      </c>
    </row>
    <row r="562" spans="1:16" hidden="1" x14ac:dyDescent="0.25">
      <c r="A562" t="s">
        <v>2260</v>
      </c>
      <c r="B562" t="str">
        <f>IF(COUNTIF(A:A,A562)&gt;1,_xlfn.CONCAT(A562," (",N562,")"),A562)</f>
        <v>Láncūn Xiāng</v>
      </c>
      <c r="C562" t="str">
        <f>IF(COUNTIF(B:B,B562)&gt;1,_xlfn.CONCAT(A562," (",M562,")"),B562)</f>
        <v>Láncūn Xiāng</v>
      </c>
      <c r="D562" t="s">
        <v>2261</v>
      </c>
      <c r="E562" t="s">
        <v>17</v>
      </c>
      <c r="F562" t="str">
        <f>_xlfn.CONCAT(D562,", ",H562,", ",I562,", ","山西省")</f>
        <v>兰村乡, 忻府区, 忻州市, 山西省</v>
      </c>
      <c r="G562">
        <v>18352</v>
      </c>
      <c r="H562" t="s">
        <v>2994</v>
      </c>
      <c r="I562" t="s">
        <v>2981</v>
      </c>
      <c r="J562" t="e">
        <f>VLOOKUP(F562,[1]!china_towns_second__2[[Column1]:[Y]],3,FALSE)</f>
        <v>#N/A</v>
      </c>
      <c r="K562" t="e">
        <f>VLOOKUP(F562,[1]!china_towns_second__2[[Column1]:[Y]],2,FALSE)</f>
        <v>#N/A</v>
      </c>
      <c r="L562" t="s">
        <v>4138</v>
      </c>
      <c r="M562" t="str">
        <f>VLOOKUP(H562,CHOOSE({1,2},Table12[Native],Table12[Name]),2,0)</f>
        <v>Xīnfŭ Qū</v>
      </c>
      <c r="N562" s="13" t="str">
        <f>VLOOKUP(I562,CHOOSE({1,2},Table12[Native],Table12[Name]),2,0)</f>
        <v>Xīnzhōu Shì</v>
      </c>
      <c r="O562" s="13" t="str">
        <f t="shared" si="16"/>
        <v>Lancun Xiang (Xīnzhōu Shì)</v>
      </c>
      <c r="P562" s="13" t="str">
        <f t="shared" si="17"/>
        <v>Lancun Xiang (Xīnzhōu Shì)</v>
      </c>
    </row>
    <row r="563" spans="1:16" hidden="1" x14ac:dyDescent="0.25">
      <c r="A563" t="s">
        <v>157</v>
      </c>
      <c r="B563" t="str">
        <f>IF(COUNTIF(A:A,A563)&gt;1,_xlfn.CONCAT(A563," (",N563,")"),A563)</f>
        <v>Lánshuĭ Xiāng</v>
      </c>
      <c r="C563" t="str">
        <f>IF(COUNTIF(B:B,B563)&gt;1,_xlfn.CONCAT(A563," (",M563,")"),B563)</f>
        <v>Lánshuĭ Xiāng</v>
      </c>
      <c r="D563" t="s">
        <v>158</v>
      </c>
      <c r="E563" t="s">
        <v>17</v>
      </c>
      <c r="F563" t="str">
        <f>_xlfn.CONCAT(D563,", ",H563,", ",I563,", ","山西省")</f>
        <v>岚水乡, 长子县, 长治市, 山西省</v>
      </c>
      <c r="G563">
        <v>15948</v>
      </c>
      <c r="H563" t="s">
        <v>2880</v>
      </c>
      <c r="I563" t="s">
        <v>2878</v>
      </c>
      <c r="J563" t="e">
        <f>VLOOKUP(F563,[1]!china_towns_second__2[[Column1]:[Y]],3,FALSE)</f>
        <v>#N/A</v>
      </c>
      <c r="K563" t="e">
        <f>VLOOKUP(F563,[1]!china_towns_second__2[[Column1]:[Y]],2,FALSE)</f>
        <v>#N/A</v>
      </c>
      <c r="L563" t="s">
        <v>4139</v>
      </c>
      <c r="M563" t="str">
        <f>VLOOKUP(H563,CHOOSE({1,2},Table12[Native],Table12[Name]),2,0)</f>
        <v>Chángzi Xiàn</v>
      </c>
      <c r="N563" s="13" t="str">
        <f>VLOOKUP(I563,CHOOSE({1,2},Table12[Native],Table12[Name]),2,0)</f>
        <v>Chángzhì Shì</v>
      </c>
      <c r="O563" s="13" t="str">
        <f t="shared" si="16"/>
        <v>Lanshui Xiang (Chángzhì Shì)</v>
      </c>
      <c r="P563" s="13" t="str">
        <f t="shared" si="17"/>
        <v>Lanshui Xiang (Chángzhì Shì)</v>
      </c>
    </row>
    <row r="564" spans="1:16" hidden="1" x14ac:dyDescent="0.25">
      <c r="A564" t="s">
        <v>2262</v>
      </c>
      <c r="B564" t="str">
        <f>IF(COUNTIF(A:A,A564)&gt;1,_xlfn.CONCAT(A564," (",N564,")"),A564)</f>
        <v>Lányī Zhèn</v>
      </c>
      <c r="C564" t="str">
        <f>IF(COUNTIF(B:B,B564)&gt;1,_xlfn.CONCAT(A564," (",M564,")"),B564)</f>
        <v>Lányī Zhèn</v>
      </c>
      <c r="D564" t="s">
        <v>2263</v>
      </c>
      <c r="E564" t="s">
        <v>7</v>
      </c>
      <c r="F564" t="str">
        <f>_xlfn.CONCAT(D564,", ",H564,", ",I564,", ","山西省")</f>
        <v>岚漪镇, 岢岚县, 忻州市, 山西省</v>
      </c>
      <c r="G564">
        <v>38431</v>
      </c>
      <c r="H564" t="s">
        <v>2988</v>
      </c>
      <c r="I564" t="s">
        <v>2981</v>
      </c>
      <c r="J564">
        <f>VLOOKUP(F564,[1]!china_towns_second__2[[Column1]:[Y]],3,FALSE)</f>
        <v>38.703029407363999</v>
      </c>
      <c r="K564">
        <f>VLOOKUP(F564,[1]!china_towns_second__2[[Column1]:[Y]],2,FALSE)</f>
        <v>111.56450630000001</v>
      </c>
      <c r="L564" t="s">
        <v>4140</v>
      </c>
      <c r="M564" t="str">
        <f>VLOOKUP(H564,CHOOSE({1,2},Table12[Native],Table12[Name]),2,0)</f>
        <v>Kĕlán Xiàn</v>
      </c>
      <c r="N564" s="13" t="str">
        <f>VLOOKUP(I564,CHOOSE({1,2},Table12[Native],Table12[Name]),2,0)</f>
        <v>Xīnzhōu Shì</v>
      </c>
      <c r="O564" s="13" t="str">
        <f t="shared" si="16"/>
        <v>Lanyi Zhen (Xīnzhōu Shì)</v>
      </c>
      <c r="P564" s="13" t="str">
        <f t="shared" si="17"/>
        <v>Lanyi Zhen (Xīnzhōu Shì)</v>
      </c>
    </row>
    <row r="565" spans="1:16" hidden="1" x14ac:dyDescent="0.25">
      <c r="A565" t="s">
        <v>898</v>
      </c>
      <c r="B565" t="str">
        <f>IF(COUNTIF(A:A,A565)&gt;1,_xlfn.CONCAT(A565," (",N565,")"),A565)</f>
        <v>Lányù Xiāng</v>
      </c>
      <c r="C565" t="str">
        <f>IF(COUNTIF(B:B,B565)&gt;1,_xlfn.CONCAT(A565," (",M565,")"),B565)</f>
        <v>Lányù Xiāng</v>
      </c>
      <c r="D565" t="s">
        <v>899</v>
      </c>
      <c r="E565" t="s">
        <v>17</v>
      </c>
      <c r="F565" t="str">
        <f>_xlfn.CONCAT(D565,", ",H565,", ",I565,", ","山西省")</f>
        <v>岚峪乡, 榆社县, 晋中市, 山西省</v>
      </c>
      <c r="G565">
        <v>4032</v>
      </c>
      <c r="H565" t="s">
        <v>2924</v>
      </c>
      <c r="I565" t="s">
        <v>2914</v>
      </c>
      <c r="J565" t="e">
        <f>VLOOKUP(F565,[1]!china_towns_second__2[[Column1]:[Y]],3,FALSE)</f>
        <v>#N/A</v>
      </c>
      <c r="K565" t="e">
        <f>VLOOKUP(F565,[1]!china_towns_second__2[[Column1]:[Y]],2,FALSE)</f>
        <v>#N/A</v>
      </c>
      <c r="L565" t="s">
        <v>4141</v>
      </c>
      <c r="M565" t="str">
        <f>VLOOKUP(H565,CHOOSE({1,2},Table12[Native],Table12[Name]),2,0)</f>
        <v>Yúshè Xiàn</v>
      </c>
      <c r="N565" s="13" t="str">
        <f>VLOOKUP(I565,CHOOSE({1,2},Table12[Native],Table12[Name]),2,0)</f>
        <v>Jìnzhōng Shì</v>
      </c>
      <c r="O565" s="13" t="str">
        <f t="shared" si="16"/>
        <v>Lanyu Xiang (Jìnzhōng Shì)</v>
      </c>
      <c r="P565" s="13" t="str">
        <f t="shared" si="17"/>
        <v>Lanyu Xiang (Jìnzhōng Shì)</v>
      </c>
    </row>
    <row r="566" spans="1:16" hidden="1" x14ac:dyDescent="0.25">
      <c r="A566" t="s">
        <v>159</v>
      </c>
      <c r="B566" t="str">
        <f>IF(COUNTIF(A:A,A566)&gt;1,_xlfn.CONCAT(A566," (",N566,")"),A566)</f>
        <v>Lăodĭngshān Zhèn</v>
      </c>
      <c r="C566" t="str">
        <f>IF(COUNTIF(B:B,B566)&gt;1,_xlfn.CONCAT(A566," (",M566,")"),B566)</f>
        <v>Lăodĭngshān Zhèn</v>
      </c>
      <c r="D566" t="s">
        <v>160</v>
      </c>
      <c r="E566" t="s">
        <v>7</v>
      </c>
      <c r="F566" t="str">
        <f>_xlfn.CONCAT(D566,", ",H566,", ",I566,", ","山西省")</f>
        <v>老顶山镇, 潞州区, 长治市, 山西省</v>
      </c>
      <c r="G566">
        <v>39336</v>
      </c>
      <c r="H566" t="s">
        <v>2885</v>
      </c>
      <c r="I566" t="s">
        <v>2878</v>
      </c>
      <c r="J566">
        <f>VLOOKUP(F566,[1]!china_towns_second__2[[Column1]:[Y]],3,FALSE)</f>
        <v>36.209315261914</v>
      </c>
      <c r="K566">
        <f>VLOOKUP(F566,[1]!china_towns_second__2[[Column1]:[Y]],2,FALSE)</f>
        <v>113.1626985</v>
      </c>
      <c r="L566" t="s">
        <v>4142</v>
      </c>
      <c r="M566" t="str">
        <f>VLOOKUP(H566,CHOOSE({1,2},Table12[Native],Table12[Name]),2,0)</f>
        <v>Lùzhōu Qū</v>
      </c>
      <c r="N566" s="13" t="str">
        <f>VLOOKUP(I566,CHOOSE({1,2},Table12[Native],Table12[Name]),2,0)</f>
        <v>Chángzhì Shì</v>
      </c>
      <c r="O566" s="13" t="str">
        <f t="shared" si="16"/>
        <v>Laodingshan Zhen (Chángzhì Shì)</v>
      </c>
      <c r="P566" s="13" t="str">
        <f t="shared" si="17"/>
        <v>Laodingshan Zhen (Chángzhì Shì)</v>
      </c>
    </row>
    <row r="567" spans="1:16" hidden="1" x14ac:dyDescent="0.25">
      <c r="A567" t="s">
        <v>1972</v>
      </c>
      <c r="B567" t="str">
        <f>IF(COUNTIF(A:A,A567)&gt;1,_xlfn.CONCAT(A567," (",N567,")"),A567)</f>
        <v>Lăojūnyíng Jiēdào</v>
      </c>
      <c r="C567" t="str">
        <f>IF(COUNTIF(B:B,B567)&gt;1,_xlfn.CONCAT(A567," (",M567,")"),B567)</f>
        <v>Lăojūnyíng Jiēdào</v>
      </c>
      <c r="D567" t="s">
        <v>1973</v>
      </c>
      <c r="E567" t="s">
        <v>31</v>
      </c>
      <c r="F567" t="str">
        <f>_xlfn.CONCAT(D567,", ",H567,", ",I567,", ","山西省")</f>
        <v>老军营街道, 迎泽区, 太原市, 山西省</v>
      </c>
      <c r="G567">
        <v>70564</v>
      </c>
      <c r="H567" t="s">
        <v>2979</v>
      </c>
      <c r="I567" t="s">
        <v>2969</v>
      </c>
      <c r="J567">
        <f>VLOOKUP(F567,[1]!china_towns_second__2[[Column1]:[Y]],3,FALSE)</f>
        <v>37.848238710359702</v>
      </c>
      <c r="K567">
        <f>VLOOKUP(F567,[1]!china_towns_second__2[[Column1]:[Y]],2,FALSE)</f>
        <v>112.5383503</v>
      </c>
      <c r="L567" t="s">
        <v>4143</v>
      </c>
      <c r="M567" t="str">
        <f>VLOOKUP(H567,CHOOSE({1,2},Table12[Native],Table12[Name]),2,0)</f>
        <v>Yíngzé Qū</v>
      </c>
      <c r="N567" s="13" t="str">
        <f>VLOOKUP(I567,CHOOSE({1,2},Table12[Native],Table12[Name]),2,0)</f>
        <v>Tàiyuán Shì</v>
      </c>
      <c r="O567" s="13" t="str">
        <f t="shared" si="16"/>
        <v>Laojunying Jiedao (Tàiyuán Shì)</v>
      </c>
      <c r="P567" s="13" t="str">
        <f t="shared" si="17"/>
        <v>Laojunying Jiedao (Tàiyuán Shì)</v>
      </c>
    </row>
    <row r="568" spans="1:16" hidden="1" x14ac:dyDescent="0.25">
      <c r="A568" t="s">
        <v>431</v>
      </c>
      <c r="B568" t="str">
        <f>IF(COUNTIF(A:A,A568)&gt;1,_xlfn.CONCAT(A568," (",N568,")"),A568)</f>
        <v>Lăopíngwàng Jiēdào</v>
      </c>
      <c r="C568" t="str">
        <f>IF(COUNTIF(B:B,B568)&gt;1,_xlfn.CONCAT(A568," (",M568,")"),B568)</f>
        <v>Lăopíngwàng Jiēdào</v>
      </c>
      <c r="D568" t="s">
        <v>432</v>
      </c>
      <c r="E568" t="s">
        <v>31</v>
      </c>
      <c r="F568" t="str">
        <f>_xlfn.CONCAT(D568,", ",H568,", ",I568,", ","山西省")</f>
        <v>老平旺街道办事处, 平城区, 大同市, 山西省</v>
      </c>
      <c r="G568">
        <v>15905</v>
      </c>
      <c r="H568" t="s">
        <v>2898</v>
      </c>
      <c r="I568" t="s">
        <v>2894</v>
      </c>
      <c r="J568" t="e">
        <f>VLOOKUP(F568,[1]!china_towns_second__2[[Column1]:[Y]],3,FALSE)</f>
        <v>#N/A</v>
      </c>
      <c r="K568" t="e">
        <f>VLOOKUP(F568,[1]!china_towns_second__2[[Column1]:[Y]],2,FALSE)</f>
        <v>#N/A</v>
      </c>
      <c r="L568" t="s">
        <v>4144</v>
      </c>
      <c r="M568" t="str">
        <f>VLOOKUP(H568,CHOOSE({1,2},Table12[Native],Table12[Name]),2,0)</f>
        <v>Píngchéng Qū</v>
      </c>
      <c r="N568" s="13" t="str">
        <f>VLOOKUP(I568,CHOOSE({1,2},Table12[Native],Table12[Name]),2,0)</f>
        <v>Dàtóng Shì</v>
      </c>
      <c r="O568" s="13" t="str">
        <f t="shared" si="16"/>
        <v>Laopingwang Jiedao (Dàtóng Shì)</v>
      </c>
      <c r="P568" s="13" t="str">
        <f t="shared" si="17"/>
        <v>Laopingwang Jiedao (Dàtóng Shì)</v>
      </c>
    </row>
    <row r="569" spans="1:16" hidden="1" x14ac:dyDescent="0.25">
      <c r="A569" t="s">
        <v>2264</v>
      </c>
      <c r="B569" t="str">
        <f>IF(COUNTIF(A:A,A569)&gt;1,_xlfn.CONCAT(A569," (",N569,")"),A569)</f>
        <v>Lăoyíng Zhèn</v>
      </c>
      <c r="C569" t="str">
        <f>IF(COUNTIF(B:B,B569)&gt;1,_xlfn.CONCAT(A569," (",M569,")"),B569)</f>
        <v>Lăoyíng Zhèn</v>
      </c>
      <c r="D569" t="s">
        <v>2265</v>
      </c>
      <c r="E569" t="s">
        <v>7</v>
      </c>
      <c r="F569" t="str">
        <f>_xlfn.CONCAT(D569,", ",H569,", ",I569,", ","山西省")</f>
        <v>老营镇, 偏关县, 忻州市, 山西省</v>
      </c>
      <c r="G569">
        <v>6524</v>
      </c>
      <c r="H569" t="s">
        <v>2990</v>
      </c>
      <c r="I569" t="s">
        <v>2981</v>
      </c>
      <c r="J569">
        <f>VLOOKUP(F569,[1]!china_towns_second__2[[Column1]:[Y]],3,FALSE)</f>
        <v>39.548607733984703</v>
      </c>
      <c r="K569">
        <f>VLOOKUP(F569,[1]!china_towns_second__2[[Column1]:[Y]],2,FALSE)</f>
        <v>111.8575021</v>
      </c>
      <c r="L569" t="s">
        <v>4145</v>
      </c>
      <c r="M569" t="str">
        <f>VLOOKUP(H569,CHOOSE({1,2},Table12[Native],Table12[Name]),2,0)</f>
        <v>Piānguān Xiàn</v>
      </c>
      <c r="N569" s="13" t="str">
        <f>VLOOKUP(I569,CHOOSE({1,2},Table12[Native],Table12[Name]),2,0)</f>
        <v>Xīnzhōu Shì</v>
      </c>
      <c r="O569" s="13" t="str">
        <f t="shared" si="16"/>
        <v>Laoying Zhen (Xīnzhōu Shì)</v>
      </c>
      <c r="P569" s="13" t="str">
        <f t="shared" si="17"/>
        <v>Laoying Zhen (Xīnzhōu Shì)</v>
      </c>
    </row>
    <row r="570" spans="1:16" hidden="1" x14ac:dyDescent="0.25">
      <c r="A570" t="s">
        <v>1204</v>
      </c>
      <c r="B570" t="str">
        <f>IF(COUNTIF(A:A,A570)&gt;1,_xlfn.CONCAT(A570," (",N570,")"),A570)</f>
        <v>Lèchāng Zhèn</v>
      </c>
      <c r="C570" t="str">
        <f>IF(COUNTIF(B:B,B570)&gt;1,_xlfn.CONCAT(A570," (",M570,")"),B570)</f>
        <v>Lèchāng Zhèn</v>
      </c>
      <c r="D570" t="s">
        <v>1205</v>
      </c>
      <c r="E570" t="s">
        <v>7</v>
      </c>
      <c r="F570" t="str">
        <f>_xlfn.CONCAT(D570,", ",H570,", ",I570,", ","山西省")</f>
        <v>乐昌镇, 曲沃县, 临汾市, 山西省</v>
      </c>
      <c r="G570">
        <v>64587</v>
      </c>
      <c r="H570" t="s">
        <v>2938</v>
      </c>
      <c r="I570" t="s">
        <v>2927</v>
      </c>
      <c r="J570">
        <f>VLOOKUP(F570,[1]!china_towns_second__2[[Column1]:[Y]],3,FALSE)</f>
        <v>35.646908030727303</v>
      </c>
      <c r="K570">
        <f>VLOOKUP(F570,[1]!china_towns_second__2[[Column1]:[Y]],2,FALSE)</f>
        <v>111.46943570000001</v>
      </c>
      <c r="L570" t="s">
        <v>4146</v>
      </c>
      <c r="M570" t="str">
        <f>VLOOKUP(H570,CHOOSE({1,2},Table12[Native],Table12[Name]),2,0)</f>
        <v>Qŭwò Xiàn</v>
      </c>
      <c r="N570" s="13" t="str">
        <f>VLOOKUP(I570,CHOOSE({1,2},Table12[Native],Table12[Name]),2,0)</f>
        <v>Línfén Shì</v>
      </c>
      <c r="O570" s="13" t="str">
        <f t="shared" si="16"/>
        <v>Lechang Zhen (Línfén Shì)</v>
      </c>
      <c r="P570" s="13" t="str">
        <f t="shared" si="17"/>
        <v>Lechang Zhen (Línfén Shì)</v>
      </c>
    </row>
    <row r="571" spans="1:16" hidden="1" x14ac:dyDescent="0.25">
      <c r="A571" t="s">
        <v>1532</v>
      </c>
      <c r="B571" t="str">
        <f>IF(COUNTIF(A:A,A571)&gt;1,_xlfn.CONCAT(A571," (",N571,")"),A571)</f>
        <v>Léijiāqì Xiāng</v>
      </c>
      <c r="C571" t="str">
        <f>IF(COUNTIF(B:B,B571)&gt;1,_xlfn.CONCAT(A571," (",M571,")"),B571)</f>
        <v>Léijiāqì Xiāng</v>
      </c>
      <c r="D571" t="s">
        <v>1533</v>
      </c>
      <c r="E571" t="s">
        <v>17</v>
      </c>
      <c r="F571" t="str">
        <f>_xlfn.CONCAT(D571,", ",H571,", ",I571,", ","山西省")</f>
        <v>雷家碛乡, 临县, 吕梁市, 山西省</v>
      </c>
      <c r="G571">
        <v>15444</v>
      </c>
      <c r="H571" t="s">
        <v>2952</v>
      </c>
      <c r="I571" t="s">
        <v>2946</v>
      </c>
      <c r="J571" t="e">
        <f>VLOOKUP(F571,[1]!china_towns_second__2[[Column1]:[Y]],3,FALSE)</f>
        <v>#N/A</v>
      </c>
      <c r="K571" t="e">
        <f>VLOOKUP(F571,[1]!china_towns_second__2[[Column1]:[Y]],2,FALSE)</f>
        <v>#N/A</v>
      </c>
      <c r="L571" t="s">
        <v>4147</v>
      </c>
      <c r="M571" t="str">
        <f>VLOOKUP(H571,CHOOSE({1,2},Table12[Native],Table12[Name]),2,0)</f>
        <v>Lín Xiàn</v>
      </c>
      <c r="N571" s="13" t="str">
        <f>VLOOKUP(I571,CHOOSE({1,2},Table12[Native],Table12[Name]),2,0)</f>
        <v>Lǚliáng Shì</v>
      </c>
      <c r="O571" s="13" t="str">
        <f t="shared" si="16"/>
        <v>Leijiaqi Xiang (Lǚliáng Shì)</v>
      </c>
      <c r="P571" s="13" t="str">
        <f t="shared" si="17"/>
        <v>Leijiaqi Xiang (Lǚliáng Shì)</v>
      </c>
    </row>
    <row r="572" spans="1:16" hidden="1" x14ac:dyDescent="0.25">
      <c r="A572" t="s">
        <v>2703</v>
      </c>
      <c r="B572" t="str">
        <f>IF(COUNTIF(A:A,A572)&gt;1,_xlfn.CONCAT(A572," (",N572,")"),A572)</f>
        <v>Lĕngkŏu Xiāng</v>
      </c>
      <c r="C572" t="str">
        <f>IF(COUNTIF(B:B,B572)&gt;1,_xlfn.CONCAT(A572," (",M572,")"),B572)</f>
        <v>Lĕngkŏu Xiāng</v>
      </c>
      <c r="D572" t="s">
        <v>2704</v>
      </c>
      <c r="E572" t="s">
        <v>17</v>
      </c>
      <c r="F572" t="str">
        <f>_xlfn.CONCAT(D572,", ",H572,", ",I572,", ","山西省")</f>
        <v>冷口乡, 绛县, 运城市, 山西省</v>
      </c>
      <c r="G572">
        <v>8916</v>
      </c>
      <c r="H572" t="s">
        <v>3005</v>
      </c>
      <c r="I572" t="s">
        <v>3003</v>
      </c>
      <c r="J572" t="e">
        <f>VLOOKUP(F572,[1]!china_towns_second__2[[Column1]:[Y]],3,FALSE)</f>
        <v>#N/A</v>
      </c>
      <c r="K572" t="e">
        <f>VLOOKUP(F572,[1]!china_towns_second__2[[Column1]:[Y]],2,FALSE)</f>
        <v>#N/A</v>
      </c>
      <c r="L572" t="s">
        <v>4148</v>
      </c>
      <c r="M572" t="str">
        <f>VLOOKUP(H572,CHOOSE({1,2},Table12[Native],Table12[Name]),2,0)</f>
        <v>Jiàng Xiàn</v>
      </c>
      <c r="N572" s="13" t="str">
        <f>VLOOKUP(I572,CHOOSE({1,2},Table12[Native],Table12[Name]),2,0)</f>
        <v>Yùnchéng Shì</v>
      </c>
      <c r="O572" s="13" t="str">
        <f t="shared" si="16"/>
        <v>Lengkou Xiang (Yùnchéng Shì)</v>
      </c>
      <c r="P572" s="13" t="str">
        <f t="shared" si="17"/>
        <v>Lengkou Xiang (Yùnchéng Shì)</v>
      </c>
    </row>
    <row r="573" spans="1:16" hidden="1" x14ac:dyDescent="0.25">
      <c r="A573" t="s">
        <v>900</v>
      </c>
      <c r="B573" t="str">
        <f>IF(COUNTIF(A:A,A573)&gt;1,_xlfn.CONCAT(A573," (",N573,")"),A573)</f>
        <v>Lèpíng Zhèn</v>
      </c>
      <c r="C573" t="str">
        <f>IF(COUNTIF(B:B,B573)&gt;1,_xlfn.CONCAT(A573," (",M573,")"),B573)</f>
        <v>Lèpíng Zhèn</v>
      </c>
      <c r="D573" t="s">
        <v>901</v>
      </c>
      <c r="E573" t="s">
        <v>7</v>
      </c>
      <c r="F573" t="str">
        <f>_xlfn.CONCAT(D573,", ",H573,", ",I573,", ","山西省")</f>
        <v>乐平镇, 昔阳县, 晋中市, 山西省</v>
      </c>
      <c r="G573">
        <v>88559</v>
      </c>
      <c r="H573" t="s">
        <v>2922</v>
      </c>
      <c r="I573" t="s">
        <v>2914</v>
      </c>
      <c r="J573">
        <f>VLOOKUP(F573,[1]!china_towns_second__2[[Column1]:[Y]],3,FALSE)</f>
        <v>37.615953426187403</v>
      </c>
      <c r="K573">
        <f>VLOOKUP(F573,[1]!china_towns_second__2[[Column1]:[Y]],2,FALSE)</f>
        <v>113.6181344</v>
      </c>
      <c r="L573" t="s">
        <v>4149</v>
      </c>
      <c r="M573" t="str">
        <f>VLOOKUP(H573,CHOOSE({1,2},Table12[Native],Table12[Name]),2,0)</f>
        <v>Xīyáng Xiàn</v>
      </c>
      <c r="N573" s="13" t="str">
        <f>VLOOKUP(I573,CHOOSE({1,2},Table12[Native],Table12[Name]),2,0)</f>
        <v>Jìnzhōng Shì</v>
      </c>
      <c r="O573" s="13" t="str">
        <f t="shared" si="16"/>
        <v>Leping Zhen (Jìnzhōng Shì)</v>
      </c>
      <c r="P573" s="13" t="str">
        <f t="shared" si="17"/>
        <v>Leping Zhen (Jìnzhōng Shì)</v>
      </c>
    </row>
    <row r="574" spans="1:16" hidden="1" x14ac:dyDescent="0.25">
      <c r="A574" t="s">
        <v>902</v>
      </c>
      <c r="B574" t="str">
        <f>IF(COUNTIF(A:A,A574)&gt;1,_xlfn.CONCAT(A574," (",N574,")"),A574)</f>
        <v>Liánfú Zhèn</v>
      </c>
      <c r="C574" t="str">
        <f>IF(COUNTIF(B:B,B574)&gt;1,_xlfn.CONCAT(A574," (",M574,")"),B574)</f>
        <v>Liánfú Zhèn</v>
      </c>
      <c r="D574" t="s">
        <v>903</v>
      </c>
      <c r="E574" t="s">
        <v>7</v>
      </c>
      <c r="F574" t="str">
        <f>_xlfn.CONCAT(D574,", ",H574,", ",I574,", ","山西省")</f>
        <v>连福镇, 介休市, 晋中市, 山西省</v>
      </c>
      <c r="G574">
        <v>28021</v>
      </c>
      <c r="H574" t="s">
        <v>2916</v>
      </c>
      <c r="I574" t="s">
        <v>2914</v>
      </c>
      <c r="J574">
        <f>VLOOKUP(F574,[1]!china_towns_second__2[[Column1]:[Y]],3,FALSE)</f>
        <v>37.039973389433897</v>
      </c>
      <c r="K574">
        <f>VLOOKUP(F574,[1]!china_towns_second__2[[Column1]:[Y]],2,FALSE)</f>
        <v>112.0701325</v>
      </c>
      <c r="L574" t="s">
        <v>4150</v>
      </c>
      <c r="M574" t="str">
        <f>VLOOKUP(H574,CHOOSE({1,2},Table12[Native],Table12[Name]),2,0)</f>
        <v>Jièxiū Shì</v>
      </c>
      <c r="N574" s="13" t="str">
        <f>VLOOKUP(I574,CHOOSE({1,2},Table12[Native],Table12[Name]),2,0)</f>
        <v>Jìnzhōng Shì</v>
      </c>
      <c r="O574" s="13" t="str">
        <f t="shared" si="16"/>
        <v>Lianfu Zhen (Jìnzhōng Shì)</v>
      </c>
      <c r="P574" s="13" t="str">
        <f t="shared" si="17"/>
        <v>Lianfu Zhen (Jìnzhōng Shì)</v>
      </c>
    </row>
    <row r="575" spans="1:16" hidden="1" x14ac:dyDescent="0.25">
      <c r="A575" t="s">
        <v>904</v>
      </c>
      <c r="B575" t="str">
        <f>IF(COUNTIF(A:A,A575)&gt;1,_xlfn.CONCAT(A575," (",N575,")"),A575)</f>
        <v>Liăngdù Zhèn</v>
      </c>
      <c r="C575" t="str">
        <f>IF(COUNTIF(B:B,B575)&gt;1,_xlfn.CONCAT(A575," (",M575,")"),B575)</f>
        <v>Liăngdù Zhèn</v>
      </c>
      <c r="D575" t="s">
        <v>905</v>
      </c>
      <c r="E575" t="s">
        <v>7</v>
      </c>
      <c r="F575" t="str">
        <f>_xlfn.CONCAT(D575,", ",H575,", ",I575,", ","山西省")</f>
        <v>两渡镇, 灵石县, 晋中市, 山西省</v>
      </c>
      <c r="G575">
        <v>27669</v>
      </c>
      <c r="H575" t="s">
        <v>2917</v>
      </c>
      <c r="I575" t="s">
        <v>2914</v>
      </c>
      <c r="J575">
        <f>VLOOKUP(F575,[1]!china_towns_second__2[[Column1]:[Y]],3,FALSE)</f>
        <v>36.940944467094198</v>
      </c>
      <c r="K575">
        <f>VLOOKUP(F575,[1]!china_towns_second__2[[Column1]:[Y]],2,FALSE)</f>
        <v>111.764124</v>
      </c>
      <c r="L575" t="s">
        <v>4151</v>
      </c>
      <c r="M575" t="str">
        <f>VLOOKUP(H575,CHOOSE({1,2},Table12[Native],Table12[Name]),2,0)</f>
        <v>Língshí Xiàn</v>
      </c>
      <c r="N575" s="13" t="str">
        <f>VLOOKUP(I575,CHOOSE({1,2},Table12[Native],Table12[Name]),2,0)</f>
        <v>Jìnzhōng Shì</v>
      </c>
      <c r="O575" s="13" t="str">
        <f t="shared" si="16"/>
        <v>Liangdu Zhen (Jìnzhōng Shì)</v>
      </c>
      <c r="P575" s="13" t="str">
        <f t="shared" si="17"/>
        <v>Liangdu Zhen (Jìnzhōng Shì)</v>
      </c>
    </row>
    <row r="576" spans="1:16" hidden="1" x14ac:dyDescent="0.25">
      <c r="A576" t="s">
        <v>2266</v>
      </c>
      <c r="B576" t="str">
        <f>IF(COUNTIF(A:A,A576)&gt;1,_xlfn.CONCAT(A576," (",N576,")"),A576)</f>
        <v>Liángjiāpíng Xiāng</v>
      </c>
      <c r="C576" t="str">
        <f>IF(COUNTIF(B:B,B576)&gt;1,_xlfn.CONCAT(A576," (",M576,")"),B576)</f>
        <v>Liángjiāpíng Xiāng</v>
      </c>
      <c r="D576" t="s">
        <v>2267</v>
      </c>
      <c r="E576" t="s">
        <v>17</v>
      </c>
      <c r="F576" t="str">
        <f>_xlfn.CONCAT(D576,", ",H576,", ",I576,", ","山西省")</f>
        <v>梁家坪乡, 五寨县, 忻州市, 山西省</v>
      </c>
      <c r="G576">
        <v>2514</v>
      </c>
      <c r="H576" t="s">
        <v>2993</v>
      </c>
      <c r="I576" t="s">
        <v>2981</v>
      </c>
      <c r="J576" t="e">
        <f>VLOOKUP(F576,[1]!china_towns_second__2[[Column1]:[Y]],3,FALSE)</f>
        <v>#N/A</v>
      </c>
      <c r="K576" t="e">
        <f>VLOOKUP(F576,[1]!china_towns_second__2[[Column1]:[Y]],2,FALSE)</f>
        <v>#N/A</v>
      </c>
      <c r="L576" t="s">
        <v>4152</v>
      </c>
      <c r="M576" t="str">
        <f>VLOOKUP(H576,CHOOSE({1,2},Table12[Native],Table12[Name]),2,0)</f>
        <v>Wŭzhài Xiàn</v>
      </c>
      <c r="N576" s="13" t="str">
        <f>VLOOKUP(I576,CHOOSE({1,2},Table12[Native],Table12[Name]),2,0)</f>
        <v>Xīnzhōu Shì</v>
      </c>
      <c r="O576" s="13" t="str">
        <f t="shared" si="16"/>
        <v>Liangjiaping Xiang (Xīnzhōu Shì)</v>
      </c>
      <c r="P576" s="13" t="str">
        <f t="shared" si="17"/>
        <v>Liangjiaping Xiang (Xīnzhōu Shì)</v>
      </c>
    </row>
    <row r="577" spans="1:16" hidden="1" x14ac:dyDescent="0.25">
      <c r="A577" t="s">
        <v>906</v>
      </c>
      <c r="B577" t="str">
        <f>IF(COUNTIF(A:A,A577)&gt;1,_xlfn.CONCAT(A577," (",N577,")"),A577)</f>
        <v>Liángjiāyān Xiāng</v>
      </c>
      <c r="C577" t="str">
        <f>IF(COUNTIF(B:B,B577)&gt;1,_xlfn.CONCAT(A577," (",M577,")"),B577)</f>
        <v>Liángjiāyān Xiāng</v>
      </c>
      <c r="D577" t="s">
        <v>907</v>
      </c>
      <c r="E577" t="s">
        <v>17</v>
      </c>
      <c r="F577" t="str">
        <f>_xlfn.CONCAT(D577,", ",H577,", ",I577,", ","山西省")</f>
        <v>梁家焉乡, 灵石县, 晋中市, 山西省</v>
      </c>
      <c r="G577">
        <v>7457</v>
      </c>
      <c r="H577" t="s">
        <v>2917</v>
      </c>
      <c r="I577" t="s">
        <v>2914</v>
      </c>
      <c r="J577" t="e">
        <f>VLOOKUP(F577,[1]!china_towns_second__2[[Column1]:[Y]],3,FALSE)</f>
        <v>#N/A</v>
      </c>
      <c r="K577" t="e">
        <f>VLOOKUP(F577,[1]!china_towns_second__2[[Column1]:[Y]],2,FALSE)</f>
        <v>#N/A</v>
      </c>
      <c r="L577" t="s">
        <v>4153</v>
      </c>
      <c r="M577" t="str">
        <f>VLOOKUP(H577,CHOOSE({1,2},Table12[Native],Table12[Name]),2,0)</f>
        <v>Língshí Xiàn</v>
      </c>
      <c r="N577" s="13" t="str">
        <f>VLOOKUP(I577,CHOOSE({1,2},Table12[Native],Table12[Name]),2,0)</f>
        <v>Jìnzhōng Shì</v>
      </c>
      <c r="O577" s="13" t="str">
        <f t="shared" si="16"/>
        <v>Liangjiayan Xiang (Jìnzhōng Shì)</v>
      </c>
      <c r="P577" s="13" t="str">
        <f t="shared" si="17"/>
        <v>Liangjiayan Xiang (Jìnzhōng Shì)</v>
      </c>
    </row>
    <row r="578" spans="1:16" hidden="1" x14ac:dyDescent="0.25">
      <c r="A578" t="s">
        <v>2520</v>
      </c>
      <c r="B578" t="str">
        <f>IF(COUNTIF(A:A,A578)&gt;1,_xlfn.CONCAT(A578," (",N578,")"),A578)</f>
        <v>Liángjiāzhài Xiāng</v>
      </c>
      <c r="C578" t="str">
        <f>IF(COUNTIF(B:B,B578)&gt;1,_xlfn.CONCAT(A578," (",M578,")"),B578)</f>
        <v>Liángjiāzhài Xiāng</v>
      </c>
      <c r="D578" t="s">
        <v>2521</v>
      </c>
      <c r="E578" t="s">
        <v>17</v>
      </c>
      <c r="F578" t="str">
        <f>_xlfn.CONCAT(D578,", ",H578,", ",I578,", ","山西省")</f>
        <v>梁家寨乡, 盂县, 阳泉市, 山西省</v>
      </c>
      <c r="G578">
        <v>9345</v>
      </c>
      <c r="H578" t="s">
        <v>3001</v>
      </c>
      <c r="I578" t="s">
        <v>2997</v>
      </c>
      <c r="J578" t="e">
        <f>VLOOKUP(F578,[1]!china_towns_second__2[[Column1]:[Y]],3,FALSE)</f>
        <v>#N/A</v>
      </c>
      <c r="K578" t="e">
        <f>VLOOKUP(F578,[1]!china_towns_second__2[[Column1]:[Y]],2,FALSE)</f>
        <v>#N/A</v>
      </c>
      <c r="L578" t="s">
        <v>4154</v>
      </c>
      <c r="M578" t="str">
        <f>VLOOKUP(H578,CHOOSE({1,2},Table12[Native],Table12[Name]),2,0)</f>
        <v>Yú Xiàn</v>
      </c>
      <c r="N578" s="13" t="str">
        <f>VLOOKUP(I578,CHOOSE({1,2},Table12[Native],Table12[Name]),2,0)</f>
        <v>Yángquán Shì</v>
      </c>
      <c r="O578" s="13" t="str">
        <f t="shared" ref="O578:O641" si="18">_xlfn.CONCAT(L578," (",N578,")")</f>
        <v>Liangjiazhai Xiang (Yángquán Shì)</v>
      </c>
      <c r="P578" s="13" t="str">
        <f t="shared" ref="P578:P641" si="19">IF(COUNTIF(O:O,O578)&gt;1,_xlfn.CONCAT(L578," (",M578,")"),O578)</f>
        <v>Liangjiazhai Xiang (Yángquán Shì)</v>
      </c>
    </row>
    <row r="579" spans="1:16" hidden="1" x14ac:dyDescent="0.25">
      <c r="A579" t="s">
        <v>1534</v>
      </c>
      <c r="B579" t="str">
        <f>IF(COUNTIF(A:A,A579)&gt;1,_xlfn.CONCAT(A579," (",N579,")"),A579)</f>
        <v>Liángjiāzhuāng Xiāng</v>
      </c>
      <c r="C579" t="str">
        <f>IF(COUNTIF(B:B,B579)&gt;1,_xlfn.CONCAT(A579," (",M579,")"),B579)</f>
        <v>Liángjiāzhuāng Xiāng</v>
      </c>
      <c r="D579" t="s">
        <v>1535</v>
      </c>
      <c r="E579" t="s">
        <v>17</v>
      </c>
      <c r="F579" t="str">
        <f>_xlfn.CONCAT(D579,", ",H579,", ",I579,", ","山西省")</f>
        <v>梁家庄乡, 岚县, 吕梁市, 山西省</v>
      </c>
      <c r="G579">
        <v>12757</v>
      </c>
      <c r="H579" t="s">
        <v>2951</v>
      </c>
      <c r="I579" t="s">
        <v>2946</v>
      </c>
      <c r="J579" t="e">
        <f>VLOOKUP(F579,[1]!china_towns_second__2[[Column1]:[Y]],3,FALSE)</f>
        <v>#N/A</v>
      </c>
      <c r="K579" t="e">
        <f>VLOOKUP(F579,[1]!china_towns_second__2[[Column1]:[Y]],2,FALSE)</f>
        <v>#N/A</v>
      </c>
      <c r="L579" t="s">
        <v>4155</v>
      </c>
      <c r="M579" t="str">
        <f>VLOOKUP(H579,CHOOSE({1,2},Table12[Native],Table12[Name]),2,0)</f>
        <v>Lán Xiàn</v>
      </c>
      <c r="N579" s="13" t="str">
        <f>VLOOKUP(I579,CHOOSE({1,2},Table12[Native],Table12[Name]),2,0)</f>
        <v>Lǚliáng Shì</v>
      </c>
      <c r="O579" s="13" t="str">
        <f t="shared" si="18"/>
        <v>Liangjiazhuang Xiang (Lǚliáng Shì)</v>
      </c>
      <c r="P579" s="13" t="str">
        <f t="shared" si="19"/>
        <v>Liangjiazhuang Xiang (Lǚliáng Shì)</v>
      </c>
    </row>
    <row r="580" spans="1:16" hidden="1" x14ac:dyDescent="0.25">
      <c r="A580" t="s">
        <v>1206</v>
      </c>
      <c r="B580" t="str">
        <f>IF(COUNTIF(A:A,A580)&gt;1,_xlfn.CONCAT(A580," (",N580,")"),A580)</f>
        <v>Liángmă Xiāng</v>
      </c>
      <c r="C580" t="str">
        <f>IF(COUNTIF(B:B,B580)&gt;1,_xlfn.CONCAT(A580," (",M580,")"),B580)</f>
        <v>Liángmă Xiāng</v>
      </c>
      <c r="D580" t="s">
        <v>1207</v>
      </c>
      <c r="E580" t="s">
        <v>17</v>
      </c>
      <c r="F580" t="str">
        <f>_xlfn.CONCAT(D580,", ",H580,", ",I580,", ","山西省")</f>
        <v>良马乡, 安泽县, 临汾市, 山西省</v>
      </c>
      <c r="G580">
        <v>5808</v>
      </c>
      <c r="H580" t="s">
        <v>2928</v>
      </c>
      <c r="I580" t="s">
        <v>2927</v>
      </c>
      <c r="J580" t="e">
        <f>VLOOKUP(F580,[1]!china_towns_second__2[[Column1]:[Y]],3,FALSE)</f>
        <v>#N/A</v>
      </c>
      <c r="K580" t="e">
        <f>VLOOKUP(F580,[1]!china_towns_second__2[[Column1]:[Y]],2,FALSE)</f>
        <v>#N/A</v>
      </c>
      <c r="L580" t="s">
        <v>4156</v>
      </c>
      <c r="M580" t="str">
        <f>VLOOKUP(H580,CHOOSE({1,2},Table12[Native],Table12[Name]),2,0)</f>
        <v>Ānzé Xiàn</v>
      </c>
      <c r="N580" s="13" t="str">
        <f>VLOOKUP(I580,CHOOSE({1,2},Table12[Native],Table12[Name]),2,0)</f>
        <v>Línfén Shì</v>
      </c>
      <c r="O580" s="13" t="str">
        <f t="shared" si="18"/>
        <v>Liangma Xiang (Línfén Shì)</v>
      </c>
      <c r="P580" s="13" t="str">
        <f t="shared" si="19"/>
        <v>Liangma Xiang (Línfén Shì)</v>
      </c>
    </row>
    <row r="581" spans="1:16" hidden="1" x14ac:dyDescent="0.25">
      <c r="A581" t="s">
        <v>433</v>
      </c>
      <c r="B581" t="str">
        <f>IF(COUNTIF(A:A,A581)&gt;1,_xlfn.CONCAT(A581," (",N581,")"),A581)</f>
        <v>Liángzhuāng Xiāng</v>
      </c>
      <c r="C581" t="str">
        <f>IF(COUNTIF(B:B,B581)&gt;1,_xlfn.CONCAT(A581," (",M581,")"),B581)</f>
        <v>Liángzhuāng Xiāng</v>
      </c>
      <c r="D581" t="s">
        <v>434</v>
      </c>
      <c r="E581" t="s">
        <v>17</v>
      </c>
      <c r="F581" t="str">
        <f>_xlfn.CONCAT(D581,", ",H581,", ",I581,", ","山西省")</f>
        <v>梁庄乡, 广灵县, 大同市, 山西省</v>
      </c>
      <c r="G581">
        <v>10767</v>
      </c>
      <c r="H581" t="s">
        <v>2895</v>
      </c>
      <c r="I581" t="s">
        <v>2894</v>
      </c>
      <c r="J581" t="e">
        <f>VLOOKUP(F581,[1]!china_towns_second__2[[Column1]:[Y]],3,FALSE)</f>
        <v>#N/A</v>
      </c>
      <c r="K581" t="e">
        <f>VLOOKUP(F581,[1]!china_towns_second__2[[Column1]:[Y]],2,FALSE)</f>
        <v>#N/A</v>
      </c>
      <c r="L581" t="s">
        <v>4157</v>
      </c>
      <c r="M581" t="str">
        <f>VLOOKUP(H581,CHOOSE({1,2},Table12[Native],Table12[Name]),2,0)</f>
        <v>Guănglíng Xiàn</v>
      </c>
      <c r="N581" s="13" t="str">
        <f>VLOOKUP(I581,CHOOSE({1,2},Table12[Native],Table12[Name]),2,0)</f>
        <v>Dàtóng Shì</v>
      </c>
      <c r="O581" s="13" t="str">
        <f t="shared" si="18"/>
        <v>Liangzhuang Xiang (Dàtóng Shì)</v>
      </c>
      <c r="P581" s="13" t="str">
        <f t="shared" si="19"/>
        <v>Liangzhuang Xiang (Dàtóng Shì)</v>
      </c>
    </row>
    <row r="582" spans="1:16" hidden="1" x14ac:dyDescent="0.25">
      <c r="A582" t="s">
        <v>1536</v>
      </c>
      <c r="B582" t="str">
        <f>IF(COUNTIF(A:A,A582)&gt;1,_xlfn.CONCAT(A582," (",N582,")"),A582)</f>
        <v>Liánhuāchí Jiēdào</v>
      </c>
      <c r="C582" t="str">
        <f>IF(COUNTIF(B:B,B582)&gt;1,_xlfn.CONCAT(A582," (",M582,")"),B582)</f>
        <v>Liánhuāchí Jiēdào</v>
      </c>
      <c r="D582" t="s">
        <v>1537</v>
      </c>
      <c r="E582" t="s">
        <v>31</v>
      </c>
      <c r="F582" t="str">
        <f>_xlfn.CONCAT(D582,", ",H582,", ",I582,", ","山西省")</f>
        <v>莲花池街道, 离石区, 吕梁市, 山西省</v>
      </c>
      <c r="G582">
        <v>56131</v>
      </c>
      <c r="H582" t="s">
        <v>2953</v>
      </c>
      <c r="I582" t="s">
        <v>2946</v>
      </c>
      <c r="J582">
        <f>VLOOKUP(F582,[1]!china_towns_second__2[[Column1]:[Y]],3,FALSE)</f>
        <v>37.491424207972301</v>
      </c>
      <c r="K582">
        <f>VLOOKUP(F582,[1]!china_towns_second__2[[Column1]:[Y]],2,FALSE)</f>
        <v>111.137995</v>
      </c>
      <c r="L582" t="s">
        <v>4158</v>
      </c>
      <c r="M582" t="str">
        <f>VLOOKUP(H582,CHOOSE({1,2},Table12[Native],Table12[Name]),2,0)</f>
        <v>Líshí Qū</v>
      </c>
      <c r="N582" s="13" t="str">
        <f>VLOOKUP(I582,CHOOSE({1,2},Table12[Native],Table12[Name]),2,0)</f>
        <v>Lǚliáng Shì</v>
      </c>
      <c r="O582" s="13" t="str">
        <f t="shared" si="18"/>
        <v>Lianhuachi Jiedao (Lǚliáng Shì)</v>
      </c>
      <c r="P582" s="13" t="str">
        <f t="shared" si="19"/>
        <v>Lianhuachi Jiedao (Lǚliáng Shì)</v>
      </c>
    </row>
    <row r="583" spans="1:16" hidden="1" x14ac:dyDescent="0.25">
      <c r="A583" t="s">
        <v>908</v>
      </c>
      <c r="B583" t="str">
        <f>IF(COUNTIF(A:A,A583)&gt;1,_xlfn.CONCAT(A583," (",N583,")"),A583)</f>
        <v>Liáoyáng Zhèn</v>
      </c>
      <c r="C583" t="str">
        <f>IF(COUNTIF(B:B,B583)&gt;1,_xlfn.CONCAT(A583," (",M583,")"),B583)</f>
        <v>Liáoyáng Zhèn</v>
      </c>
      <c r="D583" t="s">
        <v>909</v>
      </c>
      <c r="E583" t="s">
        <v>7</v>
      </c>
      <c r="F583" t="str">
        <f>_xlfn.CONCAT(D583,", ",H583,", ",I583,", ","山西省")</f>
        <v>辽阳镇, 左权县, 晋中市, 山西省</v>
      </c>
      <c r="G583">
        <v>18638</v>
      </c>
      <c r="H583" t="s">
        <v>2925</v>
      </c>
      <c r="I583" t="s">
        <v>2914</v>
      </c>
      <c r="J583">
        <f>VLOOKUP(F583,[1]!china_towns_second__2[[Column1]:[Y]],3,FALSE)</f>
        <v>37.0787323732999</v>
      </c>
      <c r="K583">
        <f>VLOOKUP(F583,[1]!china_towns_second__2[[Column1]:[Y]],2,FALSE)</f>
        <v>113.4085379</v>
      </c>
      <c r="L583" t="s">
        <v>4159</v>
      </c>
      <c r="M583" t="str">
        <f>VLOOKUP(H583,CHOOSE({1,2},Table12[Native],Table12[Name]),2,0)</f>
        <v>Zuǒquán Xiàn</v>
      </c>
      <c r="N583" s="13" t="str">
        <f>VLOOKUP(I583,CHOOSE({1,2},Table12[Native],Table12[Name]),2,0)</f>
        <v>Jìnzhōng Shì</v>
      </c>
      <c r="O583" s="13" t="str">
        <f t="shared" si="18"/>
        <v>Liaoyang Zhen (Jìnzhōng Shì)</v>
      </c>
      <c r="P583" s="13" t="str">
        <f t="shared" si="19"/>
        <v>Liaoyang Zhen (Jìnzhōng Shì)</v>
      </c>
    </row>
    <row r="584" spans="1:16" hidden="1" x14ac:dyDescent="0.25">
      <c r="A584" t="s">
        <v>1208</v>
      </c>
      <c r="B584" t="str">
        <f>IF(COUNTIF(A:A,A584)&gt;1,_xlfn.CONCAT(A584," (",N584,")"),A584)</f>
        <v>Lĭcáo Zhèn</v>
      </c>
      <c r="C584" t="str">
        <f>IF(COUNTIF(B:B,B584)&gt;1,_xlfn.CONCAT(A584," (",M584,")"),B584)</f>
        <v>Lĭcáo Zhèn</v>
      </c>
      <c r="D584" t="s">
        <v>1209</v>
      </c>
      <c r="E584" t="s">
        <v>7</v>
      </c>
      <c r="F584" t="str">
        <f>_xlfn.CONCAT(D584,", ",H584,", ",I584,", ","山西省")</f>
        <v>李曹镇, 霍州市, 临汾市, 山西省</v>
      </c>
      <c r="G584">
        <v>25256</v>
      </c>
      <c r="H584" t="s">
        <v>2935</v>
      </c>
      <c r="I584" t="s">
        <v>2927</v>
      </c>
      <c r="J584">
        <f>VLOOKUP(F584,[1]!china_towns_second__2[[Column1]:[Y]],3,FALSE)</f>
        <v>36.586918933243403</v>
      </c>
      <c r="K584">
        <f>VLOOKUP(F584,[1]!china_towns_second__2[[Column1]:[Y]],2,FALSE)</f>
        <v>111.9214686</v>
      </c>
      <c r="L584" t="s">
        <v>4160</v>
      </c>
      <c r="M584" t="str">
        <f>VLOOKUP(H584,CHOOSE({1,2},Table12[Native],Table12[Name]),2,0)</f>
        <v>Huòzhōu Shì</v>
      </c>
      <c r="N584" s="13" t="str">
        <f>VLOOKUP(I584,CHOOSE({1,2},Table12[Native],Table12[Name]),2,0)</f>
        <v>Línfén Shì</v>
      </c>
      <c r="O584" s="13" t="str">
        <f t="shared" si="18"/>
        <v>Licao Zhen (Línfén Shì)</v>
      </c>
      <c r="P584" s="13" t="str">
        <f t="shared" si="19"/>
        <v>Licao Zhen (Línfén Shì)</v>
      </c>
    </row>
    <row r="585" spans="1:16" hidden="1" x14ac:dyDescent="0.25">
      <c r="A585" t="s">
        <v>697</v>
      </c>
      <c r="B585" t="str">
        <f>IF(COUNTIF(A:A,A585)&gt;1,_xlfn.CONCAT(A585," (",N585,")"),A585)</f>
        <v>Líchuān Zhèn</v>
      </c>
      <c r="C585" t="str">
        <f>IF(COUNTIF(B:B,B585)&gt;1,_xlfn.CONCAT(A585," (",M585,")"),B585)</f>
        <v>Líchuān Zhèn</v>
      </c>
      <c r="D585" t="s">
        <v>698</v>
      </c>
      <c r="E585" t="s">
        <v>7</v>
      </c>
      <c r="F585" t="str">
        <f>_xlfn.CONCAT(D585,", ",H585,", ",I585,", ","山西省")</f>
        <v>犁川镇, 泽州县, 晋城市, 山西省</v>
      </c>
      <c r="G585">
        <v>14404</v>
      </c>
      <c r="H585" t="s">
        <v>2912</v>
      </c>
      <c r="I585" t="s">
        <v>2906</v>
      </c>
      <c r="J585">
        <f>VLOOKUP(F585,[1]!china_towns_second__2[[Column1]:[Y]],3,FALSE)</f>
        <v>35.365860725867499</v>
      </c>
      <c r="K585">
        <f>VLOOKUP(F585,[1]!china_towns_second__2[[Column1]:[Y]],2,FALSE)</f>
        <v>112.75871530000001</v>
      </c>
      <c r="L585" t="s">
        <v>4161</v>
      </c>
      <c r="M585" t="str">
        <f>VLOOKUP(H585,CHOOSE({1,2},Table12[Native],Table12[Name]),2,0)</f>
        <v>Zézhōu Xiàn</v>
      </c>
      <c r="N585" s="13" t="str">
        <f>VLOOKUP(I585,CHOOSE({1,2},Table12[Native],Table12[Name]),2,0)</f>
        <v>Jìnchéng Shì</v>
      </c>
      <c r="O585" s="13" t="str">
        <f t="shared" si="18"/>
        <v>Lichuan Zhen (Jìnchéng Shì)</v>
      </c>
      <c r="P585" s="13" t="str">
        <f t="shared" si="19"/>
        <v>Lichuan Zhen (Jìnchéng Shì)</v>
      </c>
    </row>
    <row r="586" spans="1:16" hidden="1" x14ac:dyDescent="0.25">
      <c r="A586" t="s">
        <v>1210</v>
      </c>
      <c r="B586" t="str">
        <f>IF(COUNTIF(A:A,A586)&gt;1,_xlfn.CONCAT(A586," (",N586,")"),A586)</f>
        <v>Lĭcūn Zhèn</v>
      </c>
      <c r="C586" t="str">
        <f>IF(COUNTIF(B:B,B586)&gt;1,_xlfn.CONCAT(A586," (",M586,")"),B586)</f>
        <v>Lĭcūn Zhèn</v>
      </c>
      <c r="D586" t="s">
        <v>1211</v>
      </c>
      <c r="E586" t="s">
        <v>7</v>
      </c>
      <c r="F586" t="str">
        <f>_xlfn.CONCAT(D586,", ",H586,", ",I586,", ","山西省")</f>
        <v>里村镇, 曲沃县, 临汾市, 山西省</v>
      </c>
      <c r="G586">
        <v>17986</v>
      </c>
      <c r="H586" t="s">
        <v>2938</v>
      </c>
      <c r="I586" t="s">
        <v>2927</v>
      </c>
      <c r="J586">
        <f>VLOOKUP(F586,[1]!china_towns_second__2[[Column1]:[Y]],3,FALSE)</f>
        <v>35.767702900159001</v>
      </c>
      <c r="K586">
        <f>VLOOKUP(F586,[1]!china_towns_second__2[[Column1]:[Y]],2,FALSE)</f>
        <v>111.45765470000001</v>
      </c>
      <c r="L586" t="s">
        <v>4162</v>
      </c>
      <c r="M586" t="str">
        <f>VLOOKUP(H586,CHOOSE({1,2},Table12[Native],Table12[Name]),2,0)</f>
        <v>Qŭwò Xiàn</v>
      </c>
      <c r="N586" s="13" t="str">
        <f>VLOOKUP(I586,CHOOSE({1,2},Table12[Native],Table12[Name]),2,0)</f>
        <v>Línfén Shì</v>
      </c>
      <c r="O586" s="13" t="str">
        <f t="shared" si="18"/>
        <v>Licun Zhen (Línfén Shì)</v>
      </c>
      <c r="P586" s="13" t="str">
        <f t="shared" si="19"/>
        <v>Licun Zhen (Línfén Shì)</v>
      </c>
    </row>
    <row r="587" spans="1:16" hidden="1" x14ac:dyDescent="0.25">
      <c r="A587" t="s">
        <v>1788</v>
      </c>
      <c r="B587" t="str">
        <f>IF(COUNTIF(A:A,A587)&gt;1,_xlfn.CONCAT(A587," (",N587,")"),A587)</f>
        <v>Lĭdáyáo Xiāng</v>
      </c>
      <c r="C587" t="str">
        <f>IF(COUNTIF(B:B,B587)&gt;1,_xlfn.CONCAT(A587," (",M587,")"),B587)</f>
        <v>Lĭdáyáo Xiāng</v>
      </c>
      <c r="D587" t="s">
        <v>1789</v>
      </c>
      <c r="E587" t="s">
        <v>17</v>
      </c>
      <c r="F587" t="str">
        <f>_xlfn.CONCAT(D587,", ",H587,", ",I587,", ","山西省")</f>
        <v>李达窑乡, 右玉县, 朔州市, 山西省</v>
      </c>
      <c r="G587">
        <v>6478</v>
      </c>
      <c r="H587" t="s">
        <v>2967</v>
      </c>
      <c r="I587" t="s">
        <v>2961</v>
      </c>
      <c r="J587" t="e">
        <f>VLOOKUP(F587,[1]!china_towns_second__2[[Column1]:[Y]],3,FALSE)</f>
        <v>#N/A</v>
      </c>
      <c r="K587" t="e">
        <f>VLOOKUP(F587,[1]!china_towns_second__2[[Column1]:[Y]],2,FALSE)</f>
        <v>#N/A</v>
      </c>
      <c r="L587" t="s">
        <v>4163</v>
      </c>
      <c r="M587" t="str">
        <f>VLOOKUP(H587,CHOOSE({1,2},Table12[Native],Table12[Name]),2,0)</f>
        <v>Yòuyù Xiàn</v>
      </c>
      <c r="N587" s="13" t="str">
        <f>VLOOKUP(I587,CHOOSE({1,2},Table12[Native],Table12[Name]),2,0)</f>
        <v>Shuòzhōu Shì</v>
      </c>
      <c r="O587" s="13" t="str">
        <f t="shared" si="18"/>
        <v>Lidayao Xiang (Shuòzhōu Shì)</v>
      </c>
      <c r="P587" s="13" t="str">
        <f t="shared" si="19"/>
        <v>Lidayao Xiang (Shuòzhōu Shì)</v>
      </c>
    </row>
    <row r="588" spans="1:16" hidden="1" x14ac:dyDescent="0.25">
      <c r="A588" t="s">
        <v>2268</v>
      </c>
      <c r="B588" t="str">
        <f>IF(COUNTIF(A:A,A588)&gt;1,_xlfn.CONCAT(A588," (",N588,")"),A588)</f>
        <v>Lièbăo Xiāng</v>
      </c>
      <c r="C588" t="str">
        <f>IF(COUNTIF(B:B,B588)&gt;1,_xlfn.CONCAT(A588," (",M588,")"),B588)</f>
        <v>Lièbăo Xiāng</v>
      </c>
      <c r="D588" t="s">
        <v>2269</v>
      </c>
      <c r="E588" t="s">
        <v>17</v>
      </c>
      <c r="F588" t="str">
        <f>_xlfn.CONCAT(D588,", ",H588,", ",I588,", ","山西省")</f>
        <v>烈堡乡, 神池县, 忻州市, 山西省</v>
      </c>
      <c r="G588">
        <v>5103</v>
      </c>
      <c r="H588" t="s">
        <v>2991</v>
      </c>
      <c r="I588" t="s">
        <v>2981</v>
      </c>
      <c r="J588" t="e">
        <f>VLOOKUP(F588,[1]!china_towns_second__2[[Column1]:[Y]],3,FALSE)</f>
        <v>#N/A</v>
      </c>
      <c r="K588" t="e">
        <f>VLOOKUP(F588,[1]!china_towns_second__2[[Column1]:[Y]],2,FALSE)</f>
        <v>#N/A</v>
      </c>
      <c r="L588" t="s">
        <v>4164</v>
      </c>
      <c r="M588" t="str">
        <f>VLOOKUP(H588,CHOOSE({1,2},Table12[Native],Table12[Name]),2,0)</f>
        <v>Shénchí Xiàn</v>
      </c>
      <c r="N588" s="13" t="str">
        <f>VLOOKUP(I588,CHOOSE({1,2},Table12[Native],Table12[Name]),2,0)</f>
        <v>Xīnzhōu Shì</v>
      </c>
      <c r="O588" s="13" t="str">
        <f t="shared" si="18"/>
        <v>Liebao Xiang (Xīnzhōu Shì)</v>
      </c>
      <c r="P588" s="13" t="str">
        <f t="shared" si="19"/>
        <v>Liebao Xiang (Xīnzhōu Shì)</v>
      </c>
    </row>
    <row r="589" spans="1:16" hidden="1" x14ac:dyDescent="0.25">
      <c r="A589" t="s">
        <v>161</v>
      </c>
      <c r="B589" t="str">
        <f>IF(COUNTIF(A:A,A589)&gt;1,_xlfn.CONCAT(A589," (",N589,")"),A589)</f>
        <v>Lĭgāo Xiāng</v>
      </c>
      <c r="C589" t="str">
        <f>IF(COUNTIF(B:B,B589)&gt;1,_xlfn.CONCAT(A589," (",M589,")"),B589)</f>
        <v>Lĭgāo Xiāng</v>
      </c>
      <c r="D589" t="s">
        <v>162</v>
      </c>
      <c r="E589" t="s">
        <v>17</v>
      </c>
      <c r="F589" t="str">
        <f>_xlfn.CONCAT(D589,", ",H589,", ",I589,", ","山西省")</f>
        <v>李高乡, 屯留区, 长治市, 山西省</v>
      </c>
      <c r="G589">
        <v>16001</v>
      </c>
      <c r="H589" t="s">
        <v>2890</v>
      </c>
      <c r="I589" t="s">
        <v>2878</v>
      </c>
      <c r="J589" t="e">
        <f>VLOOKUP(F589,[1]!china_towns_second__2[[Column1]:[Y]],3,FALSE)</f>
        <v>#N/A</v>
      </c>
      <c r="K589" t="e">
        <f>VLOOKUP(F589,[1]!china_towns_second__2[[Column1]:[Y]],2,FALSE)</f>
        <v>#N/A</v>
      </c>
      <c r="L589" t="s">
        <v>4165</v>
      </c>
      <c r="M589" t="str">
        <f>VLOOKUP(H589,CHOOSE({1,2},Table12[Native],Table12[Name]),2,0)</f>
        <v>Túnliú Qū</v>
      </c>
      <c r="N589" s="13" t="str">
        <f>VLOOKUP(I589,CHOOSE({1,2},Table12[Native],Table12[Name]),2,0)</f>
        <v>Chángzhì Shì</v>
      </c>
      <c r="O589" s="13" t="str">
        <f t="shared" si="18"/>
        <v>Ligao Xiang (Chángzhì Shì)</v>
      </c>
      <c r="P589" s="13" t="str">
        <f t="shared" si="19"/>
        <v>Ligao Xiang (Chángzhì Shì)</v>
      </c>
    </row>
    <row r="590" spans="1:16" hidden="1" x14ac:dyDescent="0.25">
      <c r="A590" t="s">
        <v>163</v>
      </c>
      <c r="B590" t="str">
        <f>IF(COUNTIF(A:A,A590)&gt;1,_xlfn.CONCAT(A590," (",N590,")"),A590)</f>
        <v>Líhòu Zhèn</v>
      </c>
      <c r="C590" t="str">
        <f>IF(COUNTIF(B:B,B590)&gt;1,_xlfn.CONCAT(A590," (",M590,")"),B590)</f>
        <v>Líhòu Zhèn</v>
      </c>
      <c r="D590" t="s">
        <v>164</v>
      </c>
      <c r="E590" t="s">
        <v>7</v>
      </c>
      <c r="F590" t="str">
        <f>_xlfn.CONCAT(D590,", ",H590,", ",I590,", ","山西省")</f>
        <v>黎侯镇, 黎城县, 长治市, 山西省</v>
      </c>
      <c r="G590">
        <v>56904</v>
      </c>
      <c r="H590" t="s">
        <v>2882</v>
      </c>
      <c r="I590" t="s">
        <v>2878</v>
      </c>
      <c r="J590">
        <f>VLOOKUP(F590,[1]!china_towns_second__2[[Column1]:[Y]],3,FALSE)</f>
        <v>36.4921615323032</v>
      </c>
      <c r="K590">
        <f>VLOOKUP(F590,[1]!china_towns_second__2[[Column1]:[Y]],2,FALSE)</f>
        <v>113.43781509999999</v>
      </c>
      <c r="L590" t="s">
        <v>4166</v>
      </c>
      <c r="M590" t="str">
        <f>VLOOKUP(H590,CHOOSE({1,2},Table12[Native],Table12[Name]),2,0)</f>
        <v>Líchéng Xiàn</v>
      </c>
      <c r="N590" s="13" t="str">
        <f>VLOOKUP(I590,CHOOSE({1,2},Table12[Native],Table12[Name]),2,0)</f>
        <v>Chángzhì Shì</v>
      </c>
      <c r="O590" s="13" t="str">
        <f t="shared" si="18"/>
        <v>Lihou Zhen (Chángzhì Shì)</v>
      </c>
      <c r="P590" s="13" t="str">
        <f t="shared" si="19"/>
        <v>Lihou Zhen (Chángzhì Shì)</v>
      </c>
    </row>
    <row r="591" spans="1:16" hidden="1" x14ac:dyDescent="0.25">
      <c r="A591" t="s">
        <v>2270</v>
      </c>
      <c r="B591" t="str">
        <f>IF(COUNTIF(A:A,A591)&gt;1,_xlfn.CONCAT(A591," (",N591,")"),A591)</f>
        <v>Lĭjiāgōu Xiāng</v>
      </c>
      <c r="C591" t="str">
        <f>IF(COUNTIF(B:B,B591)&gt;1,_xlfn.CONCAT(A591," (",M591,")"),B591)</f>
        <v>Lĭjiāgōu Xiāng</v>
      </c>
      <c r="D591" t="s">
        <v>2271</v>
      </c>
      <c r="E591" t="s">
        <v>17</v>
      </c>
      <c r="F591" t="str">
        <f>_xlfn.CONCAT(D591,", ",H591,", ",I591,", ","山西省")</f>
        <v>李家沟乡, 岢岚县, 忻州市, 山西省</v>
      </c>
      <c r="G591">
        <v>1715</v>
      </c>
      <c r="H591" t="s">
        <v>2988</v>
      </c>
      <c r="I591" t="s">
        <v>2981</v>
      </c>
      <c r="J591" t="e">
        <f>VLOOKUP(F591,[1]!china_towns_second__2[[Column1]:[Y]],3,FALSE)</f>
        <v>#N/A</v>
      </c>
      <c r="K591" t="e">
        <f>VLOOKUP(F591,[1]!china_towns_second__2[[Column1]:[Y]],2,FALSE)</f>
        <v>#N/A</v>
      </c>
      <c r="L591" t="s">
        <v>4167</v>
      </c>
      <c r="M591" t="str">
        <f>VLOOKUP(H591,CHOOSE({1,2},Table12[Native],Table12[Name]),2,0)</f>
        <v>Kĕlán Xiàn</v>
      </c>
      <c r="N591" s="13" t="str">
        <f>VLOOKUP(I591,CHOOSE({1,2},Table12[Native],Table12[Name]),2,0)</f>
        <v>Xīnzhōu Shì</v>
      </c>
      <c r="O591" s="13" t="str">
        <f t="shared" si="18"/>
        <v>Lijiagou Xiang (Xīnzhōu Shì)</v>
      </c>
      <c r="P591" s="13" t="str">
        <f t="shared" si="19"/>
        <v>Lijiagou Xiang (Xīnzhōu Shì)</v>
      </c>
    </row>
    <row r="592" spans="1:16" hidden="1" x14ac:dyDescent="0.25">
      <c r="A592" t="s">
        <v>2272</v>
      </c>
      <c r="B592" t="str">
        <f>IF(COUNTIF(A:A,A592)&gt;1,_xlfn.CONCAT(A592," (",N592,")"),A592)</f>
        <v>Lĭjiāpíng Xiāng</v>
      </c>
      <c r="C592" t="str">
        <f>IF(COUNTIF(B:B,B592)&gt;1,_xlfn.CONCAT(A592," (",M592,")"),B592)</f>
        <v>Lĭjiāpíng Xiāng</v>
      </c>
      <c r="D592" t="s">
        <v>2273</v>
      </c>
      <c r="E592" t="s">
        <v>17</v>
      </c>
      <c r="F592" t="str">
        <f>_xlfn.CONCAT(D592,", ",H592,", ",I592,", ","山西省")</f>
        <v>李家坪乡, 五寨县, 忻州市, 山西省</v>
      </c>
      <c r="G592">
        <v>3792</v>
      </c>
      <c r="H592" t="s">
        <v>2993</v>
      </c>
      <c r="I592" t="s">
        <v>2981</v>
      </c>
      <c r="J592" t="e">
        <f>VLOOKUP(F592,[1]!china_towns_second__2[[Column1]:[Y]],3,FALSE)</f>
        <v>#N/A</v>
      </c>
      <c r="K592" t="e">
        <f>VLOOKUP(F592,[1]!china_towns_second__2[[Column1]:[Y]],2,FALSE)</f>
        <v>#N/A</v>
      </c>
      <c r="L592" t="s">
        <v>4168</v>
      </c>
      <c r="M592" t="str">
        <f>VLOOKUP(H592,CHOOSE({1,2},Table12[Native],Table12[Name]),2,0)</f>
        <v>Wŭzhài Xiàn</v>
      </c>
      <c r="N592" s="13" t="str">
        <f>VLOOKUP(I592,CHOOSE({1,2},Table12[Native],Table12[Name]),2,0)</f>
        <v>Xīnzhōu Shì</v>
      </c>
      <c r="O592" s="13" t="str">
        <f t="shared" si="18"/>
        <v>Lijiaping Xiang (Xīnzhōu Shì)</v>
      </c>
      <c r="P592" s="13" t="str">
        <f t="shared" si="19"/>
        <v>Lijiaping Xiang (Xīnzhōu Shì)</v>
      </c>
    </row>
    <row r="593" spans="1:16" hidden="1" x14ac:dyDescent="0.25">
      <c r="A593" t="s">
        <v>1538</v>
      </c>
      <c r="B593" t="str">
        <f>IF(COUNTIF(A:A,A593)&gt;1,_xlfn.CONCAT(A593," (",N593,")"),A593)</f>
        <v>Lĭjiāwān Xiāng</v>
      </c>
      <c r="C593" t="str">
        <f>IF(COUNTIF(B:B,B593)&gt;1,_xlfn.CONCAT(A593," (",M593,")"),B593)</f>
        <v>Lĭjiāwān Xiāng</v>
      </c>
      <c r="D593" t="s">
        <v>1539</v>
      </c>
      <c r="E593" t="s">
        <v>17</v>
      </c>
      <c r="F593" t="str">
        <f>_xlfn.CONCAT(D593,", ",H593,", ",I593,", ","山西省")</f>
        <v>李家湾乡, 柳林县, 吕梁市, 山西省</v>
      </c>
      <c r="G593">
        <v>13516</v>
      </c>
      <c r="H593" t="s">
        <v>2954</v>
      </c>
      <c r="I593" t="s">
        <v>2946</v>
      </c>
      <c r="J593" t="e">
        <f>VLOOKUP(F593,[1]!china_towns_second__2[[Column1]:[Y]],3,FALSE)</f>
        <v>#N/A</v>
      </c>
      <c r="K593" t="e">
        <f>VLOOKUP(F593,[1]!china_towns_second__2[[Column1]:[Y]],2,FALSE)</f>
        <v>#N/A</v>
      </c>
      <c r="L593" t="s">
        <v>4169</v>
      </c>
      <c r="M593" t="str">
        <f>VLOOKUP(H593,CHOOSE({1,2},Table12[Native],Table12[Name]),2,0)</f>
        <v>Liŭlín Xiàn</v>
      </c>
      <c r="N593" s="13" t="str">
        <f>VLOOKUP(I593,CHOOSE({1,2},Table12[Native],Table12[Name]),2,0)</f>
        <v>Lǚliáng Shì</v>
      </c>
      <c r="O593" s="13" t="str">
        <f t="shared" si="18"/>
        <v>Lijiawan Xiang (Lǚliáng Shì)</v>
      </c>
      <c r="P593" s="13" t="str">
        <f t="shared" si="19"/>
        <v>Lijiawan Xiang (Lǚliáng Shì)</v>
      </c>
    </row>
    <row r="594" spans="1:16" hidden="1" x14ac:dyDescent="0.25">
      <c r="A594" t="s">
        <v>1540</v>
      </c>
      <c r="B594" t="str">
        <f>IF(COUNTIF(A:A,A594)&gt;1,_xlfn.CONCAT(A594," (",N594,")"),A594)</f>
        <v>Lìjiāzhuāng Xiāng</v>
      </c>
      <c r="C594" t="str">
        <f>IF(COUNTIF(B:B,B594)&gt;1,_xlfn.CONCAT(A594," (",M594,")"),B594)</f>
        <v>Lìjiāzhuāng Xiāng</v>
      </c>
      <c r="D594" t="s">
        <v>1541</v>
      </c>
      <c r="E594" t="s">
        <v>17</v>
      </c>
      <c r="F594" t="str">
        <f>_xlfn.CONCAT(D594,", ",H594,", ",I594,", ","山西省")</f>
        <v>栗家庄乡, 汾阳市, 吕梁市, 山西省</v>
      </c>
      <c r="G594">
        <v>24154</v>
      </c>
      <c r="H594" t="s">
        <v>2948</v>
      </c>
      <c r="I594" t="s">
        <v>2946</v>
      </c>
      <c r="J594" t="e">
        <f>VLOOKUP(F594,[1]!china_towns_second__2[[Column1]:[Y]],3,FALSE)</f>
        <v>#N/A</v>
      </c>
      <c r="K594" t="e">
        <f>VLOOKUP(F594,[1]!china_towns_second__2[[Column1]:[Y]],2,FALSE)</f>
        <v>#N/A</v>
      </c>
      <c r="L594" t="s">
        <v>4170</v>
      </c>
      <c r="M594" t="str">
        <f>VLOOKUP(H594,CHOOSE({1,2},Table12[Native],Table12[Name]),2,0)</f>
        <v>Fényáng Shì</v>
      </c>
      <c r="N594" s="13" t="str">
        <f>VLOOKUP(I594,CHOOSE({1,2},Table12[Native],Table12[Name]),2,0)</f>
        <v>Lǚliáng Shì</v>
      </c>
      <c r="O594" s="13" t="str">
        <f t="shared" si="18"/>
        <v>Lijiazhuang Xiang (Lǚliáng Shì)</v>
      </c>
      <c r="P594" s="13" t="str">
        <f t="shared" si="19"/>
        <v>Lijiazhuang Xiang (Lǚliáng Shì)</v>
      </c>
    </row>
    <row r="595" spans="1:16" hidden="1" x14ac:dyDescent="0.25">
      <c r="A595" t="s">
        <v>910</v>
      </c>
      <c r="B595" t="str">
        <f>IF(COUNTIF(A:A,A595)&gt;1,_xlfn.CONCAT(A595," (",N595,")"),A595)</f>
        <v>Lĭjiāzhuāng Xiāng (Jìnzhōng Shì)</v>
      </c>
      <c r="C595" t="str">
        <f>IF(COUNTIF(B:B,B595)&gt;1,_xlfn.CONCAT(A595," (",M595,")"),B595)</f>
        <v>Lĭjiāzhuāng Xiāng (Jìnzhōng Shì)</v>
      </c>
      <c r="D595" t="s">
        <v>911</v>
      </c>
      <c r="E595" t="s">
        <v>17</v>
      </c>
      <c r="F595" t="str">
        <f>_xlfn.CONCAT(D595,", ",H595,", ",I595,", ","山西省")</f>
        <v>李家庄乡, 昔阳县, 晋中市, 山西省</v>
      </c>
      <c r="G595">
        <v>15016</v>
      </c>
      <c r="H595" t="s">
        <v>2922</v>
      </c>
      <c r="I595" t="s">
        <v>2914</v>
      </c>
      <c r="J595" t="e">
        <f>VLOOKUP(F595,[1]!china_towns_second__2[[Column1]:[Y]],3,FALSE)</f>
        <v>#N/A</v>
      </c>
      <c r="K595" t="e">
        <f>VLOOKUP(F595,[1]!china_towns_second__2[[Column1]:[Y]],2,FALSE)</f>
        <v>#N/A</v>
      </c>
      <c r="L595" t="s">
        <v>4171</v>
      </c>
      <c r="M595" t="str">
        <f>VLOOKUP(H595,CHOOSE({1,2},Table12[Native],Table12[Name]),2,0)</f>
        <v>Xīyáng Xiàn</v>
      </c>
      <c r="N595" s="13" t="str">
        <f>VLOOKUP(I595,CHOOSE({1,2},Table12[Native],Table12[Name]),2,0)</f>
        <v>Jìnzhōng Shì</v>
      </c>
      <c r="O595" s="13" t="str">
        <f t="shared" si="18"/>
        <v>Lijiazhuang Xiang (Jinzhong Shi) (Jìnzhōng Shì)</v>
      </c>
      <c r="P595" s="13" t="str">
        <f t="shared" si="19"/>
        <v>Lijiazhuang Xiang (Jinzhong Shi) (Jìnzhōng Shì)</v>
      </c>
    </row>
    <row r="596" spans="1:16" hidden="1" x14ac:dyDescent="0.25">
      <c r="A596" t="s">
        <v>910</v>
      </c>
      <c r="B596" t="str">
        <f>IF(COUNTIF(A:A,A596)&gt;1,_xlfn.CONCAT(A596," (",N596,")"),A596)</f>
        <v>Lĭjiāzhuāng Xiāng (Yángquán Shì)</v>
      </c>
      <c r="C596" t="str">
        <f>IF(COUNTIF(B:B,B596)&gt;1,_xlfn.CONCAT(A596," (",M596,")"),B596)</f>
        <v>Lĭjiāzhuāng Xiāng (Yángquán Shì)</v>
      </c>
      <c r="D596" t="s">
        <v>911</v>
      </c>
      <c r="E596" t="s">
        <v>17</v>
      </c>
      <c r="F596" t="str">
        <f>_xlfn.CONCAT(D596,", ",H596,", ",I596,", ","山西省")</f>
        <v>李家庄乡, 郊区, 阳泉市, 山西省</v>
      </c>
      <c r="G596">
        <v>19447</v>
      </c>
      <c r="H596" t="s">
        <v>2998</v>
      </c>
      <c r="I596" t="s">
        <v>2997</v>
      </c>
      <c r="J596" t="e">
        <f>VLOOKUP(F596,[1]!china_towns_second__2[[Column1]:[Y]],3,FALSE)</f>
        <v>#N/A</v>
      </c>
      <c r="K596" t="e">
        <f>VLOOKUP(F596,[1]!china_towns_second__2[[Column1]:[Y]],2,FALSE)</f>
        <v>#N/A</v>
      </c>
      <c r="L596" t="s">
        <v>4172</v>
      </c>
      <c r="M596" t="str">
        <f>VLOOKUP(H596,CHOOSE({1,2},Table12[Native],Table12[Name]),2,0)</f>
        <v>Jiāo Qū</v>
      </c>
      <c r="N596" s="13" t="str">
        <f>VLOOKUP(I596,CHOOSE({1,2},Table12[Native],Table12[Name]),2,0)</f>
        <v>Yángquán Shì</v>
      </c>
      <c r="O596" s="13" t="str">
        <f t="shared" si="18"/>
        <v>Lijiazhuang Xiang (Yangquan Shi) (Yángquán Shì)</v>
      </c>
      <c r="P596" s="13" t="str">
        <f t="shared" si="19"/>
        <v>Lijiazhuang Xiang (Yangquan Shi) (Yángquán Shì)</v>
      </c>
    </row>
    <row r="597" spans="1:16" hidden="1" x14ac:dyDescent="0.25">
      <c r="A597" t="s">
        <v>1790</v>
      </c>
      <c r="B597" t="str">
        <f>IF(COUNTIF(A:A,A597)&gt;1,_xlfn.CONCAT(A597," (",N597,")"),A597)</f>
        <v>Lìmín Zhèn</v>
      </c>
      <c r="C597" t="str">
        <f>IF(COUNTIF(B:B,B597)&gt;1,_xlfn.CONCAT(A597," (",M597,")"),B597)</f>
        <v>Lìmín Zhèn</v>
      </c>
      <c r="D597" t="s">
        <v>1791</v>
      </c>
      <c r="E597" t="s">
        <v>7</v>
      </c>
      <c r="F597" t="str">
        <f>_xlfn.CONCAT(D597,", ",H597,", ",I597,", ","山西省")</f>
        <v>利民镇, 朔城区, 朔州市, 山西省</v>
      </c>
      <c r="G597">
        <v>7925</v>
      </c>
      <c r="H597" t="s">
        <v>2965</v>
      </c>
      <c r="I597" t="s">
        <v>2961</v>
      </c>
      <c r="J597">
        <f>VLOOKUP(F597,[1]!china_towns_second__2[[Column1]:[Y]],3,FALSE)</f>
        <v>39.345057436172397</v>
      </c>
      <c r="K597">
        <f>VLOOKUP(F597,[1]!china_towns_second__2[[Column1]:[Y]],2,FALSE)</f>
        <v>112.1538216</v>
      </c>
      <c r="L597" t="s">
        <v>4173</v>
      </c>
      <c r="M597" t="str">
        <f>VLOOKUP(H597,CHOOSE({1,2},Table12[Native],Table12[Name]),2,0)</f>
        <v>Shuòchéng Qū</v>
      </c>
      <c r="N597" s="13" t="str">
        <f>VLOOKUP(I597,CHOOSE({1,2},Table12[Native],Table12[Name]),2,0)</f>
        <v>Shuòzhōu Shì</v>
      </c>
      <c r="O597" s="13" t="str">
        <f t="shared" si="18"/>
        <v>Limin Zhen (Shuòzhōu Shì)</v>
      </c>
      <c r="P597" s="13" t="str">
        <f t="shared" si="19"/>
        <v>Limin Zhen (Shuòzhōu Shì)</v>
      </c>
    </row>
    <row r="598" spans="1:16" hidden="1" x14ac:dyDescent="0.25">
      <c r="A598" t="s">
        <v>699</v>
      </c>
      <c r="B598" t="str">
        <f>IF(COUNTIF(A:A,A598)&gt;1,_xlfn.CONCAT(A598," (",N598,")"),A598)</f>
        <v>Línchăng Guănlĭchŭ</v>
      </c>
      <c r="C598" t="str">
        <f>IF(COUNTIF(B:B,B598)&gt;1,_xlfn.CONCAT(A598," (",M598,")"),B598)</f>
        <v>Línchăng Guănlĭchŭ</v>
      </c>
      <c r="D598" t="s">
        <v>700</v>
      </c>
      <c r="E598" t="s">
        <v>35</v>
      </c>
      <c r="F598" t="str">
        <f>_xlfn.CONCAT(D598,", ",H598,", ",I598,", ","山西省")</f>
        <v>林场管理处, 阳城县, 晋城市, 山西省</v>
      </c>
      <c r="G598">
        <v>124</v>
      </c>
      <c r="H598" t="s">
        <v>2911</v>
      </c>
      <c r="I598" t="s">
        <v>2906</v>
      </c>
      <c r="J598">
        <f>VLOOKUP(F598,[1]!china_towns_second__2[[Column1]:[Y]],3,FALSE)</f>
        <v>35.449945930926802</v>
      </c>
      <c r="K598">
        <f>VLOOKUP(F598,[1]!china_towns_second__2[[Column1]:[Y]],2,FALSE)</f>
        <v>112.1019216</v>
      </c>
      <c r="L598" t="s">
        <v>4174</v>
      </c>
      <c r="M598" t="str">
        <f>VLOOKUP(H598,CHOOSE({1,2},Table12[Native],Table12[Name]),2,0)</f>
        <v>Yángchéng Xiàn</v>
      </c>
      <c r="N598" s="13" t="str">
        <f>VLOOKUP(I598,CHOOSE({1,2},Table12[Native],Table12[Name]),2,0)</f>
        <v>Jìnchéng Shì</v>
      </c>
      <c r="O598" s="13" t="str">
        <f t="shared" si="18"/>
        <v>Linchang Guanlichu (Jìnchéng Shì)</v>
      </c>
      <c r="P598" s="13" t="str">
        <f t="shared" si="19"/>
        <v>Linchang Guanlichu (Jìnchéng Shì)</v>
      </c>
    </row>
    <row r="599" spans="1:16" hidden="1" x14ac:dyDescent="0.25">
      <c r="A599" t="s">
        <v>1542</v>
      </c>
      <c r="B599" t="str">
        <f>IF(COUNTIF(A:A,A599)&gt;1,_xlfn.CONCAT(A599," (",N599,")"),A599)</f>
        <v>Lĭngdĭ Xiāng</v>
      </c>
      <c r="C599" t="str">
        <f>IF(COUNTIF(B:B,B599)&gt;1,_xlfn.CONCAT(A599," (",M599,")"),B599)</f>
        <v>Lĭngdĭ Xiāng</v>
      </c>
      <c r="D599" t="s">
        <v>1543</v>
      </c>
      <c r="E599" t="s">
        <v>17</v>
      </c>
      <c r="F599" t="str">
        <f>_xlfn.CONCAT(D599,", ",H599,", ",I599,", ","山西省")</f>
        <v>岭底乡, 交城县, 吕梁市, 山西省</v>
      </c>
      <c r="G599">
        <v>6560</v>
      </c>
      <c r="H599" t="s">
        <v>2949</v>
      </c>
      <c r="I599" t="s">
        <v>2946</v>
      </c>
      <c r="J599" t="e">
        <f>VLOOKUP(F599,[1]!china_towns_second__2[[Column1]:[Y]],3,FALSE)</f>
        <v>#N/A</v>
      </c>
      <c r="K599" t="e">
        <f>VLOOKUP(F599,[1]!china_towns_second__2[[Column1]:[Y]],2,FALSE)</f>
        <v>#N/A</v>
      </c>
      <c r="L599" t="s">
        <v>4175</v>
      </c>
      <c r="M599" t="str">
        <f>VLOOKUP(H599,CHOOSE({1,2},Table12[Native],Table12[Name]),2,0)</f>
        <v>Jiāochéng Xiàn</v>
      </c>
      <c r="N599" s="13" t="str">
        <f>VLOOKUP(I599,CHOOSE({1,2},Table12[Native],Table12[Name]),2,0)</f>
        <v>Lǚliáng Shì</v>
      </c>
      <c r="O599" s="13" t="str">
        <f t="shared" si="18"/>
        <v>Lingdi Xiang (Lǚliáng Shì)</v>
      </c>
      <c r="P599" s="13" t="str">
        <f t="shared" si="19"/>
        <v>Lingdi Xiang (Lǚliáng Shì)</v>
      </c>
    </row>
    <row r="600" spans="1:16" hidden="1" x14ac:dyDescent="0.25">
      <c r="A600" t="s">
        <v>2274</v>
      </c>
      <c r="B600" t="str">
        <f>IF(COUNTIF(A:A,A600)&gt;1,_xlfn.CONCAT(A600," (",N600,")"),A600)</f>
        <v>Língjìng Xiāng</v>
      </c>
      <c r="C600" t="str">
        <f>IF(COUNTIF(B:B,B600)&gt;1,_xlfn.CONCAT(A600," (",M600,")"),B600)</f>
        <v>Língjìng Xiāng</v>
      </c>
      <c r="D600" t="s">
        <v>2275</v>
      </c>
      <c r="E600" t="s">
        <v>17</v>
      </c>
      <c r="F600" t="str">
        <f>_xlfn.CONCAT(D600,", ",H600,", ",I600,", ","山西省")</f>
        <v>灵境乡, 五台县, 忻州市, 山西省</v>
      </c>
      <c r="G600">
        <v>1841</v>
      </c>
      <c r="H600" t="s">
        <v>2992</v>
      </c>
      <c r="I600" t="s">
        <v>2981</v>
      </c>
      <c r="J600" t="e">
        <f>VLOOKUP(F600,[1]!china_towns_second__2[[Column1]:[Y]],3,FALSE)</f>
        <v>#N/A</v>
      </c>
      <c r="K600" t="e">
        <f>VLOOKUP(F600,[1]!china_towns_second__2[[Column1]:[Y]],2,FALSE)</f>
        <v>#N/A</v>
      </c>
      <c r="L600" t="s">
        <v>4176</v>
      </c>
      <c r="M600" t="str">
        <f>VLOOKUP(H600,CHOOSE({1,2},Table12[Native],Table12[Name]),2,0)</f>
        <v>Wŭtái Xiàn</v>
      </c>
      <c r="N600" s="13" t="str">
        <f>VLOOKUP(I600,CHOOSE({1,2},Table12[Native],Table12[Name]),2,0)</f>
        <v>Xīnzhōu Shì</v>
      </c>
      <c r="O600" s="13" t="str">
        <f t="shared" si="18"/>
        <v>Lingjing Xiang (Xīnzhōu Shì)</v>
      </c>
      <c r="P600" s="13" t="str">
        <f t="shared" si="19"/>
        <v>Lingjing Xiang (Xīnzhōu Shì)</v>
      </c>
    </row>
    <row r="601" spans="1:16" hidden="1" x14ac:dyDescent="0.25">
      <c r="A601" t="s">
        <v>1974</v>
      </c>
      <c r="B601" t="str">
        <f>IF(COUNTIF(A:A,A601)&gt;1,_xlfn.CONCAT(A601," (",N601,")"),A601)</f>
        <v>Língjĭngdiàn Xiāng</v>
      </c>
      <c r="C601" t="str">
        <f>IF(COUNTIF(B:B,B601)&gt;1,_xlfn.CONCAT(A601," (",M601,")"),B601)</f>
        <v>Língjĭngdiàn Xiāng</v>
      </c>
      <c r="D601" t="s">
        <v>1975</v>
      </c>
      <c r="E601" t="s">
        <v>17</v>
      </c>
      <c r="F601" t="str">
        <f>_xlfn.CONCAT(D601,", ",H601,", ",I601,", ","山西省")</f>
        <v>凌井店乡, 阳曲县, 太原市, 山西省</v>
      </c>
      <c r="G601">
        <v>8090</v>
      </c>
      <c r="H601" t="s">
        <v>2978</v>
      </c>
      <c r="I601" t="s">
        <v>2969</v>
      </c>
      <c r="J601" t="e">
        <f>VLOOKUP(F601,[1]!china_towns_second__2[[Column1]:[Y]],3,FALSE)</f>
        <v>#N/A</v>
      </c>
      <c r="K601" t="e">
        <f>VLOOKUP(F601,[1]!china_towns_second__2[[Column1]:[Y]],2,FALSE)</f>
        <v>#N/A</v>
      </c>
      <c r="L601" t="s">
        <v>4177</v>
      </c>
      <c r="M601" t="str">
        <f>VLOOKUP(H601,CHOOSE({1,2},Table12[Native],Table12[Name]),2,0)</f>
        <v>Yángqŭ Xiàn</v>
      </c>
      <c r="N601" s="13" t="str">
        <f>VLOOKUP(I601,CHOOSE({1,2},Table12[Native],Table12[Name]),2,0)</f>
        <v>Tàiyuán Shì</v>
      </c>
      <c r="O601" s="13" t="str">
        <f t="shared" si="18"/>
        <v>Lingjingdian Xiang (Tàiyuán Shì)</v>
      </c>
      <c r="P601" s="13" t="str">
        <f t="shared" si="19"/>
        <v>Lingjingdian Xiang (Tàiyuán Shì)</v>
      </c>
    </row>
    <row r="602" spans="1:16" hidden="1" x14ac:dyDescent="0.25">
      <c r="A602" t="s">
        <v>165</v>
      </c>
      <c r="B602" t="str">
        <f>IF(COUNTIF(A:A,A602)&gt;1,_xlfn.CONCAT(A602," (",N602,")"),A602)</f>
        <v>Língkōngshān Zhèn</v>
      </c>
      <c r="C602" t="str">
        <f>IF(COUNTIF(B:B,B602)&gt;1,_xlfn.CONCAT(A602," (",M602,")"),B602)</f>
        <v>Língkōngshān Zhèn</v>
      </c>
      <c r="D602" t="s">
        <v>166</v>
      </c>
      <c r="E602" t="s">
        <v>7</v>
      </c>
      <c r="F602" t="str">
        <f>_xlfn.CONCAT(D602,", ",H602,", ",I602,", ","山西省")</f>
        <v>灵空山镇, 沁源县, 长治市, 山西省</v>
      </c>
      <c r="G602">
        <v>9611</v>
      </c>
      <c r="H602" t="s">
        <v>2888</v>
      </c>
      <c r="I602" t="s">
        <v>2878</v>
      </c>
      <c r="J602">
        <f>VLOOKUP(F602,[1]!china_towns_second__2[[Column1]:[Y]],3,FALSE)</f>
        <v>36.573587971893403</v>
      </c>
      <c r="K602">
        <f>VLOOKUP(F602,[1]!china_towns_second__2[[Column1]:[Y]],2,FALSE)</f>
        <v>112.12923240000001</v>
      </c>
      <c r="L602" t="s">
        <v>4178</v>
      </c>
      <c r="M602" t="str">
        <f>VLOOKUP(H602,CHOOSE({1,2},Table12[Native],Table12[Name]),2,0)</f>
        <v>Qìnyuán Xiàn</v>
      </c>
      <c r="N602" s="13" t="str">
        <f>VLOOKUP(I602,CHOOSE({1,2},Table12[Native],Table12[Name]),2,0)</f>
        <v>Chángzhì Shì</v>
      </c>
      <c r="O602" s="13" t="str">
        <f t="shared" si="18"/>
        <v>Lingkongshan Zhen (Chángzhì Shì)</v>
      </c>
      <c r="P602" s="13" t="str">
        <f t="shared" si="19"/>
        <v>Lingkongshan Zhen (Chángzhì Shì)</v>
      </c>
    </row>
    <row r="603" spans="1:16" hidden="1" x14ac:dyDescent="0.25">
      <c r="A603" t="s">
        <v>1544</v>
      </c>
      <c r="B603" t="str">
        <f>IF(COUNTIF(A:A,A603)&gt;1,_xlfn.CONCAT(A603," (",N603,")"),A603)</f>
        <v>Língquán Zhèn</v>
      </c>
      <c r="C603" t="str">
        <f>IF(COUNTIF(B:B,B603)&gt;1,_xlfn.CONCAT(A603," (",M603,")"),B603)</f>
        <v>Língquán Zhèn</v>
      </c>
      <c r="D603" t="s">
        <v>1545</v>
      </c>
      <c r="E603" t="s">
        <v>7</v>
      </c>
      <c r="F603" t="str">
        <f>_xlfn.CONCAT(D603,", ",H603,", ",I603,", ","山西省")</f>
        <v>灵泉镇, 石楼县, 吕梁市, 山西省</v>
      </c>
      <c r="G603">
        <v>41996</v>
      </c>
      <c r="H603" t="s">
        <v>2955</v>
      </c>
      <c r="I603" t="s">
        <v>2946</v>
      </c>
      <c r="J603">
        <f>VLOOKUP(F603,[1]!china_towns_second__2[[Column1]:[Y]],3,FALSE)</f>
        <v>36.977845567066502</v>
      </c>
      <c r="K603">
        <f>VLOOKUP(F603,[1]!china_towns_second__2[[Column1]:[Y]],2,FALSE)</f>
        <v>110.8029717</v>
      </c>
      <c r="L603" t="s">
        <v>4179</v>
      </c>
      <c r="M603" t="str">
        <f>VLOOKUP(H603,CHOOSE({1,2},Table12[Native],Table12[Name]),2,0)</f>
        <v>Shílóu Xiàn</v>
      </c>
      <c r="N603" s="13" t="str">
        <f>VLOOKUP(I603,CHOOSE({1,2},Table12[Native],Table12[Name]),2,0)</f>
        <v>Lǚliáng Shì</v>
      </c>
      <c r="O603" s="13" t="str">
        <f t="shared" si="18"/>
        <v>Lingquan Zhen (Lǚliáng Shì)</v>
      </c>
      <c r="P603" s="13" t="str">
        <f t="shared" si="19"/>
        <v>Lingquan Zhen (Lǚliáng Shì)</v>
      </c>
    </row>
    <row r="604" spans="1:16" hidden="1" x14ac:dyDescent="0.25">
      <c r="A604" t="s">
        <v>167</v>
      </c>
      <c r="B604" t="str">
        <f>IF(COUNTIF(A:A,A604)&gt;1,_xlfn.CONCAT(A604," (",N604,")"),A604)</f>
        <v>Línjiàng Jiēdào</v>
      </c>
      <c r="C604" t="str">
        <f>IF(COUNTIF(B:B,B604)&gt;1,_xlfn.CONCAT(A604," (",M604,")"),B604)</f>
        <v>Línjiàng Jiēdào</v>
      </c>
      <c r="D604" t="s">
        <v>168</v>
      </c>
      <c r="E604" t="s">
        <v>31</v>
      </c>
      <c r="F604" t="str">
        <f>_xlfn.CONCAT(D604,", ",H604,", ",I604,", ","山西省")</f>
        <v>麟绛街道, 屯留区, 长治市, 山西省</v>
      </c>
      <c r="G604">
        <v>49488</v>
      </c>
      <c r="H604" t="s">
        <v>2890</v>
      </c>
      <c r="I604" t="s">
        <v>2878</v>
      </c>
      <c r="J604" t="e">
        <f>VLOOKUP(F604,[1]!china_towns_second__2[[Column1]:[Y]],3,FALSE)</f>
        <v>#N/A</v>
      </c>
      <c r="K604" t="e">
        <f>VLOOKUP(F604,[1]!china_towns_second__2[[Column1]:[Y]],2,FALSE)</f>
        <v>#N/A</v>
      </c>
      <c r="L604" t="s">
        <v>4180</v>
      </c>
      <c r="M604" t="str">
        <f>VLOOKUP(H604,CHOOSE({1,2},Table12[Native],Table12[Name]),2,0)</f>
        <v>Túnliú Qū</v>
      </c>
      <c r="N604" s="13" t="str">
        <f>VLOOKUP(I604,CHOOSE({1,2},Table12[Native],Table12[Name]),2,0)</f>
        <v>Chángzhì Shì</v>
      </c>
      <c r="O604" s="13" t="str">
        <f t="shared" si="18"/>
        <v>Linjiang Jiedao (Chángzhì Shì)</v>
      </c>
      <c r="P604" s="13" t="str">
        <f t="shared" si="19"/>
        <v>Linjiang Jiedao (Chángzhì Shì)</v>
      </c>
    </row>
    <row r="605" spans="1:16" hidden="1" x14ac:dyDescent="0.25">
      <c r="A605" t="s">
        <v>1546</v>
      </c>
      <c r="B605" t="str">
        <f>IF(COUNTIF(A:A,A605)&gt;1,_xlfn.CONCAT(A605," (",N605,")"),A605)</f>
        <v>Línjiāpíng Zhèn</v>
      </c>
      <c r="C605" t="str">
        <f>IF(COUNTIF(B:B,B605)&gt;1,_xlfn.CONCAT(A605," (",M605,")"),B605)</f>
        <v>Línjiāpíng Zhèn</v>
      </c>
      <c r="D605" t="s">
        <v>1547</v>
      </c>
      <c r="E605" t="s">
        <v>7</v>
      </c>
      <c r="F605" t="str">
        <f>_xlfn.CONCAT(D605,", ",H605,", ",I605,", ","山西省")</f>
        <v>林家坪镇, 临县, 吕梁市, 山西省</v>
      </c>
      <c r="G605">
        <v>24445</v>
      </c>
      <c r="H605" t="s">
        <v>2952</v>
      </c>
      <c r="I605" t="s">
        <v>2946</v>
      </c>
      <c r="J605">
        <f>VLOOKUP(F605,[1]!china_towns_second__2[[Column1]:[Y]],3,FALSE)</f>
        <v>37.6901313387011</v>
      </c>
      <c r="K605">
        <f>VLOOKUP(F605,[1]!china_towns_second__2[[Column1]:[Y]],2,FALSE)</f>
        <v>110.88064300000001</v>
      </c>
      <c r="L605" t="s">
        <v>4181</v>
      </c>
      <c r="M605" t="str">
        <f>VLOOKUP(H605,CHOOSE({1,2},Table12[Native],Table12[Name]),2,0)</f>
        <v>Lín Xiàn</v>
      </c>
      <c r="N605" s="13" t="str">
        <f>VLOOKUP(I605,CHOOSE({1,2},Table12[Native],Table12[Name]),2,0)</f>
        <v>Lǚliáng Shì</v>
      </c>
      <c r="O605" s="13" t="str">
        <f t="shared" si="18"/>
        <v>Linjiaping Zhen (Lǚliáng Shì)</v>
      </c>
      <c r="P605" s="13" t="str">
        <f t="shared" si="19"/>
        <v>Linjiaping Zhen (Lǚliáng Shì)</v>
      </c>
    </row>
    <row r="606" spans="1:16" hidden="1" x14ac:dyDescent="0.25">
      <c r="A606" t="s">
        <v>2705</v>
      </c>
      <c r="B606" t="str">
        <f>IF(COUNTIF(A:A,A606)&gt;1,_xlfn.CONCAT(A606," (",N606,")"),A606)</f>
        <v>Línjìn Zhèn</v>
      </c>
      <c r="C606" t="str">
        <f>IF(COUNTIF(B:B,B606)&gt;1,_xlfn.CONCAT(A606," (",M606,")"),B606)</f>
        <v>Línjìn Zhèn</v>
      </c>
      <c r="D606" t="s">
        <v>2706</v>
      </c>
      <c r="E606" t="s">
        <v>7</v>
      </c>
      <c r="F606" t="str">
        <f>_xlfn.CONCAT(D606,", ",H606,", ",I606,", ","山西省")</f>
        <v>临晋镇, 临猗县, 运城市, 山西省</v>
      </c>
      <c r="G606">
        <v>38100</v>
      </c>
      <c r="H606" t="s">
        <v>3007</v>
      </c>
      <c r="I606" t="s">
        <v>3003</v>
      </c>
      <c r="J606">
        <f>VLOOKUP(F606,[1]!china_towns_second__2[[Column1]:[Y]],3,FALSE)</f>
        <v>35.086659850413902</v>
      </c>
      <c r="K606">
        <f>VLOOKUP(F606,[1]!china_towns_second__2[[Column1]:[Y]],2,FALSE)</f>
        <v>110.548391</v>
      </c>
      <c r="L606" t="s">
        <v>4182</v>
      </c>
      <c r="M606" t="str">
        <f>VLOOKUP(H606,CHOOSE({1,2},Table12[Native],Table12[Name]),2,0)</f>
        <v>Línyī Xiàn</v>
      </c>
      <c r="N606" s="13" t="str">
        <f>VLOOKUP(I606,CHOOSE({1,2},Table12[Native],Table12[Name]),2,0)</f>
        <v>Yùnchéng Shì</v>
      </c>
      <c r="O606" s="13" t="str">
        <f t="shared" si="18"/>
        <v>Linjin Zhen (Yùnchéng Shì)</v>
      </c>
      <c r="P606" s="13" t="str">
        <f t="shared" si="19"/>
        <v>Linjin Zhen (Yùnchéng Shì)</v>
      </c>
    </row>
    <row r="607" spans="1:16" hidden="1" x14ac:dyDescent="0.25">
      <c r="A607" t="s">
        <v>1548</v>
      </c>
      <c r="B607" t="str">
        <f>IF(COUNTIF(A:A,A607)&gt;1,_xlfn.CONCAT(A607," (",N607,")"),A607)</f>
        <v>Línquán Zhèn</v>
      </c>
      <c r="C607" t="str">
        <f>IF(COUNTIF(B:B,B607)&gt;1,_xlfn.CONCAT(A607," (",M607,")"),B607)</f>
        <v>Línquán Zhèn</v>
      </c>
      <c r="D607" t="s">
        <v>1549</v>
      </c>
      <c r="E607" t="s">
        <v>7</v>
      </c>
      <c r="F607" t="str">
        <f>_xlfn.CONCAT(D607,", ",H607,", ",I607,", ","山西省")</f>
        <v>临泉镇, 临县, 吕梁市, 山西省</v>
      </c>
      <c r="G607">
        <v>91670</v>
      </c>
      <c r="H607" t="s">
        <v>2952</v>
      </c>
      <c r="I607" t="s">
        <v>2946</v>
      </c>
      <c r="J607">
        <f>VLOOKUP(F607,[1]!china_towns_second__2[[Column1]:[Y]],3,FALSE)</f>
        <v>37.985851600572303</v>
      </c>
      <c r="K607">
        <f>VLOOKUP(F607,[1]!china_towns_second__2[[Column1]:[Y]],2,FALSE)</f>
        <v>110.9609191</v>
      </c>
      <c r="L607" t="s">
        <v>4183</v>
      </c>
      <c r="M607" t="str">
        <f>VLOOKUP(H607,CHOOSE({1,2},Table12[Native],Table12[Name]),2,0)</f>
        <v>Lín Xiàn</v>
      </c>
      <c r="N607" s="13" t="str">
        <f>VLOOKUP(I607,CHOOSE({1,2},Table12[Native],Table12[Name]),2,0)</f>
        <v>Lǚliáng Shì</v>
      </c>
      <c r="O607" s="13" t="str">
        <f t="shared" si="18"/>
        <v>Linquan Zhen (Lǚliáng Shì)</v>
      </c>
      <c r="P607" s="13" t="str">
        <f t="shared" si="19"/>
        <v>Linquan Zhen (Lǚliáng Shì)</v>
      </c>
    </row>
    <row r="608" spans="1:16" hidden="1" x14ac:dyDescent="0.25">
      <c r="A608" t="s">
        <v>2276</v>
      </c>
      <c r="B608" t="str">
        <f>IF(COUNTIF(A:A,A608)&gt;1,_xlfn.CONCAT(A608," (",N608,")"),A608)</f>
        <v>Línzhēyù Xiāng</v>
      </c>
      <c r="C608" t="str">
        <f>IF(COUNTIF(B:B,B608)&gt;1,_xlfn.CONCAT(A608," (",M608,")"),B608)</f>
        <v>Línzhēyù Xiāng</v>
      </c>
      <c r="D608" t="s">
        <v>2277</v>
      </c>
      <c r="E608" t="s">
        <v>17</v>
      </c>
      <c r="F608" t="str">
        <f>_xlfn.CONCAT(D608,", ",H608,", ",I608,", ","山西省")</f>
        <v>林遮峪乡, 保德县, 忻州市, 山西省</v>
      </c>
      <c r="G608">
        <v>3665</v>
      </c>
      <c r="H608" t="s">
        <v>2982</v>
      </c>
      <c r="I608" t="s">
        <v>2981</v>
      </c>
      <c r="J608" t="e">
        <f>VLOOKUP(F608,[1]!china_towns_second__2[[Column1]:[Y]],3,FALSE)</f>
        <v>#N/A</v>
      </c>
      <c r="K608" t="e">
        <f>VLOOKUP(F608,[1]!china_towns_second__2[[Column1]:[Y]],2,FALSE)</f>
        <v>#N/A</v>
      </c>
      <c r="L608" t="s">
        <v>4184</v>
      </c>
      <c r="M608" t="str">
        <f>VLOOKUP(H608,CHOOSE({1,2},Table12[Native],Table12[Name]),2,0)</f>
        <v>Băodé Xiàn</v>
      </c>
      <c r="N608" s="13" t="str">
        <f>VLOOKUP(I608,CHOOSE({1,2},Table12[Native],Table12[Name]),2,0)</f>
        <v>Xīnzhōu Shì</v>
      </c>
      <c r="O608" s="13" t="str">
        <f t="shared" si="18"/>
        <v>Linzheyu Xiang (Xīnzhōu Shì)</v>
      </c>
      <c r="P608" s="13" t="str">
        <f t="shared" si="19"/>
        <v>Linzheyu Xiang (Xīnzhōu Shì)</v>
      </c>
    </row>
    <row r="609" spans="1:16" hidden="1" x14ac:dyDescent="0.25">
      <c r="A609" t="s">
        <v>2707</v>
      </c>
      <c r="B609" t="str">
        <f>IF(COUNTIF(A:A,A609)&gt;1,_xlfn.CONCAT(A609," (",N609,")"),A609)</f>
        <v>Lìshān Zhèn</v>
      </c>
      <c r="C609" t="str">
        <f>IF(COUNTIF(B:B,B609)&gt;1,_xlfn.CONCAT(A609," (",M609,")"),B609)</f>
        <v>Lìshān Zhèn</v>
      </c>
      <c r="D609" t="s">
        <v>2708</v>
      </c>
      <c r="E609" t="s">
        <v>7</v>
      </c>
      <c r="F609" t="str">
        <f>_xlfn.CONCAT(D609,", ",H609,", ",I609,", ","山西省")</f>
        <v>历山镇, 垣曲县, 运城市, 山西省</v>
      </c>
      <c r="G609">
        <v>13755</v>
      </c>
      <c r="H609" t="s">
        <v>3016</v>
      </c>
      <c r="I609" t="s">
        <v>3003</v>
      </c>
      <c r="J609">
        <f>VLOOKUP(F609,[1]!china_towns_second__2[[Column1]:[Y]],3,FALSE)</f>
        <v>35.321555391129799</v>
      </c>
      <c r="K609">
        <f>VLOOKUP(F609,[1]!china_towns_second__2[[Column1]:[Y]],2,FALSE)</f>
        <v>111.90703980000001</v>
      </c>
      <c r="L609" t="s">
        <v>4185</v>
      </c>
      <c r="M609" t="str">
        <f>VLOOKUP(H609,CHOOSE({1,2},Table12[Native],Table12[Name]),2,0)</f>
        <v>Yuánqŭ Xiàn</v>
      </c>
      <c r="N609" s="13" t="str">
        <f>VLOOKUP(I609,CHOOSE({1,2},Table12[Native],Table12[Name]),2,0)</f>
        <v>Yùnchéng Shì</v>
      </c>
      <c r="O609" s="13" t="str">
        <f t="shared" si="18"/>
        <v>Lishan Zhen (Yùnchéng Shì)</v>
      </c>
      <c r="P609" s="13" t="str">
        <f t="shared" si="19"/>
        <v>Lishan Zhen (Yùnchéng Shì)</v>
      </c>
    </row>
    <row r="610" spans="1:16" hidden="1" x14ac:dyDescent="0.25">
      <c r="A610" t="s">
        <v>1212</v>
      </c>
      <c r="B610" t="str">
        <f>IF(COUNTIF(A:A,A610)&gt;1,_xlfn.CONCAT(A610," (",N610,")"),A610)</f>
        <v>Liúcūn Zhèn</v>
      </c>
      <c r="C610" t="str">
        <f>IF(COUNTIF(B:B,B610)&gt;1,_xlfn.CONCAT(A610," (",M610,")"),B610)</f>
        <v>Liúcūn Zhèn</v>
      </c>
      <c r="D610" t="s">
        <v>1213</v>
      </c>
      <c r="E610" t="s">
        <v>7</v>
      </c>
      <c r="F610" t="str">
        <f>_xlfn.CONCAT(D610,", ",H610,", ",I610,", ","山西省")</f>
        <v>刘村镇, 尧都区, 临汾市, 山西省</v>
      </c>
      <c r="G610">
        <v>56850</v>
      </c>
      <c r="H610" t="s">
        <v>2942</v>
      </c>
      <c r="I610" t="s">
        <v>2927</v>
      </c>
      <c r="J610">
        <f>VLOOKUP(F610,[1]!china_towns_second__2[[Column1]:[Y]],3,FALSE)</f>
        <v>36.119499714886103</v>
      </c>
      <c r="K610">
        <f>VLOOKUP(F610,[1]!china_towns_second__2[[Column1]:[Y]],2,FALSE)</f>
        <v>111.4433904</v>
      </c>
      <c r="L610" t="s">
        <v>4186</v>
      </c>
      <c r="M610" t="str">
        <f>VLOOKUP(H610,CHOOSE({1,2},Table12[Native],Table12[Name]),2,0)</f>
        <v>Yáodū Qū</v>
      </c>
      <c r="N610" s="13" t="str">
        <f>VLOOKUP(I610,CHOOSE({1,2},Table12[Native],Table12[Name]),2,0)</f>
        <v>Línfén Shì</v>
      </c>
      <c r="O610" s="13" t="str">
        <f t="shared" si="18"/>
        <v>Liucun Zhen (Línfén Shì)</v>
      </c>
      <c r="P610" s="13" t="str">
        <f t="shared" si="19"/>
        <v>Liucun Zhen (Línfén Shì)</v>
      </c>
    </row>
    <row r="611" spans="1:16" hidden="1" x14ac:dyDescent="0.25">
      <c r="A611" t="s">
        <v>1976</v>
      </c>
      <c r="B611" t="str">
        <f>IF(COUNTIF(A:A,A611)&gt;1,_xlfn.CONCAT(A611," (",N611,")"),A611)</f>
        <v>Liŭdù Xiāng</v>
      </c>
      <c r="C611" t="str">
        <f>IF(COUNTIF(B:B,B611)&gt;1,_xlfn.CONCAT(A611," (",M611,")"),B611)</f>
        <v>Liŭdù Xiāng</v>
      </c>
      <c r="D611" t="s">
        <v>1977</v>
      </c>
      <c r="E611" t="s">
        <v>17</v>
      </c>
      <c r="F611" t="str">
        <f>_xlfn.CONCAT(D611,", ",H611,", ",I611,", ","山西省")</f>
        <v>柳杜乡, 清徐县, 太原市, 山西省</v>
      </c>
      <c r="G611">
        <v>19449</v>
      </c>
      <c r="H611" t="s">
        <v>2974</v>
      </c>
      <c r="I611" t="s">
        <v>2969</v>
      </c>
      <c r="J611" t="e">
        <f>VLOOKUP(F611,[1]!china_towns_second__2[[Column1]:[Y]],3,FALSE)</f>
        <v>#N/A</v>
      </c>
      <c r="K611" t="e">
        <f>VLOOKUP(F611,[1]!china_towns_second__2[[Column1]:[Y]],2,FALSE)</f>
        <v>#N/A</v>
      </c>
      <c r="L611" t="s">
        <v>4187</v>
      </c>
      <c r="M611" t="str">
        <f>VLOOKUP(H611,CHOOSE({1,2},Table12[Native],Table12[Name]),2,0)</f>
        <v>Qīngxú Xiàn</v>
      </c>
      <c r="N611" s="13" t="str">
        <f>VLOOKUP(I611,CHOOSE({1,2},Table12[Native],Table12[Name]),2,0)</f>
        <v>Tàiyuán Shì</v>
      </c>
      <c r="O611" s="13" t="str">
        <f t="shared" si="18"/>
        <v>Liudu Xiang (Tàiyuán Shì)</v>
      </c>
      <c r="P611" s="13" t="str">
        <f t="shared" si="19"/>
        <v>Liudu Xiang (Tàiyuán Shì)</v>
      </c>
    </row>
    <row r="612" spans="1:16" hidden="1" x14ac:dyDescent="0.25">
      <c r="A612" t="s">
        <v>1550</v>
      </c>
      <c r="B612" t="str">
        <f>IF(COUNTIF(A:A,A612)&gt;1,_xlfn.CONCAT(A612," (",N612,")"),A612)</f>
        <v>Liúhúlán Zhèn</v>
      </c>
      <c r="C612" t="str">
        <f>IF(COUNTIF(B:B,B612)&gt;1,_xlfn.CONCAT(A612," (",M612,")"),B612)</f>
        <v>Liúhúlán Zhèn</v>
      </c>
      <c r="D612" t="s">
        <v>1551</v>
      </c>
      <c r="E612" t="s">
        <v>7</v>
      </c>
      <c r="F612" t="str">
        <f>_xlfn.CONCAT(D612,", ",H612,", ",I612,", ","山西省")</f>
        <v>刘胡兰镇, 文水县, 吕梁市, 山西省</v>
      </c>
      <c r="G612">
        <v>37235</v>
      </c>
      <c r="H612" t="s">
        <v>2956</v>
      </c>
      <c r="I612" t="s">
        <v>2946</v>
      </c>
      <c r="J612">
        <f>VLOOKUP(F612,[1]!china_towns_second__2[[Column1]:[Y]],3,FALSE)</f>
        <v>37.386519278718701</v>
      </c>
      <c r="K612">
        <f>VLOOKUP(F612,[1]!china_towns_second__2[[Column1]:[Y]],2,FALSE)</f>
        <v>112.1988899</v>
      </c>
      <c r="L612" t="s">
        <v>4188</v>
      </c>
      <c r="M612" t="str">
        <f>VLOOKUP(H612,CHOOSE({1,2},Table12[Native],Table12[Name]),2,0)</f>
        <v>Wénshuĭ Xiàn</v>
      </c>
      <c r="N612" s="13" t="str">
        <f>VLOOKUP(I612,CHOOSE({1,2},Table12[Native],Table12[Name]),2,0)</f>
        <v>Lǚliáng Shì</v>
      </c>
      <c r="O612" s="13" t="str">
        <f t="shared" si="18"/>
        <v>Liuhulan Zhen (Lǚliáng Shì)</v>
      </c>
      <c r="P612" s="13" t="str">
        <f t="shared" si="19"/>
        <v>Liuhulan Zhen (Lǚliáng Shì)</v>
      </c>
    </row>
    <row r="613" spans="1:16" hidden="1" x14ac:dyDescent="0.25">
      <c r="A613" t="s">
        <v>1978</v>
      </c>
      <c r="B613" t="str">
        <f>IF(COUNTIF(A:A,A613)&gt;1,_xlfn.CONCAT(A613," (",N613,")"),A613)</f>
        <v>Liújiābăo Xiāng</v>
      </c>
      <c r="C613" t="str">
        <f>IF(COUNTIF(B:B,B613)&gt;1,_xlfn.CONCAT(A613," (",M613,")"),B613)</f>
        <v>Liújiābăo Xiāng</v>
      </c>
      <c r="D613" t="s">
        <v>1979</v>
      </c>
      <c r="E613" t="s">
        <v>17</v>
      </c>
      <c r="F613" t="str">
        <f>_xlfn.CONCAT(D613,", ",H613,", ",I613,", ","山西省")</f>
        <v>刘家堡乡, 小店区, 太原市, 山西省</v>
      </c>
      <c r="G613">
        <v>32233</v>
      </c>
      <c r="H613" t="s">
        <v>2976</v>
      </c>
      <c r="I613" t="s">
        <v>2969</v>
      </c>
      <c r="J613" t="e">
        <f>VLOOKUP(F613,[1]!china_towns_second__2[[Column1]:[Y]],3,FALSE)</f>
        <v>#N/A</v>
      </c>
      <c r="K613" t="e">
        <f>VLOOKUP(F613,[1]!china_towns_second__2[[Column1]:[Y]],2,FALSE)</f>
        <v>#N/A</v>
      </c>
      <c r="L613" t="s">
        <v>4189</v>
      </c>
      <c r="M613" t="str">
        <f>VLOOKUP(H613,CHOOSE({1,2},Table12[Native],Table12[Name]),2,0)</f>
        <v>Xiăodiàn Qū</v>
      </c>
      <c r="N613" s="13" t="str">
        <f>VLOOKUP(I613,CHOOSE({1,2},Table12[Native],Table12[Name]),2,0)</f>
        <v>Tàiyuán Shì</v>
      </c>
      <c r="O613" s="13" t="str">
        <f t="shared" si="18"/>
        <v>Liujiabao Xiang (Tàiyuán Shì)</v>
      </c>
      <c r="P613" s="13" t="str">
        <f t="shared" si="19"/>
        <v>Liujiabao Xiang (Tàiyuán Shì)</v>
      </c>
    </row>
    <row r="614" spans="1:16" hidden="1" x14ac:dyDescent="0.25">
      <c r="A614" t="s">
        <v>1552</v>
      </c>
      <c r="B614" t="str">
        <f>IF(COUNTIF(A:A,A614)&gt;1,_xlfn.CONCAT(A614," (",N614,")"),A614)</f>
        <v>Liújiāhuì Zhèn</v>
      </c>
      <c r="C614" t="str">
        <f>IF(COUNTIF(B:B,B614)&gt;1,_xlfn.CONCAT(A614," (",M614,")"),B614)</f>
        <v>Liújiāhuì Zhèn</v>
      </c>
      <c r="D614" t="s">
        <v>1553</v>
      </c>
      <c r="E614" t="s">
        <v>7</v>
      </c>
      <c r="F614" t="str">
        <f>_xlfn.CONCAT(D614,", ",H614,", ",I614,", ","山西省")</f>
        <v>刘家会镇, 临县, 吕梁市, 山西省</v>
      </c>
      <c r="G614">
        <v>29131</v>
      </c>
      <c r="H614" t="s">
        <v>2952</v>
      </c>
      <c r="I614" t="s">
        <v>2946</v>
      </c>
      <c r="J614">
        <f>VLOOKUP(F614,[1]!china_towns_second__2[[Column1]:[Y]],3,FALSE)</f>
        <v>37.790364943821999</v>
      </c>
      <c r="K614">
        <f>VLOOKUP(F614,[1]!china_towns_second__2[[Column1]:[Y]],2,FALSE)</f>
        <v>110.82847289999999</v>
      </c>
      <c r="L614" t="s">
        <v>4190</v>
      </c>
      <c r="M614" t="str">
        <f>VLOOKUP(H614,CHOOSE({1,2},Table12[Native],Table12[Name]),2,0)</f>
        <v>Lín Xiàn</v>
      </c>
      <c r="N614" s="13" t="str">
        <f>VLOOKUP(I614,CHOOSE({1,2},Table12[Native],Table12[Name]),2,0)</f>
        <v>Lǚliáng Shì</v>
      </c>
      <c r="O614" s="13" t="str">
        <f t="shared" si="18"/>
        <v>Liujiahui Zhen (Lǚliáng Shì)</v>
      </c>
      <c r="P614" s="13" t="str">
        <f t="shared" si="19"/>
        <v>Liujiahui Zhen (Lǚliáng Shì)</v>
      </c>
    </row>
    <row r="615" spans="1:16" hidden="1" x14ac:dyDescent="0.25">
      <c r="A615" t="s">
        <v>2278</v>
      </c>
      <c r="B615" t="str">
        <f>IF(COUNTIF(A:A,A615)&gt;1,_xlfn.CONCAT(A615," (",N615,")"),A615)</f>
        <v>Liújiātă Zhèn</v>
      </c>
      <c r="C615" t="str">
        <f>IF(COUNTIF(B:B,B615)&gt;1,_xlfn.CONCAT(A615," (",M615,")"),B615)</f>
        <v>Liújiātă Zhèn</v>
      </c>
      <c r="D615" t="s">
        <v>2279</v>
      </c>
      <c r="E615" t="s">
        <v>7</v>
      </c>
      <c r="F615" t="str">
        <f>_xlfn.CONCAT(D615,", ",H615,", ",I615,", ","山西省")</f>
        <v>刘家塔镇, 河曲县, 忻州市, 山西省</v>
      </c>
      <c r="G615">
        <v>9694</v>
      </c>
      <c r="H615" t="s">
        <v>2986</v>
      </c>
      <c r="I615" t="s">
        <v>2981</v>
      </c>
      <c r="J615">
        <f>VLOOKUP(F615,[1]!china_towns_second__2[[Column1]:[Y]],3,FALSE)</f>
        <v>39.383950130130003</v>
      </c>
      <c r="K615">
        <f>VLOOKUP(F615,[1]!china_towns_second__2[[Column1]:[Y]],2,FALSE)</f>
        <v>111.3620002</v>
      </c>
      <c r="L615" t="s">
        <v>4191</v>
      </c>
      <c r="M615" t="str">
        <f>VLOOKUP(H615,CHOOSE({1,2},Table12[Native],Table12[Name]),2,0)</f>
        <v>Héqŭ Xiàn</v>
      </c>
      <c r="N615" s="13" t="str">
        <f>VLOOKUP(I615,CHOOSE({1,2},Table12[Native],Table12[Name]),2,0)</f>
        <v>Xīnzhōu Shì</v>
      </c>
      <c r="O615" s="13" t="str">
        <f t="shared" si="18"/>
        <v>Liujiata Zhen (Xīnzhōu Shì)</v>
      </c>
      <c r="P615" s="13" t="str">
        <f t="shared" si="19"/>
        <v>Liujiata Zhen (Xīnzhōu Shì)</v>
      </c>
    </row>
    <row r="616" spans="1:16" hidden="1" x14ac:dyDescent="0.25">
      <c r="A616" t="s">
        <v>1214</v>
      </c>
      <c r="B616" t="str">
        <f>IF(COUNTIF(A:A,A616)&gt;1,_xlfn.CONCAT(A616," (",N616,")"),A616)</f>
        <v>Liújiāyuán Zhèn</v>
      </c>
      <c r="C616" t="str">
        <f>IF(COUNTIF(B:B,B616)&gt;1,_xlfn.CONCAT(A616," (",M616,")"),B616)</f>
        <v>Liújiāyuán Zhèn</v>
      </c>
      <c r="D616" t="s">
        <v>1215</v>
      </c>
      <c r="E616" t="s">
        <v>7</v>
      </c>
      <c r="F616" t="str">
        <f>_xlfn.CONCAT(D616,", ",H616,", ",I616,", ","山西省")</f>
        <v>刘家垣镇, 洪洞县, 临汾市, 山西省</v>
      </c>
      <c r="G616">
        <v>26486</v>
      </c>
      <c r="H616" t="s">
        <v>2933</v>
      </c>
      <c r="I616" t="s">
        <v>2927</v>
      </c>
      <c r="J616">
        <f>VLOOKUP(F616,[1]!china_towns_second__2[[Column1]:[Y]],3,FALSE)</f>
        <v>36.438932108503998</v>
      </c>
      <c r="K616">
        <f>VLOOKUP(F616,[1]!china_towns_second__2[[Column1]:[Y]],2,FALSE)</f>
        <v>111.5245972</v>
      </c>
      <c r="L616" t="s">
        <v>4192</v>
      </c>
      <c r="M616" t="str">
        <f>VLOOKUP(H616,CHOOSE({1,2},Table12[Native],Table12[Name]),2,0)</f>
        <v>Hóngdòng Xiàn</v>
      </c>
      <c r="N616" s="13" t="str">
        <f>VLOOKUP(I616,CHOOSE({1,2},Table12[Native],Table12[Name]),2,0)</f>
        <v>Línfén Shì</v>
      </c>
      <c r="O616" s="13" t="str">
        <f t="shared" si="18"/>
        <v>Liujiayuan Zhen (Línfén Shì)</v>
      </c>
      <c r="P616" s="13" t="str">
        <f t="shared" si="19"/>
        <v>Liujiayuan Zhen (Línfén Shì)</v>
      </c>
    </row>
    <row r="617" spans="1:16" hidden="1" x14ac:dyDescent="0.25">
      <c r="A617" t="s">
        <v>435</v>
      </c>
      <c r="B617" t="str">
        <f>IF(COUNTIF(A:A,A617)&gt;1,_xlfn.CONCAT(A617," (",N617,")"),A617)</f>
        <v>Liŭkē Xiāng</v>
      </c>
      <c r="C617" t="str">
        <f>IF(COUNTIF(B:B,B617)&gt;1,_xlfn.CONCAT(A617," (",M617,")"),B617)</f>
        <v>Liŭkē Xiāng</v>
      </c>
      <c r="D617" t="s">
        <v>436</v>
      </c>
      <c r="E617" t="s">
        <v>17</v>
      </c>
      <c r="F617" t="str">
        <f>_xlfn.CONCAT(D617,", ",H617,", ",I617,", ","山西省")</f>
        <v>柳科乡, 灵丘县, 大同市, 山西省</v>
      </c>
      <c r="G617">
        <v>5712</v>
      </c>
      <c r="H617" t="s">
        <v>2897</v>
      </c>
      <c r="I617" t="s">
        <v>2894</v>
      </c>
      <c r="J617" t="e">
        <f>VLOOKUP(F617,[1]!china_towns_second__2[[Column1]:[Y]],3,FALSE)</f>
        <v>#N/A</v>
      </c>
      <c r="K617" t="e">
        <f>VLOOKUP(F617,[1]!china_towns_second__2[[Column1]:[Y]],2,FALSE)</f>
        <v>#N/A</v>
      </c>
      <c r="L617" t="s">
        <v>4193</v>
      </c>
      <c r="M617" t="str">
        <f>VLOOKUP(H617,CHOOSE({1,2},Table12[Native],Table12[Name]),2,0)</f>
        <v>Língqiū Xiàn</v>
      </c>
      <c r="N617" s="13" t="str">
        <f>VLOOKUP(I617,CHOOSE({1,2},Table12[Native],Table12[Name]),2,0)</f>
        <v>Dàtóng Shì</v>
      </c>
      <c r="O617" s="13" t="str">
        <f t="shared" si="18"/>
        <v>Liuke Xiang (Dàtóng Shì)</v>
      </c>
      <c r="P617" s="13" t="str">
        <f t="shared" si="19"/>
        <v>Liuke Xiang (Dàtóng Shì)</v>
      </c>
    </row>
    <row r="618" spans="1:16" hidden="1" x14ac:dyDescent="0.25">
      <c r="A618" t="s">
        <v>1554</v>
      </c>
      <c r="B618" t="str">
        <f>IF(COUNTIF(A:A,A618)&gt;1,_xlfn.CONCAT(A618," (",N618,")"),A618)</f>
        <v>Liŭlín Zhèn</v>
      </c>
      <c r="C618" t="str">
        <f>IF(COUNTIF(B:B,B618)&gt;1,_xlfn.CONCAT(A618," (",M618,")"),B618)</f>
        <v>Liŭlín Zhèn</v>
      </c>
      <c r="D618" t="s">
        <v>1555</v>
      </c>
      <c r="E618" t="s">
        <v>7</v>
      </c>
      <c r="F618" t="str">
        <f>_xlfn.CONCAT(D618,", ",H618,", ",I618,", ","山西省")</f>
        <v>柳林镇, 柳林县, 吕梁市, 山西省</v>
      </c>
      <c r="G618">
        <v>112913</v>
      </c>
      <c r="H618" t="s">
        <v>2954</v>
      </c>
      <c r="I618" t="s">
        <v>2946</v>
      </c>
      <c r="J618">
        <f>VLOOKUP(F618,[1]!china_towns_second__2[[Column1]:[Y]],3,FALSE)</f>
        <v>37.476212230801401</v>
      </c>
      <c r="K618">
        <f>VLOOKUP(F618,[1]!china_towns_second__2[[Column1]:[Y]],2,FALSE)</f>
        <v>110.94322219999999</v>
      </c>
      <c r="L618" t="s">
        <v>4194</v>
      </c>
      <c r="M618" t="str">
        <f>VLOOKUP(H618,CHOOSE({1,2},Table12[Native],Table12[Name]),2,0)</f>
        <v>Liŭlín Xiàn</v>
      </c>
      <c r="N618" s="13" t="str">
        <f>VLOOKUP(I618,CHOOSE({1,2},Table12[Native],Table12[Name]),2,0)</f>
        <v>Lǚliáng Shì</v>
      </c>
      <c r="O618" s="13" t="str">
        <f t="shared" si="18"/>
        <v>Liulin Zhen (Lǚliáng Shì)</v>
      </c>
      <c r="P618" s="13" t="str">
        <f t="shared" si="19"/>
        <v>Liulin Zhen (Lǚliáng Shì)</v>
      </c>
    </row>
    <row r="619" spans="1:16" hidden="1" x14ac:dyDescent="0.25">
      <c r="A619" t="s">
        <v>701</v>
      </c>
      <c r="B619" t="str">
        <f>IF(COUNTIF(A:A,A619)&gt;1,_xlfn.CONCAT(A619," (",N619,")"),A619)</f>
        <v>Liùquán Xiāng</v>
      </c>
      <c r="C619" t="str">
        <f>IF(COUNTIF(B:B,B619)&gt;1,_xlfn.CONCAT(A619," (",M619,")"),B619)</f>
        <v>Liùquán Xiāng</v>
      </c>
      <c r="D619" t="s">
        <v>702</v>
      </c>
      <c r="E619" t="s">
        <v>17</v>
      </c>
      <c r="F619" t="str">
        <f>_xlfn.CONCAT(D619,", ",H619,", ",I619,", ","山西省")</f>
        <v>六泉乡, 陵川县, 晋城市, 山西省</v>
      </c>
      <c r="G619">
        <v>10426</v>
      </c>
      <c r="H619" t="s">
        <v>2909</v>
      </c>
      <c r="I619" t="s">
        <v>2906</v>
      </c>
      <c r="J619" t="e">
        <f>VLOOKUP(F619,[1]!china_towns_second__2[[Column1]:[Y]],3,FALSE)</f>
        <v>#N/A</v>
      </c>
      <c r="K619" t="e">
        <f>VLOOKUP(F619,[1]!china_towns_second__2[[Column1]:[Y]],2,FALSE)</f>
        <v>#N/A</v>
      </c>
      <c r="L619" t="s">
        <v>4195</v>
      </c>
      <c r="M619" t="str">
        <f>VLOOKUP(H619,CHOOSE({1,2},Table12[Native],Table12[Name]),2,0)</f>
        <v>Língchuān Xiàn</v>
      </c>
      <c r="N619" s="13" t="str">
        <f>VLOOKUP(I619,CHOOSE({1,2},Table12[Native],Table12[Name]),2,0)</f>
        <v>Jìnchéng Shì</v>
      </c>
      <c r="O619" s="13" t="str">
        <f t="shared" si="18"/>
        <v>Liuquan Xiang (Jìnchéng Shì)</v>
      </c>
      <c r="P619" s="13" t="str">
        <f t="shared" si="19"/>
        <v>Liuquan Xiang (Jìnchéng Shì)</v>
      </c>
    </row>
    <row r="620" spans="1:16" hidden="1" x14ac:dyDescent="0.25">
      <c r="A620" t="s">
        <v>703</v>
      </c>
      <c r="B620" t="str">
        <f>IF(COUNTIF(A:A,A620)&gt;1,_xlfn.CONCAT(A620," (",N620,")"),A620)</f>
        <v>Liŭshùkŏu Zhèn</v>
      </c>
      <c r="C620" t="str">
        <f>IF(COUNTIF(B:B,B620)&gt;1,_xlfn.CONCAT(A620," (",M620,")"),B620)</f>
        <v>Liŭshùkŏu Zhèn</v>
      </c>
      <c r="D620" t="s">
        <v>704</v>
      </c>
      <c r="E620" t="s">
        <v>7</v>
      </c>
      <c r="F620" t="str">
        <f>_xlfn.CONCAT(D620,", ",H620,", ",I620,", ","山西省")</f>
        <v>柳树口镇, 泽州县, 晋城市, 山西省</v>
      </c>
      <c r="G620">
        <v>14951</v>
      </c>
      <c r="H620" t="s">
        <v>2912</v>
      </c>
      <c r="I620" t="s">
        <v>2906</v>
      </c>
      <c r="J620">
        <f>VLOOKUP(F620,[1]!china_towns_second__2[[Column1]:[Y]],3,FALSE)</f>
        <v>35.452701726347698</v>
      </c>
      <c r="K620">
        <f>VLOOKUP(F620,[1]!china_towns_second__2[[Column1]:[Y]],2,FALSE)</f>
        <v>113.10431819999999</v>
      </c>
      <c r="L620" t="s">
        <v>4196</v>
      </c>
      <c r="M620" t="str">
        <f>VLOOKUP(H620,CHOOSE({1,2},Table12[Native],Table12[Name]),2,0)</f>
        <v>Zézhōu Xiàn</v>
      </c>
      <c r="N620" s="13" t="str">
        <f>VLOOKUP(I620,CHOOSE({1,2},Table12[Native],Table12[Name]),2,0)</f>
        <v>Jìnchéng Shì</v>
      </c>
      <c r="O620" s="13" t="str">
        <f t="shared" si="18"/>
        <v>Liushukou Zhen (Jìnchéng Shì)</v>
      </c>
      <c r="P620" s="13" t="str">
        <f t="shared" si="19"/>
        <v>Liushukou Zhen (Jìnchéng Shì)</v>
      </c>
    </row>
    <row r="621" spans="1:16" hidden="1" x14ac:dyDescent="0.25">
      <c r="A621" t="s">
        <v>1980</v>
      </c>
      <c r="B621" t="str">
        <f>IF(COUNTIF(A:A,A621)&gt;1,_xlfn.CONCAT(A621," (",N621,")"),A621)</f>
        <v>Liŭxiàng Jiēdào</v>
      </c>
      <c r="C621" t="str">
        <f>IF(COUNTIF(B:B,B621)&gt;1,_xlfn.CONCAT(A621," (",M621,")"),B621)</f>
        <v>Liŭxiàng Jiēdào</v>
      </c>
      <c r="D621" t="s">
        <v>1981</v>
      </c>
      <c r="E621" t="s">
        <v>31</v>
      </c>
      <c r="F621" t="str">
        <f>_xlfn.CONCAT(D621,", ",H621,", ",I621,", ","山西省")</f>
        <v>柳巷街道, 迎泽区, 太原市, 山西省</v>
      </c>
      <c r="G621">
        <v>39581</v>
      </c>
      <c r="H621" t="s">
        <v>2979</v>
      </c>
      <c r="I621" t="s">
        <v>2969</v>
      </c>
      <c r="J621">
        <f>VLOOKUP(F621,[1]!china_towns_second__2[[Column1]:[Y]],3,FALSE)</f>
        <v>37.864949715597099</v>
      </c>
      <c r="K621">
        <f>VLOOKUP(F621,[1]!china_towns_second__2[[Column1]:[Y]],2,FALSE)</f>
        <v>112.5604642</v>
      </c>
      <c r="L621" t="s">
        <v>4197</v>
      </c>
      <c r="M621" t="str">
        <f>VLOOKUP(H621,CHOOSE({1,2},Table12[Native],Table12[Name]),2,0)</f>
        <v>Yíngzé Qū</v>
      </c>
      <c r="N621" s="13" t="str">
        <f>VLOOKUP(I621,CHOOSE({1,2},Table12[Native],Table12[Name]),2,0)</f>
        <v>Tàiyuán Shì</v>
      </c>
      <c r="O621" s="13" t="str">
        <f t="shared" si="18"/>
        <v>Liuxiang Jiedao (Tàiyuán Shì)</v>
      </c>
      <c r="P621" s="13" t="str">
        <f t="shared" si="19"/>
        <v>Liuxiang Jiedao (Tàiyuán Shì)</v>
      </c>
    </row>
    <row r="622" spans="1:16" hidden="1" x14ac:dyDescent="0.25">
      <c r="A622" t="s">
        <v>1556</v>
      </c>
      <c r="B622" t="str">
        <f>IF(COUNTIF(A:A,A622)&gt;1,_xlfn.CONCAT(A622," (",N622,")"),A622)</f>
        <v>Liúyù Zhèn</v>
      </c>
      <c r="C622" t="str">
        <f>IF(COUNTIF(B:B,B622)&gt;1,_xlfn.CONCAT(A622," (",M622,")"),B622)</f>
        <v>Liúyù Zhèn</v>
      </c>
      <c r="D622" t="s">
        <v>1557</v>
      </c>
      <c r="E622" t="s">
        <v>7</v>
      </c>
      <c r="F622" t="str">
        <f>_xlfn.CONCAT(D622,", ",H622,", ",I622,", ","山西省")</f>
        <v>留誉镇, 柳林县, 吕梁市, 山西省</v>
      </c>
      <c r="G622">
        <v>12606</v>
      </c>
      <c r="H622" t="s">
        <v>2954</v>
      </c>
      <c r="I622" t="s">
        <v>2946</v>
      </c>
      <c r="J622">
        <f>VLOOKUP(F622,[1]!china_towns_second__2[[Column1]:[Y]],3,FALSE)</f>
        <v>37.225232095487797</v>
      </c>
      <c r="K622">
        <f>VLOOKUP(F622,[1]!china_towns_second__2[[Column1]:[Y]],2,FALSE)</f>
        <v>110.8734772</v>
      </c>
      <c r="L622" t="s">
        <v>4198</v>
      </c>
      <c r="M622" t="str">
        <f>VLOOKUP(H622,CHOOSE({1,2},Table12[Native],Table12[Name]),2,0)</f>
        <v>Liŭlín Xiàn</v>
      </c>
      <c r="N622" s="13" t="str">
        <f>VLOOKUP(I622,CHOOSE({1,2},Table12[Native],Table12[Name]),2,0)</f>
        <v>Lǚliáng Shì</v>
      </c>
      <c r="O622" s="13" t="str">
        <f t="shared" si="18"/>
        <v>Liuyu Zhen (Lǚliáng Shì)</v>
      </c>
      <c r="P622" s="13" t="str">
        <f t="shared" si="19"/>
        <v>Liuyu Zhen (Lǚliáng Shì)</v>
      </c>
    </row>
    <row r="623" spans="1:16" hidden="1" x14ac:dyDescent="0.25">
      <c r="A623" t="s">
        <v>2709</v>
      </c>
      <c r="B623" t="str">
        <f>IF(COUNTIF(A:A,A623)&gt;1,_xlfn.CONCAT(A623," (",N623,")"),A623)</f>
        <v>Lĭwàng Xiāng</v>
      </c>
      <c r="C623" t="str">
        <f>IF(COUNTIF(B:B,B623)&gt;1,_xlfn.CONCAT(A623," (",M623,")"),B623)</f>
        <v>Lĭwàng Xiāng</v>
      </c>
      <c r="D623" t="s">
        <v>2710</v>
      </c>
      <c r="E623" t="s">
        <v>17</v>
      </c>
      <c r="F623" t="str">
        <f>_xlfn.CONCAT(D623,", ",H623,", ",I623,", ","山西省")</f>
        <v>里望乡, 万荣县, 运城市, 山西省</v>
      </c>
      <c r="G623">
        <v>25586</v>
      </c>
      <c r="H623" t="s">
        <v>3010</v>
      </c>
      <c r="I623" t="s">
        <v>3003</v>
      </c>
      <c r="J623" t="e">
        <f>VLOOKUP(F623,[1]!china_towns_second__2[[Column1]:[Y]],3,FALSE)</f>
        <v>#N/A</v>
      </c>
      <c r="K623" t="e">
        <f>VLOOKUP(F623,[1]!china_towns_second__2[[Column1]:[Y]],2,FALSE)</f>
        <v>#N/A</v>
      </c>
      <c r="L623" t="s">
        <v>4199</v>
      </c>
      <c r="M623" t="str">
        <f>VLOOKUP(H623,CHOOSE({1,2},Table12[Native],Table12[Name]),2,0)</f>
        <v>Wànróng Xiàn</v>
      </c>
      <c r="N623" s="13" t="str">
        <f>VLOOKUP(I623,CHOOSE({1,2},Table12[Native],Table12[Name]),2,0)</f>
        <v>Yùnchéng Shì</v>
      </c>
      <c r="O623" s="13" t="str">
        <f t="shared" si="18"/>
        <v>Liwang Xiang (Yùnchéng Shì)</v>
      </c>
      <c r="P623" s="13" t="str">
        <f t="shared" si="19"/>
        <v>Liwang Xiang (Yùnchéng Shì)</v>
      </c>
    </row>
    <row r="624" spans="1:16" hidden="1" x14ac:dyDescent="0.25">
      <c r="A624" t="s">
        <v>912</v>
      </c>
      <c r="B624" t="str">
        <f>IF(COUNTIF(A:A,A624)&gt;1,_xlfn.CONCAT(A624," (",N624,")"),A624)</f>
        <v>Lĭyáng Zhèn</v>
      </c>
      <c r="C624" t="str">
        <f>IF(COUNTIF(B:B,B624)&gt;1,_xlfn.CONCAT(A624," (",M624,")"),B624)</f>
        <v>Lĭyáng Zhèn</v>
      </c>
      <c r="D624" t="s">
        <v>913</v>
      </c>
      <c r="E624" t="s">
        <v>7</v>
      </c>
      <c r="F624" t="str">
        <f>_xlfn.CONCAT(D624,", ",H624,", ",I624,", ","山西省")</f>
        <v>李阳镇, 和顺县, 晋中市, 山西省</v>
      </c>
      <c r="G624">
        <v>17748</v>
      </c>
      <c r="H624" t="s">
        <v>2915</v>
      </c>
      <c r="I624" t="s">
        <v>2914</v>
      </c>
      <c r="J624">
        <f>VLOOKUP(F624,[1]!china_towns_second__2[[Column1]:[Y]],3,FALSE)</f>
        <v>37.421198850672504</v>
      </c>
      <c r="K624">
        <f>VLOOKUP(F624,[1]!china_towns_second__2[[Column1]:[Y]],2,FALSE)</f>
        <v>113.5954548</v>
      </c>
      <c r="L624" t="s">
        <v>4200</v>
      </c>
      <c r="M624" t="str">
        <f>VLOOKUP(H624,CHOOSE({1,2},Table12[Native],Table12[Name]),2,0)</f>
        <v>Héshùn Xiàn</v>
      </c>
      <c r="N624" s="13" t="str">
        <f>VLOOKUP(I624,CHOOSE({1,2},Table12[Native],Table12[Name]),2,0)</f>
        <v>Jìnzhōng Shì</v>
      </c>
      <c r="O624" s="13" t="str">
        <f t="shared" si="18"/>
        <v>Liyang Zhen (Jìnzhōng Shì)</v>
      </c>
      <c r="P624" s="13" t="str">
        <f t="shared" si="19"/>
        <v>Liyang Zhen (Jìnzhōng Shì)</v>
      </c>
    </row>
    <row r="625" spans="1:16" hidden="1" x14ac:dyDescent="0.25">
      <c r="A625" t="s">
        <v>705</v>
      </c>
      <c r="B625" t="str">
        <f>IF(COUNTIF(A:A,A625)&gt;1,_xlfn.CONCAT(A625," (",N625,")"),A625)</f>
        <v>Lĭyì Zhèn</v>
      </c>
      <c r="C625" t="str">
        <f>IF(COUNTIF(B:B,B625)&gt;1,_xlfn.CONCAT(A625," (",M625,")"),B625)</f>
        <v>Lĭyì Zhèn</v>
      </c>
      <c r="D625" t="s">
        <v>706</v>
      </c>
      <c r="E625" t="s">
        <v>7</v>
      </c>
      <c r="F625" t="str">
        <f>_xlfn.CONCAT(D625,", ",H625,", ",I625,", ","山西省")</f>
        <v>礼义镇, 陵川县, 晋城市, 山西省</v>
      </c>
      <c r="G625">
        <v>28408</v>
      </c>
      <c r="H625" t="s">
        <v>2909</v>
      </c>
      <c r="I625" t="s">
        <v>2906</v>
      </c>
      <c r="J625">
        <f>VLOOKUP(F625,[1]!china_towns_second__2[[Column1]:[Y]],3,FALSE)</f>
        <v>35.7904716735083</v>
      </c>
      <c r="K625">
        <f>VLOOKUP(F625,[1]!china_towns_second__2[[Column1]:[Y]],2,FALSE)</f>
        <v>113.15508</v>
      </c>
      <c r="L625" t="s">
        <v>4201</v>
      </c>
      <c r="M625" t="str">
        <f>VLOOKUP(H625,CHOOSE({1,2},Table12[Native],Table12[Name]),2,0)</f>
        <v>Língchuān Xiàn</v>
      </c>
      <c r="N625" s="13" t="str">
        <f>VLOOKUP(I625,CHOOSE({1,2},Table12[Native],Table12[Name]),2,0)</f>
        <v>Jìnchéng Shì</v>
      </c>
      <c r="O625" s="13" t="str">
        <f t="shared" si="18"/>
        <v>Liyi Zhen (Jìnchéng Shì)</v>
      </c>
      <c r="P625" s="13" t="str">
        <f t="shared" si="19"/>
        <v>Liyi Zhen (Jìnchéng Shì)</v>
      </c>
    </row>
    <row r="626" spans="1:16" hidden="1" x14ac:dyDescent="0.25">
      <c r="A626" t="s">
        <v>169</v>
      </c>
      <c r="B626" t="str">
        <f>IF(COUNTIF(A:A,A626)&gt;1,_xlfn.CONCAT(A626," (",N626,")"),A626)</f>
        <v>Lĭyuán Zhèn (Chángzhì Shì)</v>
      </c>
      <c r="C626" t="str">
        <f>IF(COUNTIF(B:B,B626)&gt;1,_xlfn.CONCAT(A626," (",M626,")"),B626)</f>
        <v>Lĭyuán Zhèn (Chángzhì Shì)</v>
      </c>
      <c r="D626" t="s">
        <v>170</v>
      </c>
      <c r="E626" t="s">
        <v>7</v>
      </c>
      <c r="F626" t="str">
        <f>_xlfn.CONCAT(D626,", ",H626,", ",I626,", ","山西省")</f>
        <v>李元镇, 沁源县, 长治市, 山西省</v>
      </c>
      <c r="G626">
        <v>14695</v>
      </c>
      <c r="H626" t="s">
        <v>2888</v>
      </c>
      <c r="I626" t="s">
        <v>2878</v>
      </c>
      <c r="J626">
        <f>VLOOKUP(F626,[1]!china_towns_second__2[[Column1]:[Y]],3,FALSE)</f>
        <v>36.586103330561698</v>
      </c>
      <c r="K626">
        <f>VLOOKUP(F626,[1]!china_towns_second__2[[Column1]:[Y]],2,FALSE)</f>
        <v>112.23546880000001</v>
      </c>
      <c r="L626" t="s">
        <v>4202</v>
      </c>
      <c r="M626" t="str">
        <f>VLOOKUP(H626,CHOOSE({1,2},Table12[Native],Table12[Name]),2,0)</f>
        <v>Qìnyuán Xiàn</v>
      </c>
      <c r="N626" s="13" t="str">
        <f>VLOOKUP(I626,CHOOSE({1,2},Table12[Native],Table12[Name]),2,0)</f>
        <v>Chángzhì Shì</v>
      </c>
      <c r="O626" s="13" t="str">
        <f t="shared" si="18"/>
        <v>Liyuan Zhen (Changzhi Shi) (Chángzhì Shì)</v>
      </c>
      <c r="P626" s="13" t="str">
        <f t="shared" si="19"/>
        <v>Liyuan Zhen (Changzhi Shi) (Chángzhì Shì)</v>
      </c>
    </row>
    <row r="627" spans="1:16" hidden="1" x14ac:dyDescent="0.25">
      <c r="A627" t="s">
        <v>169</v>
      </c>
      <c r="B627" t="str">
        <f>IF(COUNTIF(A:A,A627)&gt;1,_xlfn.CONCAT(A627," (",N627,")"),A627)</f>
        <v>Lĭyuán Zhèn (Yùnchéng Shì)</v>
      </c>
      <c r="C627" t="str">
        <f>IF(COUNTIF(B:B,B627)&gt;1,_xlfn.CONCAT(A627," (",M627,")"),B627)</f>
        <v>Lĭyuán Zhèn (Yùnchéng Shì)</v>
      </c>
      <c r="D627" t="s">
        <v>2711</v>
      </c>
      <c r="E627" t="s">
        <v>7</v>
      </c>
      <c r="F627" t="str">
        <f>_xlfn.CONCAT(D627,", ",H627,", ",I627,", ","山西省")</f>
        <v>礼元镇, 闻喜县, 运城市, 山西省</v>
      </c>
      <c r="G627">
        <v>31921</v>
      </c>
      <c r="H627" t="s">
        <v>3011</v>
      </c>
      <c r="I627" t="s">
        <v>3003</v>
      </c>
      <c r="J627">
        <f>VLOOKUP(F627,[1]!china_towns_second__2[[Column1]:[Y]],3,FALSE)</f>
        <v>35.5198737054519</v>
      </c>
      <c r="K627">
        <f>VLOOKUP(F627,[1]!china_towns_second__2[[Column1]:[Y]],2,FALSE)</f>
        <v>111.3336948</v>
      </c>
      <c r="L627" t="s">
        <v>4203</v>
      </c>
      <c r="M627" t="str">
        <f>VLOOKUP(H627,CHOOSE({1,2},Table12[Native],Table12[Name]),2,0)</f>
        <v>Wénxĭ Xiàn</v>
      </c>
      <c r="N627" s="13" t="str">
        <f>VLOOKUP(I627,CHOOSE({1,2},Table12[Native],Table12[Name]),2,0)</f>
        <v>Yùnchéng Shì</v>
      </c>
      <c r="O627" s="13" t="str">
        <f t="shared" si="18"/>
        <v>Liyuan Zhen (Yuncheng Shi) (Yùnchéng Shì)</v>
      </c>
      <c r="P627" s="13" t="str">
        <f t="shared" si="19"/>
        <v>Liyuan Zhen (Yuncheng Shi) (Yùnchéng Shì)</v>
      </c>
    </row>
    <row r="628" spans="1:16" hidden="1" x14ac:dyDescent="0.25">
      <c r="A628" t="s">
        <v>707</v>
      </c>
      <c r="B628" t="str">
        <f>IF(COUNTIF(A:A,A628)&gt;1,_xlfn.CONCAT(A628," (",N628,")"),A628)</f>
        <v>Lĭzhài Xiāng</v>
      </c>
      <c r="C628" t="str">
        <f>IF(COUNTIF(B:B,B628)&gt;1,_xlfn.CONCAT(A628," (",M628,")"),B628)</f>
        <v>Lĭzhài Xiāng</v>
      </c>
      <c r="D628" t="s">
        <v>708</v>
      </c>
      <c r="E628" t="s">
        <v>17</v>
      </c>
      <c r="F628" t="str">
        <f>_xlfn.CONCAT(D628,", ",H628,", ",I628,", ","山西省")</f>
        <v>李寨乡, 泽州县, 晋城市, 山西省</v>
      </c>
      <c r="G628">
        <v>12093</v>
      </c>
      <c r="H628" t="s">
        <v>2912</v>
      </c>
      <c r="I628" t="s">
        <v>2906</v>
      </c>
      <c r="J628" t="e">
        <f>VLOOKUP(F628,[1]!china_towns_second__2[[Column1]:[Y]],3,FALSE)</f>
        <v>#N/A</v>
      </c>
      <c r="K628" t="e">
        <f>VLOOKUP(F628,[1]!china_towns_second__2[[Column1]:[Y]],2,FALSE)</f>
        <v>#N/A</v>
      </c>
      <c r="L628" t="s">
        <v>4204</v>
      </c>
      <c r="M628" t="str">
        <f>VLOOKUP(H628,CHOOSE({1,2},Table12[Native],Table12[Name]),2,0)</f>
        <v>Zézhōu Xiàn</v>
      </c>
      <c r="N628" s="13" t="str">
        <f>VLOOKUP(I628,CHOOSE({1,2},Table12[Native],Table12[Name]),2,0)</f>
        <v>Jìnchéng Shì</v>
      </c>
      <c r="O628" s="13" t="str">
        <f t="shared" si="18"/>
        <v>Lizhai Xiang (Jìnchéng Shì)</v>
      </c>
      <c r="P628" s="13" t="str">
        <f t="shared" si="19"/>
        <v>Lizhai Xiang (Jìnchéng Shì)</v>
      </c>
    </row>
    <row r="629" spans="1:16" hidden="1" x14ac:dyDescent="0.25">
      <c r="A629" t="s">
        <v>1216</v>
      </c>
      <c r="B629" t="str">
        <f>IF(COUNTIF(A:A,A629)&gt;1,_xlfn.CONCAT(A629," (",N629,")"),A629)</f>
        <v>Lĭzhài Zhèn</v>
      </c>
      <c r="C629" t="str">
        <f>IF(COUNTIF(B:B,B629)&gt;1,_xlfn.CONCAT(A629," (",M629,")"),B629)</f>
        <v>Lĭzhài Zhèn</v>
      </c>
      <c r="D629" t="s">
        <v>1217</v>
      </c>
      <c r="E629" t="s">
        <v>7</v>
      </c>
      <c r="F629" t="str">
        <f>_xlfn.CONCAT(D629,", ",H629,", ",I629,", ","山西省")</f>
        <v>里砦镇, 翼城县, 临汾市, 山西省</v>
      </c>
      <c r="G629">
        <v>29011</v>
      </c>
      <c r="H629" t="s">
        <v>2943</v>
      </c>
      <c r="I629" t="s">
        <v>2927</v>
      </c>
      <c r="J629">
        <f>VLOOKUP(F629,[1]!china_towns_second__2[[Column1]:[Y]],3,FALSE)</f>
        <v>35.786966865062602</v>
      </c>
      <c r="K629">
        <f>VLOOKUP(F629,[1]!china_towns_second__2[[Column1]:[Y]],2,FALSE)</f>
        <v>111.6175571</v>
      </c>
      <c r="L629" t="s">
        <v>4205</v>
      </c>
      <c r="M629" t="str">
        <f>VLOOKUP(H629,CHOOSE({1,2},Table12[Native],Table12[Name]),2,0)</f>
        <v>Yìchéng Xiàn</v>
      </c>
      <c r="N629" s="13" t="str">
        <f>VLOOKUP(I629,CHOOSE({1,2},Table12[Native],Table12[Name]),2,0)</f>
        <v>Línfén Shì</v>
      </c>
      <c r="O629" s="13" t="str">
        <f t="shared" si="18"/>
        <v>Lizhai Zhen (Línfén Shì)</v>
      </c>
      <c r="P629" s="13" t="str">
        <f t="shared" si="19"/>
        <v>Lizhai Zhen (Línfén Shì)</v>
      </c>
    </row>
    <row r="630" spans="1:16" hidden="1" x14ac:dyDescent="0.25">
      <c r="A630" t="s">
        <v>914</v>
      </c>
      <c r="B630" t="str">
        <f>IF(COUNTIF(A:A,A630)&gt;1,_xlfn.CONCAT(A630," (",N630,")"),A630)</f>
        <v>Lóngfèng Zhèn</v>
      </c>
      <c r="C630" t="str">
        <f>IF(COUNTIF(B:B,B630)&gt;1,_xlfn.CONCAT(A630," (",M630,")"),B630)</f>
        <v>Lóngfèng Zhèn</v>
      </c>
      <c r="D630" t="s">
        <v>915</v>
      </c>
      <c r="E630" t="s">
        <v>7</v>
      </c>
      <c r="F630" t="str">
        <f>_xlfn.CONCAT(D630,", ",H630,", ",I630,", ","山西省")</f>
        <v>龙凤镇, 介休市, 晋中市, 山西省</v>
      </c>
      <c r="G630">
        <v>12666</v>
      </c>
      <c r="H630" t="s">
        <v>2916</v>
      </c>
      <c r="I630" t="s">
        <v>2914</v>
      </c>
      <c r="J630">
        <f>VLOOKUP(F630,[1]!china_towns_second__2[[Column1]:[Y]],3,FALSE)</f>
        <v>36.958186108273097</v>
      </c>
      <c r="K630">
        <f>VLOOKUP(F630,[1]!china_towns_second__2[[Column1]:[Y]],2,FALSE)</f>
        <v>112.0079641</v>
      </c>
      <c r="L630" t="s">
        <v>4206</v>
      </c>
      <c r="M630" t="str">
        <f>VLOOKUP(H630,CHOOSE({1,2},Table12[Native],Table12[Name]),2,0)</f>
        <v>Jièxiū Shì</v>
      </c>
      <c r="N630" s="13" t="str">
        <f>VLOOKUP(I630,CHOOSE({1,2},Table12[Native],Table12[Name]),2,0)</f>
        <v>Jìnzhōng Shì</v>
      </c>
      <c r="O630" s="13" t="str">
        <f t="shared" si="18"/>
        <v>Longfeng Zhen (Jìnzhōng Shì)</v>
      </c>
      <c r="P630" s="13" t="str">
        <f t="shared" si="19"/>
        <v>Longfeng Zhen (Jìnzhōng Shì)</v>
      </c>
    </row>
    <row r="631" spans="1:16" hidden="1" x14ac:dyDescent="0.25">
      <c r="A631" t="s">
        <v>709</v>
      </c>
      <c r="B631" t="str">
        <f>IF(COUNTIF(A:A,A631)&gt;1,_xlfn.CONCAT(A631," (",N631,")"),A631)</f>
        <v>Lónggăng Zhèn</v>
      </c>
      <c r="C631" t="str">
        <f>IF(COUNTIF(B:B,B631)&gt;1,_xlfn.CONCAT(A631," (",M631,")"),B631)</f>
        <v>Lónggăng Zhèn</v>
      </c>
      <c r="D631" t="s">
        <v>710</v>
      </c>
      <c r="E631" t="s">
        <v>7</v>
      </c>
      <c r="F631" t="str">
        <f>_xlfn.CONCAT(D631,", ",H631,", ",I631,", ","山西省")</f>
        <v>龙港镇, 沁水县, 晋城市, 山西省</v>
      </c>
      <c r="G631">
        <v>58660</v>
      </c>
      <c r="H631" t="s">
        <v>2910</v>
      </c>
      <c r="I631" t="s">
        <v>2906</v>
      </c>
      <c r="J631">
        <f>VLOOKUP(F631,[1]!china_towns_second__2[[Column1]:[Y]],3,FALSE)</f>
        <v>35.692988801380501</v>
      </c>
      <c r="K631">
        <f>VLOOKUP(F631,[1]!china_towns_second__2[[Column1]:[Y]],2,FALSE)</f>
        <v>112.1425</v>
      </c>
      <c r="L631" t="s">
        <v>4207</v>
      </c>
      <c r="M631" t="str">
        <f>VLOOKUP(H631,CHOOSE({1,2},Table12[Native],Table12[Name]),2,0)</f>
        <v>Qìnshuǐ Xiàn</v>
      </c>
      <c r="N631" s="13" t="str">
        <f>VLOOKUP(I631,CHOOSE({1,2},Table12[Native],Table12[Name]),2,0)</f>
        <v>Jìnchéng Shì</v>
      </c>
      <c r="O631" s="13" t="str">
        <f t="shared" si="18"/>
        <v>Longgang Zhen (Jìnchéng Shì)</v>
      </c>
      <c r="P631" s="13" t="str">
        <f t="shared" si="19"/>
        <v>Longgang Zhen (Jìnchéng Shì)</v>
      </c>
    </row>
    <row r="632" spans="1:16" hidden="1" x14ac:dyDescent="0.25">
      <c r="A632" t="s">
        <v>1218</v>
      </c>
      <c r="B632" t="str">
        <f>IF(COUNTIF(A:A,A632)&gt;1,_xlfn.CONCAT(A632," (",N632,")"),A632)</f>
        <v>Lónghuà Zhèn</v>
      </c>
      <c r="C632" t="str">
        <f>IF(COUNTIF(B:B,B632)&gt;1,_xlfn.CONCAT(A632," (",M632,")"),B632)</f>
        <v>Lónghuà Zhèn</v>
      </c>
      <c r="D632" t="s">
        <v>1219</v>
      </c>
      <c r="E632" t="s">
        <v>7</v>
      </c>
      <c r="F632" t="str">
        <f>_xlfn.CONCAT(D632,", ",H632,", ",I632,", ","山西省")</f>
        <v>隆化镇, 翼城县, 临汾市, 山西省</v>
      </c>
      <c r="G632">
        <v>36426</v>
      </c>
      <c r="H632" t="s">
        <v>2943</v>
      </c>
      <c r="I632" t="s">
        <v>2927</v>
      </c>
      <c r="J632">
        <f>VLOOKUP(F632,[1]!china_towns_second__2[[Column1]:[Y]],3,FALSE)</f>
        <v>35.764446600871203</v>
      </c>
      <c r="K632">
        <f>VLOOKUP(F632,[1]!china_towns_second__2[[Column1]:[Y]],2,FALSE)</f>
        <v>111.9072184</v>
      </c>
      <c r="L632" t="s">
        <v>4208</v>
      </c>
      <c r="M632" t="str">
        <f>VLOOKUP(H632,CHOOSE({1,2},Table12[Native],Table12[Name]),2,0)</f>
        <v>Yìchéng Xiàn</v>
      </c>
      <c r="N632" s="13" t="str">
        <f>VLOOKUP(I632,CHOOSE({1,2},Table12[Native],Table12[Name]),2,0)</f>
        <v>Línfén Shì</v>
      </c>
      <c r="O632" s="13" t="str">
        <f t="shared" si="18"/>
        <v>Longhua Zhen (Línfén Shì)</v>
      </c>
      <c r="P632" s="13" t="str">
        <f t="shared" si="19"/>
        <v>Longhua Zhen (Línfén Shì)</v>
      </c>
    </row>
    <row r="633" spans="1:16" hidden="1" x14ac:dyDescent="0.25">
      <c r="A633" t="s">
        <v>1558</v>
      </c>
      <c r="B633" t="str">
        <f>IF(COUNTIF(A:A,A633)&gt;1,_xlfn.CONCAT(A633," (",N633,")"),A633)</f>
        <v>Lóngjiāo Xiāng</v>
      </c>
      <c r="C633" t="str">
        <f>IF(COUNTIF(B:B,B633)&gt;1,_xlfn.CONCAT(A633," (",M633,")"),B633)</f>
        <v>Lóngjiāo Xiāng</v>
      </c>
      <c r="D633" t="s">
        <v>1559</v>
      </c>
      <c r="E633" t="s">
        <v>17</v>
      </c>
      <c r="F633" t="str">
        <f>_xlfn.CONCAT(D633,", ",H633,", ",I633,", ","山西省")</f>
        <v>龙交乡, 石楼县, 吕梁市, 山西省</v>
      </c>
      <c r="G633">
        <v>9703</v>
      </c>
      <c r="H633" t="s">
        <v>2955</v>
      </c>
      <c r="I633" t="s">
        <v>2946</v>
      </c>
      <c r="J633" t="e">
        <f>VLOOKUP(F633,[1]!china_towns_second__2[[Column1]:[Y]],3,FALSE)</f>
        <v>#N/A</v>
      </c>
      <c r="K633" t="e">
        <f>VLOOKUP(F633,[1]!china_towns_second__2[[Column1]:[Y]],2,FALSE)</f>
        <v>#N/A</v>
      </c>
      <c r="L633" t="s">
        <v>4209</v>
      </c>
      <c r="M633" t="str">
        <f>VLOOKUP(H633,CHOOSE({1,2},Table12[Native],Table12[Name]),2,0)</f>
        <v>Shílóu Xiàn</v>
      </c>
      <c r="N633" s="13" t="str">
        <f>VLOOKUP(I633,CHOOSE({1,2},Table12[Native],Table12[Name]),2,0)</f>
        <v>Lǚliáng Shì</v>
      </c>
      <c r="O633" s="13" t="str">
        <f t="shared" si="18"/>
        <v>Longjiao Xiang (Lǚliáng Shì)</v>
      </c>
      <c r="P633" s="13" t="str">
        <f t="shared" si="19"/>
        <v>Longjiao Xiang (Lǚliáng Shì)</v>
      </c>
    </row>
    <row r="634" spans="1:16" hidden="1" x14ac:dyDescent="0.25">
      <c r="A634" t="s">
        <v>2712</v>
      </c>
      <c r="B634" t="str">
        <f>IF(COUNTIF(A:A,A634)&gt;1,_xlfn.CONCAT(A634," (",N634,")"),A634)</f>
        <v>Lóngjū Zhèn</v>
      </c>
      <c r="C634" t="str">
        <f>IF(COUNTIF(B:B,B634)&gt;1,_xlfn.CONCAT(A634," (",M634,")"),B634)</f>
        <v>Lóngjū Zhèn</v>
      </c>
      <c r="D634" t="s">
        <v>2713</v>
      </c>
      <c r="E634" t="s">
        <v>7</v>
      </c>
      <c r="F634" t="str">
        <f>_xlfn.CONCAT(D634,", ",H634,", ",I634,", ","山西省")</f>
        <v>龙居镇, 盐湖区, 运城市, 山西省</v>
      </c>
      <c r="G634">
        <v>34720</v>
      </c>
      <c r="H634" t="s">
        <v>3014</v>
      </c>
      <c r="I634" t="s">
        <v>3003</v>
      </c>
      <c r="J634">
        <f>VLOOKUP(F634,[1]!china_towns_second__2[[Column1]:[Y]],3,FALSE)</f>
        <v>35.004897213525403</v>
      </c>
      <c r="K634">
        <f>VLOOKUP(F634,[1]!china_towns_second__2[[Column1]:[Y]],2,FALSE)</f>
        <v>110.8843693</v>
      </c>
      <c r="L634" t="s">
        <v>4210</v>
      </c>
      <c r="M634" t="str">
        <f>VLOOKUP(H634,CHOOSE({1,2},Table12[Native],Table12[Name]),2,0)</f>
        <v>Yánhú Qū</v>
      </c>
      <c r="N634" s="13" t="str">
        <f>VLOOKUP(I634,CHOOSE({1,2},Table12[Native],Table12[Name]),2,0)</f>
        <v>Yùnchéng Shì</v>
      </c>
      <c r="O634" s="13" t="str">
        <f t="shared" si="18"/>
        <v>Longju Zhen (Yùnchéng Shì)</v>
      </c>
      <c r="P634" s="13" t="str">
        <f t="shared" si="19"/>
        <v>Longju Zhen (Yùnchéng Shì)</v>
      </c>
    </row>
    <row r="635" spans="1:16" hidden="1" x14ac:dyDescent="0.25">
      <c r="A635" t="s">
        <v>1220</v>
      </c>
      <c r="B635" t="str">
        <f>IF(COUNTIF(A:A,A635)&gt;1,_xlfn.CONCAT(A635," (",N635,")"),A635)</f>
        <v>Lóngmă Xiāng</v>
      </c>
      <c r="C635" t="str">
        <f>IF(COUNTIF(B:B,B635)&gt;1,_xlfn.CONCAT(A635," (",M635,")"),B635)</f>
        <v>Lóngmă Xiāng</v>
      </c>
      <c r="D635" t="s">
        <v>1221</v>
      </c>
      <c r="E635" t="s">
        <v>17</v>
      </c>
      <c r="F635" t="str">
        <f>_xlfn.CONCAT(D635,", ",H635,", ",I635,", ","山西省")</f>
        <v>龙马乡, 洪洞县, 临汾市, 山西省</v>
      </c>
      <c r="G635">
        <v>25581</v>
      </c>
      <c r="H635" t="s">
        <v>2933</v>
      </c>
      <c r="I635" t="s">
        <v>2927</v>
      </c>
      <c r="J635" t="e">
        <f>VLOOKUP(F635,[1]!china_towns_second__2[[Column1]:[Y]],3,FALSE)</f>
        <v>#N/A</v>
      </c>
      <c r="K635" t="e">
        <f>VLOOKUP(F635,[1]!china_towns_second__2[[Column1]:[Y]],2,FALSE)</f>
        <v>#N/A</v>
      </c>
      <c r="L635" t="s">
        <v>4211</v>
      </c>
      <c r="M635" t="str">
        <f>VLOOKUP(H635,CHOOSE({1,2},Table12[Native],Table12[Name]),2,0)</f>
        <v>Hóngdòng Xiàn</v>
      </c>
      <c r="N635" s="13" t="str">
        <f>VLOOKUP(I635,CHOOSE({1,2},Table12[Native],Table12[Name]),2,0)</f>
        <v>Línfén Shì</v>
      </c>
      <c r="O635" s="13" t="str">
        <f t="shared" si="18"/>
        <v>Longma Xiang (Línfén Shì)</v>
      </c>
      <c r="P635" s="13" t="str">
        <f t="shared" si="19"/>
        <v>Longma Xiang (Línfén Shì)</v>
      </c>
    </row>
    <row r="636" spans="1:16" hidden="1" x14ac:dyDescent="0.25">
      <c r="A636" t="s">
        <v>916</v>
      </c>
      <c r="B636" t="str">
        <f>IF(COUNTIF(A:A,A636)&gt;1,_xlfn.CONCAT(A636," (",N636,")"),A636)</f>
        <v>Lóngquán Xiāng</v>
      </c>
      <c r="C636" t="str">
        <f>IF(COUNTIF(B:B,B636)&gt;1,_xlfn.CONCAT(A636," (",M636,")"),B636)</f>
        <v>Lóngquán Xiāng</v>
      </c>
      <c r="D636" t="s">
        <v>917</v>
      </c>
      <c r="E636" t="s">
        <v>17</v>
      </c>
      <c r="F636" t="str">
        <f>_xlfn.CONCAT(D636,", ",H636,", ",I636,", ","山西省")</f>
        <v>龙泉乡, 左权县, 晋中市, 山西省</v>
      </c>
      <c r="G636">
        <v>7476</v>
      </c>
      <c r="H636" t="s">
        <v>2925</v>
      </c>
      <c r="I636" t="s">
        <v>2914</v>
      </c>
      <c r="J636" t="e">
        <f>VLOOKUP(F636,[1]!china_towns_second__2[[Column1]:[Y]],3,FALSE)</f>
        <v>#N/A</v>
      </c>
      <c r="K636" t="e">
        <f>VLOOKUP(F636,[1]!china_towns_second__2[[Column1]:[Y]],2,FALSE)</f>
        <v>#N/A</v>
      </c>
      <c r="L636" t="s">
        <v>4212</v>
      </c>
      <c r="M636" t="str">
        <f>VLOOKUP(H636,CHOOSE({1,2},Table12[Native],Table12[Name]),2,0)</f>
        <v>Zuǒquán Xiàn</v>
      </c>
      <c r="N636" s="13" t="str">
        <f>VLOOKUP(I636,CHOOSE({1,2},Table12[Native],Table12[Name]),2,0)</f>
        <v>Jìnzhōng Shì</v>
      </c>
      <c r="O636" s="13" t="str">
        <f t="shared" si="18"/>
        <v>Longquan Xiang (Jìnzhōng Shì)</v>
      </c>
      <c r="P636" s="13" t="str">
        <f t="shared" si="19"/>
        <v>Longquan Xiang (Jìnzhōng Shì)</v>
      </c>
    </row>
    <row r="637" spans="1:16" hidden="1" x14ac:dyDescent="0.25">
      <c r="A637" t="s">
        <v>171</v>
      </c>
      <c r="B637" t="str">
        <f>IF(COUNTIF(A:A,A637)&gt;1,_xlfn.CONCAT(A637," (",N637,")"),A637)</f>
        <v>Lóngquán Zhèn (Chángzhì Shì)</v>
      </c>
      <c r="C637" t="str">
        <f>IF(COUNTIF(B:B,B637)&gt;1,_xlfn.CONCAT(A637," (",M637,")"),B637)</f>
        <v>Lóngquán Zhèn (Chángzhì Shì)</v>
      </c>
      <c r="D637" t="s">
        <v>172</v>
      </c>
      <c r="E637" t="s">
        <v>7</v>
      </c>
      <c r="F637" t="str">
        <f>_xlfn.CONCAT(D637,", ",H637,", ",I637,", ","山西省")</f>
        <v>龙泉镇, 壶关县, 长治市, 山西省</v>
      </c>
      <c r="G637">
        <v>74611</v>
      </c>
      <c r="H637" t="s">
        <v>2881</v>
      </c>
      <c r="I637" t="s">
        <v>2878</v>
      </c>
      <c r="J637">
        <f>VLOOKUP(F637,[1]!china_towns_second__2[[Column1]:[Y]],3,FALSE)</f>
        <v>36.089410795537297</v>
      </c>
      <c r="K637">
        <f>VLOOKUP(F637,[1]!china_towns_second__2[[Column1]:[Y]],2,FALSE)</f>
        <v>113.20316870000001</v>
      </c>
      <c r="L637" t="s">
        <v>4213</v>
      </c>
      <c r="M637" t="str">
        <f>VLOOKUP(H637,CHOOSE({1,2},Table12[Native],Table12[Name]),2,0)</f>
        <v>Húguān Xiàn</v>
      </c>
      <c r="N637" s="13" t="str">
        <f>VLOOKUP(I637,CHOOSE({1,2},Table12[Native],Table12[Name]),2,0)</f>
        <v>Chángzhì Shì</v>
      </c>
      <c r="O637" s="13" t="str">
        <f t="shared" si="18"/>
        <v>Longquan Zhen (Changzhi Shi) (Chángzhì Shì)</v>
      </c>
      <c r="P637" s="13" t="str">
        <f t="shared" si="19"/>
        <v>Longquan Zhen (Changzhi Shi) (Chángzhì Shì)</v>
      </c>
    </row>
    <row r="638" spans="1:16" hidden="1" x14ac:dyDescent="0.25">
      <c r="A638" t="s">
        <v>171</v>
      </c>
      <c r="B638" t="str">
        <f>IF(COUNTIF(A:A,A638)&gt;1,_xlfn.CONCAT(A638," (",N638,")"),A638)</f>
        <v>Lóngquán Zhèn (Dàtóng Shì)</v>
      </c>
      <c r="C638" t="str">
        <f>IF(COUNTIF(B:B,B638)&gt;1,_xlfn.CONCAT(A638," (",M638,")"),B638)</f>
        <v>Lóngquán Zhèn (Dàtóng Shì)</v>
      </c>
      <c r="D638" t="s">
        <v>172</v>
      </c>
      <c r="E638" t="s">
        <v>7</v>
      </c>
      <c r="F638" t="str">
        <f>_xlfn.CONCAT(D638,", ",H638,", ",I638,", ","山西省")</f>
        <v>龙泉镇, 阳高县, 大同市, 山西省</v>
      </c>
      <c r="G638">
        <v>95849</v>
      </c>
      <c r="H638" t="s">
        <v>2901</v>
      </c>
      <c r="I638" t="s">
        <v>2894</v>
      </c>
      <c r="J638">
        <f>VLOOKUP(F638,[1]!china_towns_second__2[[Column1]:[Y]],3,FALSE)</f>
        <v>40.382830962802899</v>
      </c>
      <c r="K638">
        <f>VLOOKUP(F638,[1]!china_towns_second__2[[Column1]:[Y]],2,FALSE)</f>
        <v>113.7313157</v>
      </c>
      <c r="L638" t="s">
        <v>4214</v>
      </c>
      <c r="M638" t="str">
        <f>VLOOKUP(H638,CHOOSE({1,2},Table12[Native],Table12[Name]),2,0)</f>
        <v>Yánggāo Xiàn</v>
      </c>
      <c r="N638" s="13" t="str">
        <f>VLOOKUP(I638,CHOOSE({1,2},Table12[Native],Table12[Name]),2,0)</f>
        <v>Dàtóng Shì</v>
      </c>
      <c r="O638" s="13" t="str">
        <f t="shared" si="18"/>
        <v>Longquan Zhen (Datong Shi) (Dàtóng Shì)</v>
      </c>
      <c r="P638" s="13" t="str">
        <f t="shared" si="19"/>
        <v>Longquan Zhen (Datong Shi) (Dàtóng Shì)</v>
      </c>
    </row>
    <row r="639" spans="1:16" hidden="1" x14ac:dyDescent="0.25">
      <c r="A639" t="s">
        <v>171</v>
      </c>
      <c r="B639" t="str">
        <f>IF(COUNTIF(A:A,A639)&gt;1,_xlfn.CONCAT(A639," (",N639,")"),A639)</f>
        <v>Lóngquán Zhèn (Línfén Shì)</v>
      </c>
      <c r="C639" t="str">
        <f>IF(COUNTIF(B:B,B639)&gt;1,_xlfn.CONCAT(A639," (",M639,")"),B639)</f>
        <v>Lóngquán Zhèn (Línfén Shì)</v>
      </c>
      <c r="D639" t="s">
        <v>172</v>
      </c>
      <c r="E639" t="s">
        <v>7</v>
      </c>
      <c r="F639" t="str">
        <f>_xlfn.CONCAT(D639,", ",H639,", ",I639,", ","山西省")</f>
        <v>龙泉镇, 隰县, 临汾市, 山西省</v>
      </c>
      <c r="G639">
        <v>39622</v>
      </c>
      <c r="H639" t="s">
        <v>2941</v>
      </c>
      <c r="I639" t="s">
        <v>2927</v>
      </c>
      <c r="J639">
        <f>VLOOKUP(F639,[1]!china_towns_second__2[[Column1]:[Y]],3,FALSE)</f>
        <v>36.7012850802099</v>
      </c>
      <c r="K639">
        <f>VLOOKUP(F639,[1]!china_towns_second__2[[Column1]:[Y]],2,FALSE)</f>
        <v>110.99420979999999</v>
      </c>
      <c r="L639" t="s">
        <v>4215</v>
      </c>
      <c r="M639" t="str">
        <f>VLOOKUP(H639,CHOOSE({1,2},Table12[Native],Table12[Name]),2,0)</f>
        <v>Xí Xiàn</v>
      </c>
      <c r="N639" s="13" t="str">
        <f>VLOOKUP(I639,CHOOSE({1,2},Table12[Native],Table12[Name]),2,0)</f>
        <v>Línfén Shì</v>
      </c>
      <c r="O639" s="13" t="str">
        <f t="shared" si="18"/>
        <v>Longquan Zhen (Linfen Shi) (Línfén Shì)</v>
      </c>
      <c r="P639" s="13" t="str">
        <f t="shared" si="19"/>
        <v>Longquan Zhen (Linfen Shi) (Línfén Shì)</v>
      </c>
    </row>
    <row r="640" spans="1:16" hidden="1" x14ac:dyDescent="0.25">
      <c r="A640" t="s">
        <v>171</v>
      </c>
      <c r="B640" t="str">
        <f>IF(COUNTIF(A:A,A640)&gt;1,_xlfn.CONCAT(A640," (",N640,")"),A640)</f>
        <v>Lóngquán Zhèn (Xīnzhōu Shì)</v>
      </c>
      <c r="C640" t="str">
        <f>IF(COUNTIF(B:B,B640)&gt;1,_xlfn.CONCAT(A640," (",M640,")"),B640)</f>
        <v>Lóngquán Zhèn (Xīnzhōu Shì)</v>
      </c>
      <c r="D640" t="s">
        <v>172</v>
      </c>
      <c r="E640" t="s">
        <v>7</v>
      </c>
      <c r="F640" t="str">
        <f>_xlfn.CONCAT(D640,", ",H640,", ",I640,", ","山西省")</f>
        <v>龙泉镇, 神池县, 忻州市, 山西省</v>
      </c>
      <c r="G640">
        <v>40562</v>
      </c>
      <c r="H640" t="s">
        <v>2991</v>
      </c>
      <c r="I640" t="s">
        <v>2981</v>
      </c>
      <c r="J640">
        <f>VLOOKUP(F640,[1]!china_towns_second__2[[Column1]:[Y]],3,FALSE)</f>
        <v>39.111197961662597</v>
      </c>
      <c r="K640">
        <f>VLOOKUP(F640,[1]!china_towns_second__2[[Column1]:[Y]],2,FALSE)</f>
        <v>112.2292522</v>
      </c>
      <c r="L640" t="s">
        <v>4216</v>
      </c>
      <c r="M640" t="str">
        <f>VLOOKUP(H640,CHOOSE({1,2},Table12[Native],Table12[Name]),2,0)</f>
        <v>Shénchí Xiàn</v>
      </c>
      <c r="N640" s="13" t="str">
        <f>VLOOKUP(I640,CHOOSE({1,2},Table12[Native],Table12[Name]),2,0)</f>
        <v>Xīnzhōu Shì</v>
      </c>
      <c r="O640" s="13" t="str">
        <f t="shared" si="18"/>
        <v>Longquan Zhen (Xinzhou Shi) (Xīnzhōu Shì)</v>
      </c>
      <c r="P640" s="13" t="str">
        <f t="shared" si="19"/>
        <v>Longquan Zhen (Xinzhou Shi) (Xīnzhōu Shì)</v>
      </c>
    </row>
    <row r="641" spans="1:16" hidden="1" x14ac:dyDescent="0.25">
      <c r="A641" t="s">
        <v>173</v>
      </c>
      <c r="B641" t="str">
        <f>IF(COUNTIF(A:A,A641)&gt;1,_xlfn.CONCAT(A641," (",N641,")"),A641)</f>
        <v>Lóngxī Zhèn</v>
      </c>
      <c r="C641" t="str">
        <f>IF(COUNTIF(B:B,B641)&gt;1,_xlfn.CONCAT(A641," (",M641,")"),B641)</f>
        <v>Lóngxī Zhèn</v>
      </c>
      <c r="D641" t="s">
        <v>174</v>
      </c>
      <c r="E641" t="s">
        <v>7</v>
      </c>
      <c r="F641" t="str">
        <f>_xlfn.CONCAT(D641,", ",H641,", ",I641,", ","山西省")</f>
        <v>龙溪镇, 平顺县, 长治市, 山西省</v>
      </c>
      <c r="G641">
        <v>17622</v>
      </c>
      <c r="H641" t="s">
        <v>2886</v>
      </c>
      <c r="I641" t="s">
        <v>2878</v>
      </c>
      <c r="J641">
        <f>VLOOKUP(F641,[1]!china_towns_second__2[[Column1]:[Y]],3,FALSE)</f>
        <v>36.055474359368901</v>
      </c>
      <c r="K641">
        <f>VLOOKUP(F641,[1]!china_towns_second__2[[Column1]:[Y]],2,FALSE)</f>
        <v>113.44572479999999</v>
      </c>
      <c r="L641" t="s">
        <v>4217</v>
      </c>
      <c r="M641" t="str">
        <f>VLOOKUP(H641,CHOOSE({1,2},Table12[Native],Table12[Name]),2,0)</f>
        <v>Píngshùn Xiàn</v>
      </c>
      <c r="N641" s="13" t="str">
        <f>VLOOKUP(I641,CHOOSE({1,2},Table12[Native],Table12[Name]),2,0)</f>
        <v>Chángzhì Shì</v>
      </c>
      <c r="O641" s="13" t="str">
        <f t="shared" si="18"/>
        <v>Longxi Zhen (Chángzhì Shì)</v>
      </c>
      <c r="P641" s="13" t="str">
        <f t="shared" si="19"/>
        <v>Longxi Zhen (Chángzhì Shì)</v>
      </c>
    </row>
    <row r="642" spans="1:16" hidden="1" x14ac:dyDescent="0.25">
      <c r="A642" t="s">
        <v>2714</v>
      </c>
      <c r="B642" t="str">
        <f>IF(COUNTIF(A:A,A642)&gt;1,_xlfn.CONCAT(A642," (",N642,")"),A642)</f>
        <v>Lóngxīng Zhèn</v>
      </c>
      <c r="C642" t="str">
        <f>IF(COUNTIF(B:B,B642)&gt;1,_xlfn.CONCAT(A642," (",M642,")"),B642)</f>
        <v>Lóngxīng Zhèn</v>
      </c>
      <c r="D642" t="s">
        <v>2715</v>
      </c>
      <c r="E642" t="s">
        <v>7</v>
      </c>
      <c r="F642" t="str">
        <f>_xlfn.CONCAT(D642,", ",H642,", ",I642,", ","山西省")</f>
        <v>龙兴镇, 新绛县, 运城市, 山西省</v>
      </c>
      <c r="G642">
        <v>56381</v>
      </c>
      <c r="H642" t="s">
        <v>3013</v>
      </c>
      <c r="I642" t="s">
        <v>3003</v>
      </c>
      <c r="J642">
        <f>VLOOKUP(F642,[1]!china_towns_second__2[[Column1]:[Y]],3,FALSE)</f>
        <v>35.645837121436102</v>
      </c>
      <c r="K642">
        <f>VLOOKUP(F642,[1]!china_towns_second__2[[Column1]:[Y]],2,FALSE)</f>
        <v>111.2536951</v>
      </c>
      <c r="L642" t="s">
        <v>4218</v>
      </c>
      <c r="M642" t="str">
        <f>VLOOKUP(H642,CHOOSE({1,2},Table12[Native],Table12[Name]),2,0)</f>
        <v>Xīnjiàng Xiàn</v>
      </c>
      <c r="N642" s="13" t="str">
        <f>VLOOKUP(I642,CHOOSE({1,2},Table12[Native],Table12[Name]),2,0)</f>
        <v>Yùnchéng Shì</v>
      </c>
      <c r="O642" s="13" t="str">
        <f t="shared" ref="O642:O705" si="20">_xlfn.CONCAT(L642," (",N642,")")</f>
        <v>Longxing Zhen (Yùnchéng Shì)</v>
      </c>
      <c r="P642" s="13" t="str">
        <f t="shared" ref="P642:P705" si="21">IF(COUNTIF(O:O,O642)&gt;1,_xlfn.CONCAT(L642," (",M642,")"),O642)</f>
        <v>Longxing Zhen (Yùnchéng Shì)</v>
      </c>
    </row>
    <row r="643" spans="1:16" hidden="1" x14ac:dyDescent="0.25">
      <c r="A643" t="s">
        <v>2280</v>
      </c>
      <c r="B643" t="str">
        <f>IF(COUNTIF(A:A,A643)&gt;1,_xlfn.CONCAT(A643," (",N643,")"),A643)</f>
        <v>Lóubănzhài Xiāng</v>
      </c>
      <c r="C643" t="str">
        <f>IF(COUNTIF(B:B,B643)&gt;1,_xlfn.CONCAT(A643," (",M643,")"),B643)</f>
        <v>Lóubănzhài Xiāng</v>
      </c>
      <c r="D643" t="s">
        <v>2281</v>
      </c>
      <c r="E643" t="s">
        <v>17</v>
      </c>
      <c r="F643" t="str">
        <f>_xlfn.CONCAT(D643,", ",H643,", ",I643,", ","山西省")</f>
        <v>楼板寨乡, 原平市, 忻州市, 山西省</v>
      </c>
      <c r="G643">
        <v>6151</v>
      </c>
      <c r="H643" t="s">
        <v>2995</v>
      </c>
      <c r="I643" t="s">
        <v>2981</v>
      </c>
      <c r="J643" t="e">
        <f>VLOOKUP(F643,[1]!china_towns_second__2[[Column1]:[Y]],3,FALSE)</f>
        <v>#N/A</v>
      </c>
      <c r="K643" t="e">
        <f>VLOOKUP(F643,[1]!china_towns_second__2[[Column1]:[Y]],2,FALSE)</f>
        <v>#N/A</v>
      </c>
      <c r="L643" t="s">
        <v>4219</v>
      </c>
      <c r="M643" t="str">
        <f>VLOOKUP(H643,CHOOSE({1,2},Table12[Native],Table12[Name]),2,0)</f>
        <v>Yuánpíng Shì</v>
      </c>
      <c r="N643" s="13" t="str">
        <f>VLOOKUP(I643,CHOOSE({1,2},Table12[Native],Table12[Name]),2,0)</f>
        <v>Xīnzhōu Shì</v>
      </c>
      <c r="O643" s="13" t="str">
        <f t="shared" si="20"/>
        <v>Loubanzhai Xiang (Xīnzhōu Shì)</v>
      </c>
      <c r="P643" s="13" t="str">
        <f t="shared" si="21"/>
        <v>Loubanzhai Xiang (Xīnzhōu Shì)</v>
      </c>
    </row>
    <row r="644" spans="1:16" hidden="1" x14ac:dyDescent="0.25">
      <c r="A644" t="s">
        <v>1982</v>
      </c>
      <c r="B644" t="str">
        <f>IF(COUNTIF(A:A,A644)&gt;1,_xlfn.CONCAT(A644," (",N644,")"),A644)</f>
        <v>Lóufán Zhèn</v>
      </c>
      <c r="C644" t="str">
        <f>IF(COUNTIF(B:B,B644)&gt;1,_xlfn.CONCAT(A644," (",M644,")"),B644)</f>
        <v>Lóufán Zhèn</v>
      </c>
      <c r="D644" t="s">
        <v>1983</v>
      </c>
      <c r="E644" t="s">
        <v>7</v>
      </c>
      <c r="F644" t="str">
        <f>_xlfn.CONCAT(D644,", ",H644,", ",I644,", ","山西省")</f>
        <v>娄烦镇, 娄烦县, 太原市, 山西省</v>
      </c>
      <c r="G644">
        <v>42520</v>
      </c>
      <c r="H644" t="s">
        <v>2973</v>
      </c>
      <c r="I644" t="s">
        <v>2969</v>
      </c>
      <c r="J644">
        <f>VLOOKUP(F644,[1]!china_towns_second__2[[Column1]:[Y]],3,FALSE)</f>
        <v>38.057858642112897</v>
      </c>
      <c r="K644">
        <f>VLOOKUP(F644,[1]!china_towns_second__2[[Column1]:[Y]],2,FALSE)</f>
        <v>111.81881799999999</v>
      </c>
      <c r="L644" t="s">
        <v>4220</v>
      </c>
      <c r="M644" t="str">
        <f>VLOOKUP(H644,CHOOSE({1,2},Table12[Native],Table12[Name]),2,0)</f>
        <v>Lóufán Xiàn</v>
      </c>
      <c r="N644" s="13" t="str">
        <f>VLOOKUP(I644,CHOOSE({1,2},Table12[Native],Table12[Name]),2,0)</f>
        <v>Tàiyuán Shì</v>
      </c>
      <c r="O644" s="13" t="str">
        <f t="shared" si="20"/>
        <v>Loufan Zhen (Tàiyuán Shì)</v>
      </c>
      <c r="P644" s="13" t="str">
        <f t="shared" si="21"/>
        <v>Loufan Zhen (Tàiyuán Shì)</v>
      </c>
    </row>
    <row r="645" spans="1:16" hidden="1" x14ac:dyDescent="0.25">
      <c r="A645" t="s">
        <v>2282</v>
      </c>
      <c r="B645" t="str">
        <f>IF(COUNTIF(A:A,A645)&gt;1,_xlfn.CONCAT(A645," (",N645,")"),A645)</f>
        <v>Lóugōu Xiāng</v>
      </c>
      <c r="C645" t="str">
        <f>IF(COUNTIF(B:B,B645)&gt;1,_xlfn.CONCAT(A645," (",M645,")"),B645)</f>
        <v>Lóugōu Xiāng</v>
      </c>
      <c r="D645" t="s">
        <v>2283</v>
      </c>
      <c r="E645" t="s">
        <v>17</v>
      </c>
      <c r="F645" t="str">
        <f>_xlfn.CONCAT(D645,", ",H645,", ",I645,", ","山西省")</f>
        <v>楼沟乡, 偏关县, 忻州市, 山西省</v>
      </c>
      <c r="G645">
        <v>8559</v>
      </c>
      <c r="H645" t="s">
        <v>2990</v>
      </c>
      <c r="I645" t="s">
        <v>2981</v>
      </c>
      <c r="J645" t="e">
        <f>VLOOKUP(F645,[1]!china_towns_second__2[[Column1]:[Y]],3,FALSE)</f>
        <v>#N/A</v>
      </c>
      <c r="K645" t="e">
        <f>VLOOKUP(F645,[1]!china_towns_second__2[[Column1]:[Y]],2,FALSE)</f>
        <v>#N/A</v>
      </c>
      <c r="L645" t="s">
        <v>4221</v>
      </c>
      <c r="M645" t="str">
        <f>VLOOKUP(H645,CHOOSE({1,2},Table12[Native],Table12[Name]),2,0)</f>
        <v>Piānguān Xiàn</v>
      </c>
      <c r="N645" s="13" t="str">
        <f>VLOOKUP(I645,CHOOSE({1,2},Table12[Native],Table12[Name]),2,0)</f>
        <v>Xīnzhōu Shì</v>
      </c>
      <c r="O645" s="13" t="str">
        <f t="shared" si="20"/>
        <v>Lougou Xiang (Xīnzhōu Shì)</v>
      </c>
      <c r="P645" s="13" t="str">
        <f t="shared" si="21"/>
        <v>Lougou Xiang (Xīnzhōu Shì)</v>
      </c>
    </row>
    <row r="646" spans="1:16" hidden="1" x14ac:dyDescent="0.25">
      <c r="A646" t="s">
        <v>2284</v>
      </c>
      <c r="B646" t="str">
        <f>IF(COUNTIF(A:A,A646)&gt;1,_xlfn.CONCAT(A646," (",N646,")"),A646)</f>
        <v>Lóuziyíng Zhèn</v>
      </c>
      <c r="C646" t="str">
        <f>IF(COUNTIF(B:B,B646)&gt;1,_xlfn.CONCAT(A646," (",M646,")"),B646)</f>
        <v>Lóuziyíng Zhèn</v>
      </c>
      <c r="D646" t="s">
        <v>2285</v>
      </c>
      <c r="E646" t="s">
        <v>7</v>
      </c>
      <c r="F646" t="str">
        <f>_xlfn.CONCAT(D646,", ",H646,", ",I646,", ","山西省")</f>
        <v>楼子营镇, 河曲县, 忻州市, 山西省</v>
      </c>
      <c r="G646">
        <v>7207</v>
      </c>
      <c r="H646" t="s">
        <v>2986</v>
      </c>
      <c r="I646" t="s">
        <v>2981</v>
      </c>
      <c r="J646">
        <f>VLOOKUP(F646,[1]!china_towns_second__2[[Column1]:[Y]],3,FALSE)</f>
        <v>39.383571838354001</v>
      </c>
      <c r="K646">
        <f>VLOOKUP(F646,[1]!china_towns_second__2[[Column1]:[Y]],2,FALSE)</f>
        <v>111.2566879</v>
      </c>
      <c r="L646" t="s">
        <v>4222</v>
      </c>
      <c r="M646" t="str">
        <f>VLOOKUP(H646,CHOOSE({1,2},Table12[Native],Table12[Name]),2,0)</f>
        <v>Héqŭ Xiàn</v>
      </c>
      <c r="N646" s="13" t="str">
        <f>VLOOKUP(I646,CHOOSE({1,2},Table12[Native],Table12[Name]),2,0)</f>
        <v>Xīnzhōu Shì</v>
      </c>
      <c r="O646" s="13" t="str">
        <f t="shared" si="20"/>
        <v>Louziying Zhen (Xīnzhōu Shì)</v>
      </c>
      <c r="P646" s="13" t="str">
        <f t="shared" si="21"/>
        <v>Louziying Zhen (Xīnzhōu Shì)</v>
      </c>
    </row>
    <row r="647" spans="1:16" hidden="1" x14ac:dyDescent="0.25">
      <c r="A647" t="s">
        <v>711</v>
      </c>
      <c r="B647" t="str">
        <f>IF(COUNTIF(A:A,A647)&gt;1,_xlfn.CONCAT(A647," (",N647,")"),A647)</f>
        <v>Lùchéng Zhèn</v>
      </c>
      <c r="C647" t="str">
        <f>IF(COUNTIF(B:B,B647)&gt;1,_xlfn.CONCAT(A647," (",M647,")"),B647)</f>
        <v>Lùchéng Zhèn</v>
      </c>
      <c r="D647" t="s">
        <v>712</v>
      </c>
      <c r="E647" t="s">
        <v>7</v>
      </c>
      <c r="F647" t="str">
        <f>_xlfn.CONCAT(D647,", ",H647,", ",I647,", ","山西省")</f>
        <v>潞城镇, 陵川县, 晋城市, 山西省</v>
      </c>
      <c r="G647">
        <v>14308</v>
      </c>
      <c r="H647" t="s">
        <v>2909</v>
      </c>
      <c r="I647" t="s">
        <v>2906</v>
      </c>
      <c r="J647">
        <f>VLOOKUP(F647,[1]!china_towns_second__2[[Column1]:[Y]],3,FALSE)</f>
        <v>35.6959191851928</v>
      </c>
      <c r="K647">
        <f>VLOOKUP(F647,[1]!china_towns_second__2[[Column1]:[Y]],2,FALSE)</f>
        <v>113.3158147</v>
      </c>
      <c r="L647" t="s">
        <v>4223</v>
      </c>
      <c r="M647" t="str">
        <f>VLOOKUP(H647,CHOOSE({1,2},Table12[Native],Table12[Name]),2,0)</f>
        <v>Língchuān Xiàn</v>
      </c>
      <c r="N647" s="13" t="str">
        <f>VLOOKUP(I647,CHOOSE({1,2},Table12[Native],Table12[Name]),2,0)</f>
        <v>Jìnchéng Shì</v>
      </c>
      <c r="O647" s="13" t="str">
        <f t="shared" si="20"/>
        <v>Lucheng Zhen (Jìnchéng Shì)</v>
      </c>
      <c r="P647" s="13" t="str">
        <f t="shared" si="21"/>
        <v>Lucheng Zhen (Jìnchéng Shì)</v>
      </c>
    </row>
    <row r="648" spans="1:16" hidden="1" x14ac:dyDescent="0.25">
      <c r="A648" t="s">
        <v>175</v>
      </c>
      <c r="B648" t="str">
        <f>IF(COUNTIF(A:A,A648)&gt;1,_xlfn.CONCAT(A648," (",N648,")"),A648)</f>
        <v>Lùcūn Xiāng</v>
      </c>
      <c r="C648" t="str">
        <f>IF(COUNTIF(B:B,B648)&gt;1,_xlfn.CONCAT(A648," (",M648,")"),B648)</f>
        <v>Lùcūn Xiāng</v>
      </c>
      <c r="D648" t="s">
        <v>176</v>
      </c>
      <c r="E648" t="s">
        <v>17</v>
      </c>
      <c r="F648" t="str">
        <f>_xlfn.CONCAT(D648,", ",H648,", ",I648,", ","山西省")</f>
        <v>路村乡, 屯留区, 长治市, 山西省</v>
      </c>
      <c r="G648">
        <v>32618</v>
      </c>
      <c r="H648" t="s">
        <v>2890</v>
      </c>
      <c r="I648" t="s">
        <v>2878</v>
      </c>
      <c r="J648" t="e">
        <f>VLOOKUP(F648,[1]!china_towns_second__2[[Column1]:[Y]],3,FALSE)</f>
        <v>#N/A</v>
      </c>
      <c r="K648" t="e">
        <f>VLOOKUP(F648,[1]!china_towns_second__2[[Column1]:[Y]],2,FALSE)</f>
        <v>#N/A</v>
      </c>
      <c r="L648" t="s">
        <v>4224</v>
      </c>
      <c r="M648" t="str">
        <f>VLOOKUP(H648,CHOOSE({1,2},Table12[Native],Table12[Name]),2,0)</f>
        <v>Túnliú Qū</v>
      </c>
      <c r="N648" s="13" t="str">
        <f>VLOOKUP(I648,CHOOSE({1,2},Table12[Native],Table12[Name]),2,0)</f>
        <v>Chángzhì Shì</v>
      </c>
      <c r="O648" s="13" t="str">
        <f t="shared" si="20"/>
        <v>Lucun Xiang (Chángzhì Shì)</v>
      </c>
      <c r="P648" s="13" t="str">
        <f t="shared" si="21"/>
        <v>Lucun Xiang (Chángzhì Shì)</v>
      </c>
    </row>
    <row r="649" spans="1:16" hidden="1" x14ac:dyDescent="0.25">
      <c r="A649" t="s">
        <v>1222</v>
      </c>
      <c r="B649" t="str">
        <f>IF(COUNTIF(A:A,A649)&gt;1,_xlfn.CONCAT(A649," (",N649,")"),A649)</f>
        <v>Lùdōng Jiēdào</v>
      </c>
      <c r="C649" t="str">
        <f>IF(COUNTIF(B:B,B649)&gt;1,_xlfn.CONCAT(A649," (",M649,")"),B649)</f>
        <v>Lùdōng Jiēdào</v>
      </c>
      <c r="D649" t="s">
        <v>1223</v>
      </c>
      <c r="E649" t="s">
        <v>31</v>
      </c>
      <c r="F649" t="str">
        <f>_xlfn.CONCAT(D649,", ",H649,", ",I649,", ","山西省")</f>
        <v>路东街道, 侯马市, 临汾市, 山西省</v>
      </c>
      <c r="G649">
        <v>35388</v>
      </c>
      <c r="H649" t="s">
        <v>2934</v>
      </c>
      <c r="I649" t="s">
        <v>2927</v>
      </c>
      <c r="J649">
        <f>VLOOKUP(F649,[1]!china_towns_second__2[[Column1]:[Y]],3,FALSE)</f>
        <v>35.619408859229502</v>
      </c>
      <c r="K649">
        <f>VLOOKUP(F649,[1]!china_towns_second__2[[Column1]:[Y]],2,FALSE)</f>
        <v>111.3624216</v>
      </c>
      <c r="L649" t="s">
        <v>4225</v>
      </c>
      <c r="M649" t="str">
        <f>VLOOKUP(H649,CHOOSE({1,2},Table12[Native],Table12[Name]),2,0)</f>
        <v>Hòumă Shì</v>
      </c>
      <c r="N649" s="13" t="str">
        <f>VLOOKUP(I649,CHOOSE({1,2},Table12[Native],Table12[Name]),2,0)</f>
        <v>Línfén Shì</v>
      </c>
      <c r="O649" s="13" t="str">
        <f t="shared" si="20"/>
        <v>Ludong Jiedao (Línfén Shì)</v>
      </c>
      <c r="P649" s="13" t="str">
        <f t="shared" si="21"/>
        <v>Ludong Jiedao (Línfén Shì)</v>
      </c>
    </row>
    <row r="650" spans="1:16" hidden="1" x14ac:dyDescent="0.25">
      <c r="A650" t="s">
        <v>2286</v>
      </c>
      <c r="B650" t="str">
        <f>IF(COUNTIF(A:A,A650)&gt;1,_xlfn.CONCAT(A650," (",N650,")"),A650)</f>
        <v>Lùgù Xiāng</v>
      </c>
      <c r="C650" t="str">
        <f>IF(COUNTIF(B:B,B650)&gt;1,_xlfn.CONCAT(A650," (",M650,")"),B650)</f>
        <v>Lùgù Xiāng</v>
      </c>
      <c r="D650" t="s">
        <v>2287</v>
      </c>
      <c r="E650" t="s">
        <v>17</v>
      </c>
      <c r="F650" t="str">
        <f>_xlfn.CONCAT(D650,", ",H650,", ",I650,", ","山西省")</f>
        <v>鹿固乡, 河曲县, 忻州市, 山西省</v>
      </c>
      <c r="G650">
        <v>5412</v>
      </c>
      <c r="H650" t="s">
        <v>2986</v>
      </c>
      <c r="I650" t="s">
        <v>2981</v>
      </c>
      <c r="J650" t="e">
        <f>VLOOKUP(F650,[1]!china_towns_second__2[[Column1]:[Y]],3,FALSE)</f>
        <v>#N/A</v>
      </c>
      <c r="K650" t="e">
        <f>VLOOKUP(F650,[1]!china_towns_second__2[[Column1]:[Y]],2,FALSE)</f>
        <v>#N/A</v>
      </c>
      <c r="L650" t="s">
        <v>4226</v>
      </c>
      <c r="M650" t="str">
        <f>VLOOKUP(H650,CHOOSE({1,2},Table12[Native],Table12[Name]),2,0)</f>
        <v>Héqŭ Xiàn</v>
      </c>
      <c r="N650" s="13" t="str">
        <f>VLOOKUP(I650,CHOOSE({1,2},Table12[Native],Table12[Name]),2,0)</f>
        <v>Xīnzhōu Shì</v>
      </c>
      <c r="O650" s="13" t="str">
        <f t="shared" si="20"/>
        <v>Lugu Xiang (Xīnzhōu Shì)</v>
      </c>
      <c r="P650" s="13" t="str">
        <f t="shared" si="21"/>
        <v>Lugu Xiang (Xīnzhōu Shì)</v>
      </c>
    </row>
    <row r="651" spans="1:16" hidden="1" x14ac:dyDescent="0.25">
      <c r="A651" t="s">
        <v>177</v>
      </c>
      <c r="B651" t="str">
        <f>IF(COUNTIF(A:A,A651)&gt;1,_xlfn.CONCAT(A651," (",N651,")"),A651)</f>
        <v>Lùhuá Jiēdào</v>
      </c>
      <c r="C651" t="str">
        <f>IF(COUNTIF(B:B,B651)&gt;1,_xlfn.CONCAT(A651," (",M651,")"),B651)</f>
        <v>Lùhuá Jiēdào</v>
      </c>
      <c r="D651" t="s">
        <v>178</v>
      </c>
      <c r="E651" t="s">
        <v>31</v>
      </c>
      <c r="F651" t="str">
        <f>_xlfn.CONCAT(D651,", ",H651,", ",I651,", ","山西省")</f>
        <v>潞华街道, 潞城区, 长治市, 山西省</v>
      </c>
      <c r="G651">
        <v>73444</v>
      </c>
      <c r="H651" t="s">
        <v>2884</v>
      </c>
      <c r="I651" t="s">
        <v>2878</v>
      </c>
      <c r="J651">
        <f>VLOOKUP(F651,[1]!china_towns_second__2[[Column1]:[Y]],3,FALSE)</f>
        <v>36.331333965896199</v>
      </c>
      <c r="K651">
        <f>VLOOKUP(F651,[1]!china_towns_second__2[[Column1]:[Y]],2,FALSE)</f>
        <v>113.2153919</v>
      </c>
      <c r="L651" t="s">
        <v>4227</v>
      </c>
      <c r="M651" t="str">
        <f>VLOOKUP(H651,CHOOSE({1,2},Table12[Native],Table12[Name]),2,0)</f>
        <v>Lùchéng Qū</v>
      </c>
      <c r="N651" s="13" t="str">
        <f>VLOOKUP(I651,CHOOSE({1,2},Table12[Native],Table12[Name]),2,0)</f>
        <v>Chángzhì Shì</v>
      </c>
      <c r="O651" s="13" t="str">
        <f t="shared" si="20"/>
        <v>Luhua Jiedao (Chángzhì Shì)</v>
      </c>
      <c r="P651" s="13" t="str">
        <f t="shared" si="21"/>
        <v>Luhua Jiedao (Chángzhì Shì)</v>
      </c>
    </row>
    <row r="652" spans="1:16" hidden="1" x14ac:dyDescent="0.25">
      <c r="A652" t="s">
        <v>2522</v>
      </c>
      <c r="B652" t="str">
        <f>IF(COUNTIF(A:A,A652)&gt;1,_xlfn.CONCAT(A652," (",N652,")"),A652)</f>
        <v>Lùjiācūn Zhèn</v>
      </c>
      <c r="C652" t="str">
        <f>IF(COUNTIF(B:B,B652)&gt;1,_xlfn.CONCAT(A652," (",M652,")"),B652)</f>
        <v>Lùjiācūn Zhèn</v>
      </c>
      <c r="D652" t="s">
        <v>2523</v>
      </c>
      <c r="E652" t="s">
        <v>7</v>
      </c>
      <c r="F652" t="str">
        <f>_xlfn.CONCAT(D652,", ",H652,", ",I652,", ","山西省")</f>
        <v>路家村镇, 盂县, 阳泉市, 山西省</v>
      </c>
      <c r="G652">
        <v>24579</v>
      </c>
      <c r="H652" t="s">
        <v>3001</v>
      </c>
      <c r="I652" t="s">
        <v>2997</v>
      </c>
      <c r="J652">
        <f>VLOOKUP(F652,[1]!china_towns_second__2[[Column1]:[Y]],3,FALSE)</f>
        <v>38.011865109337499</v>
      </c>
      <c r="K652">
        <f>VLOOKUP(F652,[1]!china_towns_second__2[[Column1]:[Y]],2,FALSE)</f>
        <v>113.4479813</v>
      </c>
      <c r="L652" t="s">
        <v>4228</v>
      </c>
      <c r="M652" t="str">
        <f>VLOOKUP(H652,CHOOSE({1,2},Table12[Native],Table12[Name]),2,0)</f>
        <v>Yú Xiàn</v>
      </c>
      <c r="N652" s="13" t="str">
        <f>VLOOKUP(I652,CHOOSE({1,2},Table12[Native],Table12[Name]),2,0)</f>
        <v>Yángquán Shì</v>
      </c>
      <c r="O652" s="13" t="str">
        <f t="shared" si="20"/>
        <v>Lujiacun Zhen (Yángquán Shì)</v>
      </c>
      <c r="P652" s="13" t="str">
        <f t="shared" si="21"/>
        <v>Lujiacun Zhen (Yángquán Shì)</v>
      </c>
    </row>
    <row r="653" spans="1:16" hidden="1" x14ac:dyDescent="0.25">
      <c r="A653" t="s">
        <v>437</v>
      </c>
      <c r="B653" t="str">
        <f>IF(COUNTIF(A:A,A653)&gt;1,_xlfn.CONCAT(A653," (",N653,")"),A653)</f>
        <v>Lùjiāwān Zhèn</v>
      </c>
      <c r="C653" t="str">
        <f>IF(COUNTIF(B:B,B653)&gt;1,_xlfn.CONCAT(A653," (",M653,")"),B653)</f>
        <v>Lùjiāwān Zhèn</v>
      </c>
      <c r="D653" t="s">
        <v>438</v>
      </c>
      <c r="E653" t="s">
        <v>7</v>
      </c>
      <c r="F653" t="str">
        <f>_xlfn.CONCAT(D653,", ",H653,", ",I653,", ","山西省")</f>
        <v>逯家湾镇, 天镇县, 大同市, 山西省</v>
      </c>
      <c r="G653">
        <v>12899</v>
      </c>
      <c r="H653" t="s">
        <v>2899</v>
      </c>
      <c r="I653" t="s">
        <v>2894</v>
      </c>
      <c r="J653">
        <f>VLOOKUP(F653,[1]!china_towns_second__2[[Column1]:[Y]],3,FALSE)</f>
        <v>40.528046988683599</v>
      </c>
      <c r="K653">
        <f>VLOOKUP(F653,[1]!china_towns_second__2[[Column1]:[Y]],2,FALSE)</f>
        <v>114.17879720000001</v>
      </c>
      <c r="L653" t="s">
        <v>4229</v>
      </c>
      <c r="M653" t="str">
        <f>VLOOKUP(H653,CHOOSE({1,2},Table12[Native],Table12[Name]),2,0)</f>
        <v>Tiānzhèn Xiàn</v>
      </c>
      <c r="N653" s="13" t="str">
        <f>VLOOKUP(I653,CHOOSE({1,2},Table12[Native],Table12[Name]),2,0)</f>
        <v>Dàtóng Shì</v>
      </c>
      <c r="O653" s="13" t="str">
        <f t="shared" si="20"/>
        <v>Lujiawan Zhen (Dàtóng Shì)</v>
      </c>
      <c r="P653" s="13" t="str">
        <f t="shared" si="21"/>
        <v>Lujiawan Zhen (Dàtóng Shì)</v>
      </c>
    </row>
    <row r="654" spans="1:16" hidden="1" x14ac:dyDescent="0.25">
      <c r="A654" t="s">
        <v>1984</v>
      </c>
      <c r="B654" t="str">
        <f>IF(COUNTIF(A:A,A654)&gt;1,_xlfn.CONCAT(A654," (",N654,")"),A654)</f>
        <v>Luóchéng Jiēdào</v>
      </c>
      <c r="C654" t="str">
        <f>IF(COUNTIF(B:B,B654)&gt;1,_xlfn.CONCAT(A654," (",M654,")"),B654)</f>
        <v>Luóchéng Jiēdào</v>
      </c>
      <c r="D654" t="s">
        <v>1985</v>
      </c>
      <c r="E654" t="s">
        <v>31</v>
      </c>
      <c r="F654" t="str">
        <f>_xlfn.CONCAT(D654,", ",H654,", ",I654,", ","山西省")</f>
        <v>罗城街道, 晋源区, 太原市, 山西省</v>
      </c>
      <c r="G654">
        <v>22878</v>
      </c>
      <c r="H654" t="s">
        <v>2972</v>
      </c>
      <c r="I654" t="s">
        <v>2969</v>
      </c>
      <c r="J654">
        <f>VLOOKUP(F654,[1]!china_towns_second__2[[Column1]:[Y]],3,FALSE)</f>
        <v>37.765006300401701</v>
      </c>
      <c r="K654">
        <f>VLOOKUP(F654,[1]!china_towns_second__2[[Column1]:[Y]],2,FALSE)</f>
        <v>112.4512776</v>
      </c>
      <c r="L654" t="s">
        <v>4230</v>
      </c>
      <c r="M654" t="str">
        <f>VLOOKUP(H654,CHOOSE({1,2},Table12[Native],Table12[Name]),2,0)</f>
        <v>Jìnyuán Qū</v>
      </c>
      <c r="N654" s="13" t="str">
        <f>VLOOKUP(I654,CHOOSE({1,2},Table12[Native],Table12[Name]),2,0)</f>
        <v>Tàiyuán Shì</v>
      </c>
      <c r="O654" s="13" t="str">
        <f t="shared" si="20"/>
        <v>Luocheng Jiedao (Tàiyuán Shì)</v>
      </c>
      <c r="P654" s="13" t="str">
        <f t="shared" si="21"/>
        <v>Luocheng Jiedao (Tàiyuán Shì)</v>
      </c>
    </row>
    <row r="655" spans="1:16" hidden="1" x14ac:dyDescent="0.25">
      <c r="A655" t="s">
        <v>1560</v>
      </c>
      <c r="B655" t="str">
        <f>IF(COUNTIF(A:A,A655)&gt;1,_xlfn.CONCAT(A655," (",N655,")"),A655)</f>
        <v>Luócūn Zhèn</v>
      </c>
      <c r="C655" t="str">
        <f>IF(COUNTIF(B:B,B655)&gt;1,_xlfn.CONCAT(A655," (",M655,")"),B655)</f>
        <v>Luócūn Zhèn</v>
      </c>
      <c r="D655" t="s">
        <v>1561</v>
      </c>
      <c r="E655" t="s">
        <v>7</v>
      </c>
      <c r="F655" t="str">
        <f>_xlfn.CONCAT(D655,", ",H655,", ",I655,", ","山西省")</f>
        <v>罗村镇, 石楼县, 吕梁市, 山西省</v>
      </c>
      <c r="G655">
        <v>11656</v>
      </c>
      <c r="H655" t="s">
        <v>2955</v>
      </c>
      <c r="I655" t="s">
        <v>2946</v>
      </c>
      <c r="J655">
        <f>VLOOKUP(F655,[1]!china_towns_second__2[[Column1]:[Y]],3,FALSE)</f>
        <v>36.973555755791502</v>
      </c>
      <c r="K655">
        <f>VLOOKUP(F655,[1]!china_towns_second__2[[Column1]:[Y]],2,FALSE)</f>
        <v>110.9723879</v>
      </c>
      <c r="L655" t="s">
        <v>4231</v>
      </c>
      <c r="M655" t="str">
        <f>VLOOKUP(H655,CHOOSE({1,2},Table12[Native],Table12[Name]),2,0)</f>
        <v>Shílóu Xiàn</v>
      </c>
      <c r="N655" s="13" t="str">
        <f>VLOOKUP(I655,CHOOSE({1,2},Table12[Native],Table12[Name]),2,0)</f>
        <v>Lǚliáng Shì</v>
      </c>
      <c r="O655" s="13" t="str">
        <f t="shared" si="20"/>
        <v>Luocun Zhen (Lǚliáng Shì)</v>
      </c>
      <c r="P655" s="13" t="str">
        <f t="shared" si="21"/>
        <v>Luocun Zhen (Lǚliáng Shì)</v>
      </c>
    </row>
    <row r="656" spans="1:16" hidden="1" x14ac:dyDescent="0.25">
      <c r="A656" t="s">
        <v>439</v>
      </c>
      <c r="B656" t="str">
        <f>IF(COUNTIF(A:A,A656)&gt;1,_xlfn.CONCAT(A656," (",N656,")"),A656)</f>
        <v>Luòshuĭhé Xiāng</v>
      </c>
      <c r="C656" t="str">
        <f>IF(COUNTIF(B:B,B656)&gt;1,_xlfn.CONCAT(A656," (",M656,")"),B656)</f>
        <v>Luòshuĭhé Xiāng</v>
      </c>
      <c r="D656" t="s">
        <v>440</v>
      </c>
      <c r="E656" t="s">
        <v>17</v>
      </c>
      <c r="F656" t="str">
        <f>_xlfn.CONCAT(D656,", ",H656,", ",I656,", ","山西省")</f>
        <v>落水河乡, 灵丘县, 大同市, 山西省</v>
      </c>
      <c r="G656">
        <v>21371</v>
      </c>
      <c r="H656" t="s">
        <v>2897</v>
      </c>
      <c r="I656" t="s">
        <v>2894</v>
      </c>
      <c r="J656" t="e">
        <f>VLOOKUP(F656,[1]!china_towns_second__2[[Column1]:[Y]],3,FALSE)</f>
        <v>#N/A</v>
      </c>
      <c r="K656" t="e">
        <f>VLOOKUP(F656,[1]!china_towns_second__2[[Column1]:[Y]],2,FALSE)</f>
        <v>#N/A</v>
      </c>
      <c r="L656" t="s">
        <v>4232</v>
      </c>
      <c r="M656" t="str">
        <f>VLOOKUP(H656,CHOOSE({1,2},Table12[Native],Table12[Name]),2,0)</f>
        <v>Língqiū Xiàn</v>
      </c>
      <c r="N656" s="13" t="str">
        <f>VLOOKUP(I656,CHOOSE({1,2},Table12[Native],Table12[Name]),2,0)</f>
        <v>Dàtóng Shì</v>
      </c>
      <c r="O656" s="13" t="str">
        <f t="shared" si="20"/>
        <v>Luoshuihe Xiang (Dàtóng Shì)</v>
      </c>
      <c r="P656" s="13" t="str">
        <f t="shared" si="21"/>
        <v>Luoshuihe Xiang (Dàtóng Shì)</v>
      </c>
    </row>
    <row r="657" spans="1:16" hidden="1" x14ac:dyDescent="0.25">
      <c r="A657" t="s">
        <v>441</v>
      </c>
      <c r="B657" t="str">
        <f>IF(COUNTIF(A:A,A657)&gt;1,_xlfn.CONCAT(A657," (",N657,")"),A657)</f>
        <v>Luówénzào Zhèn</v>
      </c>
      <c r="C657" t="str">
        <f>IF(COUNTIF(B:B,B657)&gt;1,_xlfn.CONCAT(A657," (",M657,")"),B657)</f>
        <v>Luówénzào Zhèn</v>
      </c>
      <c r="D657" t="s">
        <v>442</v>
      </c>
      <c r="E657" t="s">
        <v>7</v>
      </c>
      <c r="F657" t="str">
        <f>_xlfn.CONCAT(D657,", ",H657,", ",I657,", ","山西省")</f>
        <v>罗文皂镇, 阳高县, 大同市, 山西省</v>
      </c>
      <c r="G657">
        <v>27042</v>
      </c>
      <c r="H657" t="s">
        <v>2901</v>
      </c>
      <c r="I657" t="s">
        <v>2894</v>
      </c>
      <c r="J657">
        <f>VLOOKUP(F657,[1]!china_towns_second__2[[Column1]:[Y]],3,FALSE)</f>
        <v>40.444290925505101</v>
      </c>
      <c r="K657">
        <f>VLOOKUP(F657,[1]!china_towns_second__2[[Column1]:[Y]],2,FALSE)</f>
        <v>113.8713824</v>
      </c>
      <c r="L657" t="s">
        <v>4233</v>
      </c>
      <c r="M657" t="str">
        <f>VLOOKUP(H657,CHOOSE({1,2},Table12[Native],Table12[Name]),2,0)</f>
        <v>Yánggāo Xiàn</v>
      </c>
      <c r="N657" s="13" t="str">
        <f>VLOOKUP(I657,CHOOSE({1,2},Table12[Native],Table12[Name]),2,0)</f>
        <v>Dàtóng Shì</v>
      </c>
      <c r="O657" s="13" t="str">
        <f t="shared" si="20"/>
        <v>Luowenzao Zhen (Dàtóng Shì)</v>
      </c>
      <c r="P657" s="13" t="str">
        <f t="shared" si="21"/>
        <v>Luowenzao Zhen (Dàtóng Shì)</v>
      </c>
    </row>
    <row r="658" spans="1:16" hidden="1" x14ac:dyDescent="0.25">
      <c r="A658" t="s">
        <v>1562</v>
      </c>
      <c r="B658" t="str">
        <f>IF(COUNTIF(A:A,A658)&gt;1,_xlfn.CONCAT(A658," (",N658,")"),A658)</f>
        <v>Luóyùkŏu Zhèn</v>
      </c>
      <c r="C658" t="str">
        <f>IF(COUNTIF(B:B,B658)&gt;1,_xlfn.CONCAT(A658," (",M658,")"),B658)</f>
        <v>Luóyùkŏu Zhèn</v>
      </c>
      <c r="D658" t="s">
        <v>1563</v>
      </c>
      <c r="E658" t="s">
        <v>7</v>
      </c>
      <c r="F658" t="str">
        <f>_xlfn.CONCAT(D658,", ",H658,", ",I658,", ","山西省")</f>
        <v>罗峪口镇, 兴县, 吕梁市, 山西省</v>
      </c>
      <c r="G658">
        <v>6893</v>
      </c>
      <c r="H658" t="s">
        <v>2958</v>
      </c>
      <c r="I658" t="s">
        <v>2946</v>
      </c>
      <c r="J658">
        <f>VLOOKUP(F658,[1]!china_towns_second__2[[Column1]:[Y]],3,FALSE)</f>
        <v>38.3327455664826</v>
      </c>
      <c r="K658">
        <f>VLOOKUP(F658,[1]!china_towns_second__2[[Column1]:[Y]],2,FALSE)</f>
        <v>110.76998279999999</v>
      </c>
      <c r="L658" t="s">
        <v>4234</v>
      </c>
      <c r="M658" t="str">
        <f>VLOOKUP(H658,CHOOSE({1,2},Table12[Native],Table12[Name]),2,0)</f>
        <v>Xīng Xiàn</v>
      </c>
      <c r="N658" s="13" t="str">
        <f>VLOOKUP(I658,CHOOSE({1,2},Table12[Native],Table12[Name]),2,0)</f>
        <v>Lǚliáng Shì</v>
      </c>
      <c r="O658" s="13" t="str">
        <f t="shared" si="20"/>
        <v>Luoyukou Zhen (Lǚliáng Shì)</v>
      </c>
      <c r="P658" s="13" t="str">
        <f t="shared" si="21"/>
        <v>Luoyukou Zhen (Lǚliáng Shì)</v>
      </c>
    </row>
    <row r="659" spans="1:16" hidden="1" x14ac:dyDescent="0.25">
      <c r="A659" t="s">
        <v>918</v>
      </c>
      <c r="B659" t="str">
        <f>IF(COUNTIF(A:A,A659)&gt;1,_xlfn.CONCAT(A659," (",N659,")"),A659)</f>
        <v>Lùtái Chéngqū</v>
      </c>
      <c r="C659" t="str">
        <f>IF(COUNTIF(B:B,B659)&gt;1,_xlfn.CONCAT(A659," (",M659,")"),B659)</f>
        <v>Lùtái Chéngqū</v>
      </c>
      <c r="D659" t="s">
        <v>919</v>
      </c>
      <c r="E659" t="s">
        <v>31</v>
      </c>
      <c r="F659" t="str">
        <f>_xlfn.CONCAT(D659,", ",H659,", ",I659,", ","山西省")</f>
        <v>麓台城区, 祁县, 晋中市, 山西省</v>
      </c>
      <c r="G659">
        <v>17163</v>
      </c>
      <c r="H659" t="s">
        <v>2919</v>
      </c>
      <c r="I659" t="s">
        <v>2914</v>
      </c>
      <c r="J659" t="e">
        <f>VLOOKUP(F659,[1]!china_towns_second__2[[Column1]:[Y]],3,FALSE)</f>
        <v>#N/A</v>
      </c>
      <c r="K659" t="e">
        <f>VLOOKUP(F659,[1]!china_towns_second__2[[Column1]:[Y]],2,FALSE)</f>
        <v>#N/A</v>
      </c>
      <c r="L659" t="s">
        <v>4235</v>
      </c>
      <c r="M659" t="str">
        <f>VLOOKUP(H659,CHOOSE({1,2},Table12[Native],Table12[Name]),2,0)</f>
        <v>Qí Xiàn</v>
      </c>
      <c r="N659" s="13" t="str">
        <f>VLOOKUP(I659,CHOOSE({1,2},Table12[Native],Table12[Name]),2,0)</f>
        <v>Jìnzhōng Shì</v>
      </c>
      <c r="O659" s="13" t="str">
        <f t="shared" si="20"/>
        <v>Lutai Chengqu (Jìnzhōng Shì)</v>
      </c>
      <c r="P659" s="13" t="str">
        <f t="shared" si="21"/>
        <v>Lutai Chengqu (Jìnzhōng Shì)</v>
      </c>
    </row>
    <row r="660" spans="1:16" hidden="1" x14ac:dyDescent="0.25">
      <c r="A660" t="s">
        <v>920</v>
      </c>
      <c r="B660" t="str">
        <f>IF(COUNTIF(A:A,A660)&gt;1,_xlfn.CONCAT(A660," (",N660,")"),A660)</f>
        <v>Lùxī Jiēdào (Jìnzhōng Shì)</v>
      </c>
      <c r="C660" t="str">
        <f>IF(COUNTIF(B:B,B660)&gt;1,_xlfn.CONCAT(A660," (",M660,")"),B660)</f>
        <v>Lùxī Jiēdào (Jìnzhōng Shì)</v>
      </c>
      <c r="D660" t="s">
        <v>921</v>
      </c>
      <c r="E660" t="s">
        <v>31</v>
      </c>
      <c r="F660" t="str">
        <f>_xlfn.CONCAT(D660,", ",H660,", ",I660,", ","山西省")</f>
        <v>路西街道, 榆次区, 晋中市, 山西省</v>
      </c>
      <c r="G660">
        <v>24238</v>
      </c>
      <c r="H660" t="s">
        <v>2923</v>
      </c>
      <c r="I660" t="s">
        <v>2914</v>
      </c>
      <c r="J660">
        <f>VLOOKUP(F660,[1]!china_towns_second__2[[Column1]:[Y]],3,FALSE)</f>
        <v>37.666926566109503</v>
      </c>
      <c r="K660">
        <f>VLOOKUP(F660,[1]!china_towns_second__2[[Column1]:[Y]],2,FALSE)</f>
        <v>112.72302639999999</v>
      </c>
      <c r="L660" t="s">
        <v>4236</v>
      </c>
      <c r="M660" t="str">
        <f>VLOOKUP(H660,CHOOSE({1,2},Table12[Native],Table12[Name]),2,0)</f>
        <v>Yúcì Qū</v>
      </c>
      <c r="N660" s="13" t="str">
        <f>VLOOKUP(I660,CHOOSE({1,2},Table12[Native],Table12[Name]),2,0)</f>
        <v>Jìnzhōng Shì</v>
      </c>
      <c r="O660" s="13" t="str">
        <f t="shared" si="20"/>
        <v>Luxi Jiedao (Jinzhong Shi) (Jìnzhōng Shì)</v>
      </c>
      <c r="P660" s="13" t="str">
        <f t="shared" si="21"/>
        <v>Luxi Jiedao (Jinzhong Shi) (Jìnzhōng Shì)</v>
      </c>
    </row>
    <row r="661" spans="1:16" hidden="1" x14ac:dyDescent="0.25">
      <c r="A661" t="s">
        <v>920</v>
      </c>
      <c r="B661" t="str">
        <f>IF(COUNTIF(A:A,A661)&gt;1,_xlfn.CONCAT(A661," (",N661,")"),A661)</f>
        <v>Lùxī Jiēdào (Línfén Shì)</v>
      </c>
      <c r="C661" t="str">
        <f>IF(COUNTIF(B:B,B661)&gt;1,_xlfn.CONCAT(A661," (",M661,")"),B661)</f>
        <v>Lùxī Jiēdào (Línfén Shì)</v>
      </c>
      <c r="D661" t="s">
        <v>921</v>
      </c>
      <c r="E661" t="s">
        <v>31</v>
      </c>
      <c r="F661" t="str">
        <f>_xlfn.CONCAT(D661,", ",H661,", ",I661,", ","山西省")</f>
        <v>路西街道, 侯马市, 临汾市, 山西省</v>
      </c>
      <c r="G661">
        <v>29666</v>
      </c>
      <c r="H661" t="s">
        <v>2934</v>
      </c>
      <c r="I661" t="s">
        <v>2927</v>
      </c>
      <c r="J661">
        <f>VLOOKUP(F661,[1]!china_towns_second__2[[Column1]:[Y]],3,FALSE)</f>
        <v>35.610412306226202</v>
      </c>
      <c r="K661">
        <f>VLOOKUP(F661,[1]!china_towns_second__2[[Column1]:[Y]],2,FALSE)</f>
        <v>111.33336850000001</v>
      </c>
      <c r="L661" t="s">
        <v>4237</v>
      </c>
      <c r="M661" t="str">
        <f>VLOOKUP(H661,CHOOSE({1,2},Table12[Native],Table12[Name]),2,0)</f>
        <v>Hòumă Shì</v>
      </c>
      <c r="N661" s="13" t="str">
        <f>VLOOKUP(I661,CHOOSE({1,2},Table12[Native],Table12[Name]),2,0)</f>
        <v>Línfén Shì</v>
      </c>
      <c r="O661" s="13" t="str">
        <f t="shared" si="20"/>
        <v>Luxi Jiedao (Linfen Shi) (Línfén Shì)</v>
      </c>
      <c r="P661" s="13" t="str">
        <f t="shared" si="21"/>
        <v>Luxi Jiedao (Linfen Shi) (Línfén Shì)</v>
      </c>
    </row>
    <row r="662" spans="1:16" hidden="1" x14ac:dyDescent="0.25">
      <c r="A662" t="s">
        <v>1224</v>
      </c>
      <c r="B662" t="str">
        <f>IF(COUNTIF(A:A,A662)&gt;1,_xlfn.CONCAT(A662," (",N662,")"),A662)</f>
        <v>Măbì Xiāng</v>
      </c>
      <c r="C662" t="str">
        <f>IF(COUNTIF(B:B,B662)&gt;1,_xlfn.CONCAT(A662," (",M662,")"),B662)</f>
        <v>Măbì Xiāng</v>
      </c>
      <c r="D662" t="s">
        <v>1225</v>
      </c>
      <c r="E662" t="s">
        <v>17</v>
      </c>
      <c r="F662" t="str">
        <f>_xlfn.CONCAT(D662,", ",H662,", ",I662,", ","山西省")</f>
        <v>马必乡, 安泽县, 临汾市, 山西省</v>
      </c>
      <c r="G662">
        <v>6810</v>
      </c>
      <c r="H662" t="s">
        <v>2928</v>
      </c>
      <c r="I662" t="s">
        <v>2927</v>
      </c>
      <c r="J662" t="e">
        <f>VLOOKUP(F662,[1]!china_towns_second__2[[Column1]:[Y]],3,FALSE)</f>
        <v>#N/A</v>
      </c>
      <c r="K662" t="e">
        <f>VLOOKUP(F662,[1]!china_towns_second__2[[Column1]:[Y]],2,FALSE)</f>
        <v>#N/A</v>
      </c>
      <c r="L662" t="s">
        <v>4238</v>
      </c>
      <c r="M662" t="str">
        <f>VLOOKUP(H662,CHOOSE({1,2},Table12[Native],Table12[Name]),2,0)</f>
        <v>Ānzé Xiàn</v>
      </c>
      <c r="N662" s="13" t="str">
        <f>VLOOKUP(I662,CHOOSE({1,2},Table12[Native],Table12[Name]),2,0)</f>
        <v>Línfén Shì</v>
      </c>
      <c r="O662" s="13" t="str">
        <f t="shared" si="20"/>
        <v>Mabi Xiang (Línfén Shì)</v>
      </c>
      <c r="P662" s="13" t="str">
        <f t="shared" si="21"/>
        <v>Mabi Xiang (Línfén Shì)</v>
      </c>
    </row>
    <row r="663" spans="1:16" hidden="1" x14ac:dyDescent="0.25">
      <c r="A663" t="s">
        <v>179</v>
      </c>
      <c r="B663" t="str">
        <f>IF(COUNTIF(A:A,A663)&gt;1,_xlfn.CONCAT(A663," (",N663,")"),A663)</f>
        <v>Măchăng Zhèn</v>
      </c>
      <c r="C663" t="str">
        <f>IF(COUNTIF(B:B,B663)&gt;1,_xlfn.CONCAT(A663," (",M663,")"),B663)</f>
        <v>Măchăng Zhèn</v>
      </c>
      <c r="D663" t="s">
        <v>180</v>
      </c>
      <c r="E663" t="s">
        <v>7</v>
      </c>
      <c r="F663" t="str">
        <f>_xlfn.CONCAT(D663,", ",H663,", ",I663,", ","山西省")</f>
        <v>马厂镇, 潞州区, 长治市, 山西省</v>
      </c>
      <c r="G663">
        <v>33441</v>
      </c>
      <c r="H663" t="s">
        <v>2885</v>
      </c>
      <c r="I663" t="s">
        <v>2878</v>
      </c>
      <c r="J663">
        <f>VLOOKUP(F663,[1]!china_towns_second__2[[Column1]:[Y]],3,FALSE)</f>
        <v>36.303647494487798</v>
      </c>
      <c r="K663">
        <f>VLOOKUP(F663,[1]!china_towns_second__2[[Column1]:[Y]],2,FALSE)</f>
        <v>113.09518559999999</v>
      </c>
      <c r="L663" t="s">
        <v>4239</v>
      </c>
      <c r="M663" t="str">
        <f>VLOOKUP(H663,CHOOSE({1,2},Table12[Native],Table12[Name]),2,0)</f>
        <v>Lùzhōu Qū</v>
      </c>
      <c r="N663" s="13" t="str">
        <f>VLOOKUP(I663,CHOOSE({1,2},Table12[Native],Table12[Name]),2,0)</f>
        <v>Chángzhì Shì</v>
      </c>
      <c r="O663" s="13" t="str">
        <f t="shared" si="20"/>
        <v>Machang Zhen (Chángzhì Shì)</v>
      </c>
      <c r="P663" s="13" t="str">
        <f t="shared" si="21"/>
        <v>Machang Zhen (Chángzhì Shì)</v>
      </c>
    </row>
    <row r="664" spans="1:16" hidden="1" x14ac:dyDescent="0.25">
      <c r="A664" t="s">
        <v>713</v>
      </c>
      <c r="B664" t="str">
        <f>IF(COUNTIF(A:A,A664)&gt;1,_xlfn.CONCAT(A664," (",N664,")"),A664)</f>
        <v>Măcūn Zhèn</v>
      </c>
      <c r="C664" t="str">
        <f>IF(COUNTIF(B:B,B664)&gt;1,_xlfn.CONCAT(A664," (",M664,")"),B664)</f>
        <v>Măcūn Zhèn</v>
      </c>
      <c r="D664" t="s">
        <v>714</v>
      </c>
      <c r="E664" t="s">
        <v>7</v>
      </c>
      <c r="F664" t="str">
        <f>_xlfn.CONCAT(D664,", ",H664,", ",I664,", ","山西省")</f>
        <v>马村镇, 高平市, 晋城市, 山西省</v>
      </c>
      <c r="G664">
        <v>31569</v>
      </c>
      <c r="H664" t="s">
        <v>2908</v>
      </c>
      <c r="I664" t="s">
        <v>2906</v>
      </c>
      <c r="J664">
        <f>VLOOKUP(F664,[1]!china_towns_second__2[[Column1]:[Y]],3,FALSE)</f>
        <v>35.716298638151102</v>
      </c>
      <c r="K664">
        <f>VLOOKUP(F664,[1]!china_towns_second__2[[Column1]:[Y]],2,FALSE)</f>
        <v>112.7926229</v>
      </c>
      <c r="L664" t="s">
        <v>4240</v>
      </c>
      <c r="M664" t="str">
        <f>VLOOKUP(H664,CHOOSE({1,2},Table12[Native],Table12[Name]),2,0)</f>
        <v>Gāopíng Shì</v>
      </c>
      <c r="N664" s="13" t="str">
        <f>VLOOKUP(I664,CHOOSE({1,2},Table12[Native],Table12[Name]),2,0)</f>
        <v>Jìnchéng Shì</v>
      </c>
      <c r="O664" s="13" t="str">
        <f t="shared" si="20"/>
        <v>Macun Zhen (Jìnchéng Shì)</v>
      </c>
      <c r="P664" s="13" t="str">
        <f t="shared" si="21"/>
        <v>Macun Zhen (Jìnchéng Shì)</v>
      </c>
    </row>
    <row r="665" spans="1:16" hidden="1" x14ac:dyDescent="0.25">
      <c r="A665" t="s">
        <v>443</v>
      </c>
      <c r="B665" t="str">
        <f>IF(COUNTIF(A:A,A665)&gt;1,_xlfn.CONCAT(A665," (",N665,")"),A665)</f>
        <v>Mădàotóu Xiāng</v>
      </c>
      <c r="C665" t="str">
        <f>IF(COUNTIF(B:B,B665)&gt;1,_xlfn.CONCAT(A665," (",M665,")"),B665)</f>
        <v>Mădàotóu Xiāng</v>
      </c>
      <c r="D665" t="s">
        <v>444</v>
      </c>
      <c r="E665" t="s">
        <v>17</v>
      </c>
      <c r="F665" t="str">
        <f>_xlfn.CONCAT(D665,", ",H665,", ",I665,", ","山西省")</f>
        <v>马道头乡, 左云县, 大同市, 山西省</v>
      </c>
      <c r="G665">
        <v>10087</v>
      </c>
      <c r="H665" t="s">
        <v>2904</v>
      </c>
      <c r="I665" t="s">
        <v>2894</v>
      </c>
      <c r="J665" t="e">
        <f>VLOOKUP(F665,[1]!china_towns_second__2[[Column1]:[Y]],3,FALSE)</f>
        <v>#N/A</v>
      </c>
      <c r="K665" t="e">
        <f>VLOOKUP(F665,[1]!china_towns_second__2[[Column1]:[Y]],2,FALSE)</f>
        <v>#N/A</v>
      </c>
      <c r="L665" t="s">
        <v>4241</v>
      </c>
      <c r="M665" t="str">
        <f>VLOOKUP(H665,CHOOSE({1,2},Table12[Native],Table12[Name]),2,0)</f>
        <v>Zuǒyún Xiàn</v>
      </c>
      <c r="N665" s="13" t="str">
        <f>VLOOKUP(I665,CHOOSE({1,2},Table12[Native],Table12[Name]),2,0)</f>
        <v>Dàtóng Shì</v>
      </c>
      <c r="O665" s="13" t="str">
        <f t="shared" si="20"/>
        <v>Madaotou Xiang (Dàtóng Shì)</v>
      </c>
      <c r="P665" s="13" t="str">
        <f t="shared" si="21"/>
        <v>Madaotou Xiang (Dàtóng Shì)</v>
      </c>
    </row>
    <row r="666" spans="1:16" hidden="1" x14ac:dyDescent="0.25">
      <c r="A666" t="s">
        <v>1564</v>
      </c>
      <c r="B666" t="str">
        <f>IF(COUNTIF(A:A,A666)&gt;1,_xlfn.CONCAT(A666," (",N666,")"),A666)</f>
        <v>Mádìhuì Xiāng</v>
      </c>
      <c r="C666" t="str">
        <f>IF(COUNTIF(B:B,B666)&gt;1,_xlfn.CONCAT(A666," (",M666,")"),B666)</f>
        <v>Mádìhuì Xiāng</v>
      </c>
      <c r="D666" t="s">
        <v>1565</v>
      </c>
      <c r="E666" t="s">
        <v>17</v>
      </c>
      <c r="F666" t="str">
        <f>_xlfn.CONCAT(D666,", ",H666,", ",I666,", ","山西省")</f>
        <v>麻地会乡, 方山县, 吕梁市, 山西省</v>
      </c>
      <c r="G666">
        <v>9547</v>
      </c>
      <c r="H666" t="s">
        <v>2947</v>
      </c>
      <c r="I666" t="s">
        <v>2946</v>
      </c>
      <c r="J666" t="e">
        <f>VLOOKUP(F666,[1]!china_towns_second__2[[Column1]:[Y]],3,FALSE)</f>
        <v>#N/A</v>
      </c>
      <c r="K666" t="e">
        <f>VLOOKUP(F666,[1]!china_towns_second__2[[Column1]:[Y]],2,FALSE)</f>
        <v>#N/A</v>
      </c>
      <c r="L666" t="s">
        <v>4242</v>
      </c>
      <c r="M666" t="str">
        <f>VLOOKUP(H666,CHOOSE({1,2},Table12[Native],Table12[Name]),2,0)</f>
        <v>Fāngshān Xiàn</v>
      </c>
      <c r="N666" s="13" t="str">
        <f>VLOOKUP(I666,CHOOSE({1,2},Table12[Native],Table12[Name]),2,0)</f>
        <v>Lǚliáng Shì</v>
      </c>
      <c r="O666" s="13" t="str">
        <f t="shared" si="20"/>
        <v>Madihui Xiang (Lǚliáng Shì)</v>
      </c>
      <c r="P666" s="13" t="str">
        <f t="shared" si="21"/>
        <v>Madihui Xiang (Lǚliáng Shì)</v>
      </c>
    </row>
    <row r="667" spans="1:16" hidden="1" x14ac:dyDescent="0.25">
      <c r="A667" t="s">
        <v>922</v>
      </c>
      <c r="B667" t="str">
        <f>IF(COUNTIF(A:A,A667)&gt;1,_xlfn.CONCAT(A667," (",N667,")"),A667)</f>
        <v>Măfāng Xiāng</v>
      </c>
      <c r="C667" t="str">
        <f>IF(COUNTIF(B:B,B667)&gt;1,_xlfn.CONCAT(A667," (",M667,")"),B667)</f>
        <v>Măfāng Xiāng</v>
      </c>
      <c r="D667" t="s">
        <v>923</v>
      </c>
      <c r="E667" t="s">
        <v>17</v>
      </c>
      <c r="F667" t="str">
        <f>_xlfn.CONCAT(D667,", ",H667,", ",I667,", ","山西省")</f>
        <v>马坊乡, 和顺县, 晋中市, 山西省</v>
      </c>
      <c r="G667">
        <v>3898</v>
      </c>
      <c r="H667" t="s">
        <v>2915</v>
      </c>
      <c r="I667" t="s">
        <v>2914</v>
      </c>
      <c r="J667" t="e">
        <f>VLOOKUP(F667,[1]!china_towns_second__2[[Column1]:[Y]],3,FALSE)</f>
        <v>#N/A</v>
      </c>
      <c r="K667" t="e">
        <f>VLOOKUP(F667,[1]!china_towns_second__2[[Column1]:[Y]],2,FALSE)</f>
        <v>#N/A</v>
      </c>
      <c r="L667" t="s">
        <v>4243</v>
      </c>
      <c r="M667" t="str">
        <f>VLOOKUP(H667,CHOOSE({1,2},Table12[Native],Table12[Name]),2,0)</f>
        <v>Héshùn Xiàn</v>
      </c>
      <c r="N667" s="13" t="str">
        <f>VLOOKUP(I667,CHOOSE({1,2},Table12[Native],Table12[Name]),2,0)</f>
        <v>Jìnzhōng Shì</v>
      </c>
      <c r="O667" s="13" t="str">
        <f t="shared" si="20"/>
        <v>Mafang Xiang (Jìnzhōng Shì)</v>
      </c>
      <c r="P667" s="13" t="str">
        <f t="shared" si="21"/>
        <v>Mafang Xiang (Jìnzhōng Shì)</v>
      </c>
    </row>
    <row r="668" spans="1:16" hidden="1" x14ac:dyDescent="0.25">
      <c r="A668" t="s">
        <v>1566</v>
      </c>
      <c r="B668" t="str">
        <f>IF(COUNTIF(A:A,A668)&gt;1,_xlfn.CONCAT(A668," (",N668,")"),A668)</f>
        <v>Măfāng Zhèn</v>
      </c>
      <c r="C668" t="str">
        <f>IF(COUNTIF(B:B,B668)&gt;1,_xlfn.CONCAT(A668," (",M668,")"),B668)</f>
        <v>Măfāng Zhèn</v>
      </c>
      <c r="D668" t="s">
        <v>1567</v>
      </c>
      <c r="E668" t="s">
        <v>7</v>
      </c>
      <c r="F668" t="str">
        <f>_xlfn.CONCAT(D668,", ",H668,", ",I668,", ","山西省")</f>
        <v>马坊镇, 方山县, 吕梁市, 山西省</v>
      </c>
      <c r="G668">
        <v>16652</v>
      </c>
      <c r="H668" t="s">
        <v>2947</v>
      </c>
      <c r="I668" t="s">
        <v>2946</v>
      </c>
      <c r="J668">
        <f>VLOOKUP(F668,[1]!china_towns_second__2[[Column1]:[Y]],3,FALSE)</f>
        <v>38.045980580576902</v>
      </c>
      <c r="K668">
        <f>VLOOKUP(F668,[1]!china_towns_second__2[[Column1]:[Y]],2,FALSE)</f>
        <v>111.4356507</v>
      </c>
      <c r="L668" t="s">
        <v>4244</v>
      </c>
      <c r="M668" t="str">
        <f>VLOOKUP(H668,CHOOSE({1,2},Table12[Native],Table12[Name]),2,0)</f>
        <v>Fāngshān Xiàn</v>
      </c>
      <c r="N668" s="13" t="str">
        <f>VLOOKUP(I668,CHOOSE({1,2},Table12[Native],Table12[Name]),2,0)</f>
        <v>Lǚliáng Shì</v>
      </c>
      <c r="O668" s="13" t="str">
        <f t="shared" si="20"/>
        <v>Mafang Zhen (Lǚliáng Shì)</v>
      </c>
      <c r="P668" s="13" t="str">
        <f t="shared" si="21"/>
        <v>Mafang Zhen (Lǚliáng Shì)</v>
      </c>
    </row>
    <row r="669" spans="1:16" hidden="1" x14ac:dyDescent="0.25">
      <c r="A669" t="s">
        <v>715</v>
      </c>
      <c r="B669" t="str">
        <f>IF(COUNTIF(A:A,A669)&gt;1,_xlfn.CONCAT(A669," (",N669,")"),A669)</f>
        <v>Măgēdāng Xiāng</v>
      </c>
      <c r="C669" t="str">
        <f>IF(COUNTIF(B:B,B669)&gt;1,_xlfn.CONCAT(A669," (",M669,")"),B669)</f>
        <v>Măgēdāng Xiāng</v>
      </c>
      <c r="D669" t="s">
        <v>716</v>
      </c>
      <c r="E669" t="s">
        <v>17</v>
      </c>
      <c r="F669" t="str">
        <f>_xlfn.CONCAT(D669,", ",H669,", ",I669,", ","山西省")</f>
        <v>马圪当乡, 陵川县, 晋城市, 山西省</v>
      </c>
      <c r="G669">
        <v>5438</v>
      </c>
      <c r="H669" t="s">
        <v>2909</v>
      </c>
      <c r="I669" t="s">
        <v>2906</v>
      </c>
      <c r="J669" t="e">
        <f>VLOOKUP(F669,[1]!china_towns_second__2[[Column1]:[Y]],3,FALSE)</f>
        <v>#N/A</v>
      </c>
      <c r="K669" t="e">
        <f>VLOOKUP(F669,[1]!china_towns_second__2[[Column1]:[Y]],2,FALSE)</f>
        <v>#N/A</v>
      </c>
      <c r="L669" t="s">
        <v>4245</v>
      </c>
      <c r="M669" t="str">
        <f>VLOOKUP(H669,CHOOSE({1,2},Table12[Native],Table12[Name]),2,0)</f>
        <v>Língchuān Xiàn</v>
      </c>
      <c r="N669" s="13" t="str">
        <f>VLOOKUP(I669,CHOOSE({1,2},Table12[Native],Table12[Name]),2,0)</f>
        <v>Jìnchéng Shì</v>
      </c>
      <c r="O669" s="13" t="str">
        <f t="shared" si="20"/>
        <v>Magedang Xiang (Jìnchéng Shì)</v>
      </c>
      <c r="P669" s="13" t="str">
        <f t="shared" si="21"/>
        <v>Magedang Xiang (Jìnchéng Shì)</v>
      </c>
    </row>
    <row r="670" spans="1:16" hidden="1" x14ac:dyDescent="0.25">
      <c r="A670" t="s">
        <v>924</v>
      </c>
      <c r="B670" t="str">
        <f>IF(COUNTIF(A:A,A670)&gt;1,_xlfn.CONCAT(A670," (",N670,")"),A670)</f>
        <v>Măhé Xiāng</v>
      </c>
      <c r="C670" t="str">
        <f>IF(COUNTIF(B:B,B670)&gt;1,_xlfn.CONCAT(A670," (",M670,")"),B670)</f>
        <v>Măhé Xiāng</v>
      </c>
      <c r="D670" t="s">
        <v>925</v>
      </c>
      <c r="E670" t="s">
        <v>17</v>
      </c>
      <c r="F670" t="str">
        <f>_xlfn.CONCAT(D670,", ",H670,", ",I670,", ","山西省")</f>
        <v>马和乡, 灵石县, 晋中市, 山西省</v>
      </c>
      <c r="G670">
        <v>8851</v>
      </c>
      <c r="H670" t="s">
        <v>2917</v>
      </c>
      <c r="I670" t="s">
        <v>2914</v>
      </c>
      <c r="J670" t="e">
        <f>VLOOKUP(F670,[1]!china_towns_second__2[[Column1]:[Y]],3,FALSE)</f>
        <v>#N/A</v>
      </c>
      <c r="K670" t="e">
        <f>VLOOKUP(F670,[1]!china_towns_second__2[[Column1]:[Y]],2,FALSE)</f>
        <v>#N/A</v>
      </c>
      <c r="L670" t="s">
        <v>4246</v>
      </c>
      <c r="M670" t="str">
        <f>VLOOKUP(H670,CHOOSE({1,2},Table12[Native],Table12[Name]),2,0)</f>
        <v>Língshí Xiàn</v>
      </c>
      <c r="N670" s="13" t="str">
        <f>VLOOKUP(I670,CHOOSE({1,2},Table12[Native],Table12[Name]),2,0)</f>
        <v>Jìnzhōng Shì</v>
      </c>
      <c r="O670" s="13" t="str">
        <f t="shared" si="20"/>
        <v>Mahe Xiang (Jìnzhōng Shì)</v>
      </c>
      <c r="P670" s="13" t="str">
        <f t="shared" si="21"/>
        <v>Mahe Xiang (Jìnzhōng Shì)</v>
      </c>
    </row>
    <row r="671" spans="1:16" hidden="1" x14ac:dyDescent="0.25">
      <c r="A671" t="s">
        <v>445</v>
      </c>
      <c r="B671" t="str">
        <f>IF(COUNTIF(A:A,A671)&gt;1,_xlfn.CONCAT(A671," (",N671,")"),A671)</f>
        <v>Măjiāzào Xiāng</v>
      </c>
      <c r="C671" t="str">
        <f>IF(COUNTIF(B:B,B671)&gt;1,_xlfn.CONCAT(A671," (",M671,")"),B671)</f>
        <v>Măjiāzào Xiāng</v>
      </c>
      <c r="D671" t="s">
        <v>446</v>
      </c>
      <c r="E671" t="s">
        <v>17</v>
      </c>
      <c r="F671" t="str">
        <f>_xlfn.CONCAT(D671,", ",H671,", ",I671,", ","山西省")</f>
        <v>马家皂乡, 天镇县, 大同市, 山西省</v>
      </c>
      <c r="G671">
        <v>14211</v>
      </c>
      <c r="H671" t="s">
        <v>2899</v>
      </c>
      <c r="I671" t="s">
        <v>2894</v>
      </c>
      <c r="J671" t="e">
        <f>VLOOKUP(F671,[1]!china_towns_second__2[[Column1]:[Y]],3,FALSE)</f>
        <v>#N/A</v>
      </c>
      <c r="K671" t="e">
        <f>VLOOKUP(F671,[1]!china_towns_second__2[[Column1]:[Y]],2,FALSE)</f>
        <v>#N/A</v>
      </c>
      <c r="L671" t="s">
        <v>4247</v>
      </c>
      <c r="M671" t="str">
        <f>VLOOKUP(H671,CHOOSE({1,2},Table12[Native],Table12[Name]),2,0)</f>
        <v>Tiānzhèn Xiàn</v>
      </c>
      <c r="N671" s="13" t="str">
        <f>VLOOKUP(I671,CHOOSE({1,2},Table12[Native],Table12[Name]),2,0)</f>
        <v>Dàtóng Shì</v>
      </c>
      <c r="O671" s="13" t="str">
        <f t="shared" si="20"/>
        <v>Majiazao Xiang (Dàtóng Shì)</v>
      </c>
      <c r="P671" s="13" t="str">
        <f t="shared" si="21"/>
        <v>Majiazao Xiang (Dàtóng Shì)</v>
      </c>
    </row>
    <row r="672" spans="1:16" hidden="1" x14ac:dyDescent="0.25">
      <c r="A672" t="s">
        <v>1986</v>
      </c>
      <c r="B672" t="str">
        <f>IF(COUNTIF(A:A,A672)&gt;1,_xlfn.CONCAT(A672," (",N672,")"),A672)</f>
        <v>Măjiāzhuāng Xiāng</v>
      </c>
      <c r="C672" t="str">
        <f>IF(COUNTIF(B:B,B672)&gt;1,_xlfn.CONCAT(A672," (",M672,")"),B672)</f>
        <v>Măjiāzhuāng Xiāng</v>
      </c>
      <c r="D672" t="s">
        <v>1987</v>
      </c>
      <c r="E672" t="s">
        <v>17</v>
      </c>
      <c r="F672" t="str">
        <f>_xlfn.CONCAT(D672,", ",H672,", ",I672,", ","山西省")</f>
        <v>马家庄乡, 娄烦县, 太原市, 山西省</v>
      </c>
      <c r="G672">
        <v>15786</v>
      </c>
      <c r="H672" t="s">
        <v>2973</v>
      </c>
      <c r="I672" t="s">
        <v>2969</v>
      </c>
      <c r="J672" t="e">
        <f>VLOOKUP(F672,[1]!china_towns_second__2[[Column1]:[Y]],3,FALSE)</f>
        <v>#N/A</v>
      </c>
      <c r="K672" t="e">
        <f>VLOOKUP(F672,[1]!china_towns_second__2[[Column1]:[Y]],2,FALSE)</f>
        <v>#N/A</v>
      </c>
      <c r="L672" t="s">
        <v>4248</v>
      </c>
      <c r="M672" t="str">
        <f>VLOOKUP(H672,CHOOSE({1,2},Table12[Native],Table12[Name]),2,0)</f>
        <v>Lóufán Xiàn</v>
      </c>
      <c r="N672" s="13" t="str">
        <f>VLOOKUP(I672,CHOOSE({1,2},Table12[Native],Table12[Name]),2,0)</f>
        <v>Tàiyuán Shì</v>
      </c>
      <c r="O672" s="13" t="str">
        <f t="shared" si="20"/>
        <v>Majiazhuang Xiang (Tàiyuán Shì)</v>
      </c>
      <c r="P672" s="13" t="str">
        <f t="shared" si="21"/>
        <v>Majiazhuang Xiang (Tàiyuán Shì)</v>
      </c>
    </row>
    <row r="673" spans="1:16" hidden="1" x14ac:dyDescent="0.25">
      <c r="A673" t="s">
        <v>447</v>
      </c>
      <c r="B673" t="str">
        <f>IF(COUNTIF(A:A,A673)&gt;1,_xlfn.CONCAT(A673," (",N673,")"),A673)</f>
        <v>Măjĭliáng Jiēdào</v>
      </c>
      <c r="C673" t="str">
        <f>IF(COUNTIF(B:B,B673)&gt;1,_xlfn.CONCAT(A673," (",M673,")"),B673)</f>
        <v>Măjĭliáng Jiēdào</v>
      </c>
      <c r="D673" t="s">
        <v>448</v>
      </c>
      <c r="E673" t="s">
        <v>31</v>
      </c>
      <c r="F673" t="str">
        <f>_xlfn.CONCAT(D673,", ",H673,", ",I673,", ","山西省")</f>
        <v>马脊梁街道, 云冈区, 大同市, 山西省</v>
      </c>
      <c r="G673">
        <v>9614</v>
      </c>
      <c r="H673" t="s">
        <v>2902</v>
      </c>
      <c r="I673" t="s">
        <v>2894</v>
      </c>
      <c r="J673" t="e">
        <f>VLOOKUP(F673,[1]!china_towns_second__2[[Column1]:[Y]],3,FALSE)</f>
        <v>#N/A</v>
      </c>
      <c r="K673" t="e">
        <f>VLOOKUP(F673,[1]!china_towns_second__2[[Column1]:[Y]],2,FALSE)</f>
        <v>#N/A</v>
      </c>
      <c r="L673" t="s">
        <v>4249</v>
      </c>
      <c r="M673" t="str">
        <f>VLOOKUP(H673,CHOOSE({1,2},Table12[Native],Table12[Name]),2,0)</f>
        <v>Yúngāng Qū</v>
      </c>
      <c r="N673" s="13" t="str">
        <f>VLOOKUP(I673,CHOOSE({1,2},Table12[Native],Table12[Name]),2,0)</f>
        <v>Dàtóng Shì</v>
      </c>
      <c r="O673" s="13" t="str">
        <f t="shared" si="20"/>
        <v>Majiliang Jiedao (Dàtóng Shì)</v>
      </c>
      <c r="P673" s="13" t="str">
        <f t="shared" si="21"/>
        <v>Majiliang Jiedao (Dàtóng Shì)</v>
      </c>
    </row>
    <row r="674" spans="1:16" hidden="1" x14ac:dyDescent="0.25">
      <c r="A674" t="s">
        <v>449</v>
      </c>
      <c r="B674" t="str">
        <f>IF(COUNTIF(A:A,A674)&gt;1,_xlfn.CONCAT(A674," (",N674,")"),A674)</f>
        <v>Măjūnyíng Xiāng</v>
      </c>
      <c r="C674" t="str">
        <f>IF(COUNTIF(B:B,B674)&gt;1,_xlfn.CONCAT(A674," (",M674,")"),B674)</f>
        <v>Măjūnyíng Xiāng</v>
      </c>
      <c r="D674" t="s">
        <v>450</v>
      </c>
      <c r="E674" t="s">
        <v>17</v>
      </c>
      <c r="F674" t="str">
        <f>_xlfn.CONCAT(D674,", ",H674,", ",I674,", ","山西省")</f>
        <v>马军营乡, 平城区, 大同市, 山西省</v>
      </c>
      <c r="G674">
        <v>95867</v>
      </c>
      <c r="H674" t="s">
        <v>2898</v>
      </c>
      <c r="I674" t="s">
        <v>2894</v>
      </c>
      <c r="J674" t="e">
        <f>VLOOKUP(F674,[1]!china_towns_second__2[[Column1]:[Y]],3,FALSE)</f>
        <v>#N/A</v>
      </c>
      <c r="K674" t="e">
        <f>VLOOKUP(F674,[1]!china_towns_second__2[[Column1]:[Y]],2,FALSE)</f>
        <v>#N/A</v>
      </c>
      <c r="L674" t="s">
        <v>4250</v>
      </c>
      <c r="M674" t="str">
        <f>VLOOKUP(H674,CHOOSE({1,2},Table12[Native],Table12[Name]),2,0)</f>
        <v>Píngchéng Qū</v>
      </c>
      <c r="N674" s="13" t="str">
        <f>VLOOKUP(I674,CHOOSE({1,2},Table12[Native],Table12[Name]),2,0)</f>
        <v>Dàtóng Shì</v>
      </c>
      <c r="O674" s="13" t="str">
        <f t="shared" si="20"/>
        <v>Majunying Xiang (Dàtóng Shì)</v>
      </c>
      <c r="P674" s="13" t="str">
        <f t="shared" si="21"/>
        <v>Majunying Xiang (Dàtóng Shì)</v>
      </c>
    </row>
    <row r="675" spans="1:16" hidden="1" x14ac:dyDescent="0.25">
      <c r="A675" t="s">
        <v>451</v>
      </c>
      <c r="B675" t="str">
        <f>IF(COUNTIF(A:A,A675)&gt;1,_xlfn.CONCAT(A675," (",N675,")"),A675)</f>
        <v>Măkŏu Jiēdào</v>
      </c>
      <c r="C675" t="str">
        <f>IF(COUNTIF(B:B,B675)&gt;1,_xlfn.CONCAT(A675," (",M675,")"),B675)</f>
        <v>Măkŏu Jiēdào</v>
      </c>
      <c r="D675" t="s">
        <v>452</v>
      </c>
      <c r="E675" t="s">
        <v>31</v>
      </c>
      <c r="F675" t="str">
        <f>_xlfn.CONCAT(D675,", ",H675,", ",I675,", ","山西省")</f>
        <v>马口街道, 云冈区, 大同市, 山西省</v>
      </c>
      <c r="G675">
        <v>3951</v>
      </c>
      <c r="H675" t="s">
        <v>2902</v>
      </c>
      <c r="I675" t="s">
        <v>2894</v>
      </c>
      <c r="J675" t="e">
        <f>VLOOKUP(F675,[1]!china_towns_second__2[[Column1]:[Y]],3,FALSE)</f>
        <v>#N/A</v>
      </c>
      <c r="K675" t="e">
        <f>VLOOKUP(F675,[1]!china_towns_second__2[[Column1]:[Y]],2,FALSE)</f>
        <v>#N/A</v>
      </c>
      <c r="L675" t="s">
        <v>4251</v>
      </c>
      <c r="M675" t="str">
        <f>VLOOKUP(H675,CHOOSE({1,2},Table12[Native],Table12[Name]),2,0)</f>
        <v>Yúngāng Qū</v>
      </c>
      <c r="N675" s="13" t="str">
        <f>VLOOKUP(I675,CHOOSE({1,2},Table12[Native],Table12[Name]),2,0)</f>
        <v>Dàtóng Shì</v>
      </c>
      <c r="O675" s="13" t="str">
        <f t="shared" si="20"/>
        <v>Makou Jiedao (Dàtóng Shì)</v>
      </c>
      <c r="P675" s="13" t="str">
        <f t="shared" si="21"/>
        <v>Makou Jiedao (Dàtóng Shì)</v>
      </c>
    </row>
    <row r="676" spans="1:16" hidden="1" x14ac:dyDescent="0.25">
      <c r="A676" t="s">
        <v>1988</v>
      </c>
      <c r="B676" t="str">
        <f>IF(COUNTIF(A:A,A676)&gt;1,_xlfn.CONCAT(A676," (",N676,")"),A676)</f>
        <v>Mălán Zhèn</v>
      </c>
      <c r="C676" t="str">
        <f>IF(COUNTIF(B:B,B676)&gt;1,_xlfn.CONCAT(A676," (",M676,")"),B676)</f>
        <v>Mălán Zhèn</v>
      </c>
      <c r="D676" t="s">
        <v>1989</v>
      </c>
      <c r="E676" t="s">
        <v>7</v>
      </c>
      <c r="F676" t="str">
        <f>_xlfn.CONCAT(D676,", ",H676,", ",I676,", ","山西省")</f>
        <v>马兰镇, 古交市, 太原市, 山西省</v>
      </c>
      <c r="G676">
        <v>21056</v>
      </c>
      <c r="H676" t="s">
        <v>2970</v>
      </c>
      <c r="I676" t="s">
        <v>2969</v>
      </c>
      <c r="J676">
        <f>VLOOKUP(F676,[1]!china_towns_second__2[[Column1]:[Y]],3,FALSE)</f>
        <v>37.852596976478303</v>
      </c>
      <c r="K676">
        <f>VLOOKUP(F676,[1]!china_towns_second__2[[Column1]:[Y]],2,FALSE)</f>
        <v>111.9932046</v>
      </c>
      <c r="L676" t="s">
        <v>4252</v>
      </c>
      <c r="M676" t="str">
        <f>VLOOKUP(H676,CHOOSE({1,2},Table12[Native],Table12[Name]),2,0)</f>
        <v>Gŭjiāo Shì</v>
      </c>
      <c r="N676" s="13" t="str">
        <f>VLOOKUP(I676,CHOOSE({1,2},Table12[Native],Table12[Name]),2,0)</f>
        <v>Tàiyuán Shì</v>
      </c>
      <c r="O676" s="13" t="str">
        <f t="shared" si="20"/>
        <v>Malan Zhen (Tàiyuán Shì)</v>
      </c>
      <c r="P676" s="13" t="str">
        <f t="shared" si="21"/>
        <v>Malan Zhen (Tàiyuán Shì)</v>
      </c>
    </row>
    <row r="677" spans="1:16" hidden="1" x14ac:dyDescent="0.25">
      <c r="A677" t="s">
        <v>717</v>
      </c>
      <c r="B677" t="str">
        <f>IF(COUNTIF(A:A,A677)&gt;1,_xlfn.CONCAT(A677," (",N677,")"),A677)</f>
        <v>Mănghé Zhèn</v>
      </c>
      <c r="C677" t="str">
        <f>IF(COUNTIF(B:B,B677)&gt;1,_xlfn.CONCAT(A677," (",M677,")"),B677)</f>
        <v>Mănghé Zhèn</v>
      </c>
      <c r="D677" t="s">
        <v>718</v>
      </c>
      <c r="E677" t="s">
        <v>7</v>
      </c>
      <c r="F677" t="str">
        <f>_xlfn.CONCAT(D677,", ",H677,", ",I677,", ","山西省")</f>
        <v>蟒河镇, 阳城县, 晋城市, 山西省</v>
      </c>
      <c r="G677">
        <v>19646</v>
      </c>
      <c r="H677" t="s">
        <v>2911</v>
      </c>
      <c r="I677" t="s">
        <v>2906</v>
      </c>
      <c r="J677">
        <f>VLOOKUP(F677,[1]!china_towns_second__2[[Column1]:[Y]],3,FALSE)</f>
        <v>35.317233647275998</v>
      </c>
      <c r="K677">
        <f>VLOOKUP(F677,[1]!china_towns_second__2[[Column1]:[Y]],2,FALSE)</f>
        <v>112.40867780000001</v>
      </c>
      <c r="L677" t="s">
        <v>4253</v>
      </c>
      <c r="M677" t="str">
        <f>VLOOKUP(H677,CHOOSE({1,2},Table12[Native],Table12[Name]),2,0)</f>
        <v>Yángchéng Xiàn</v>
      </c>
      <c r="N677" s="13" t="str">
        <f>VLOOKUP(I677,CHOOSE({1,2},Table12[Native],Table12[Name]),2,0)</f>
        <v>Jìnchéng Shì</v>
      </c>
      <c r="O677" s="13" t="str">
        <f t="shared" si="20"/>
        <v>Manghe Zhen (Jìnchéng Shì)</v>
      </c>
      <c r="P677" s="13" t="str">
        <f t="shared" si="21"/>
        <v>Manghe Zhen (Jìnchéng Shì)</v>
      </c>
    </row>
    <row r="678" spans="1:16" hidden="1" x14ac:dyDescent="0.25">
      <c r="A678" t="s">
        <v>2716</v>
      </c>
      <c r="B678" t="str">
        <f>IF(COUNTIF(A:A,A678)&gt;1,_xlfn.CONCAT(A678," (",N678,")"),A678)</f>
        <v>Máojiāwān Zhèn</v>
      </c>
      <c r="C678" t="str">
        <f>IF(COUNTIF(B:B,B678)&gt;1,_xlfn.CONCAT(A678," (",M678,")"),B678)</f>
        <v>Máojiāwān Zhèn</v>
      </c>
      <c r="D678" t="s">
        <v>2717</v>
      </c>
      <c r="E678" t="s">
        <v>7</v>
      </c>
      <c r="F678" t="str">
        <f>_xlfn.CONCAT(D678,", ",H678,", ",I678,", ","山西省")</f>
        <v>毛家湾镇, 垣曲县, 运城市, 山西省</v>
      </c>
      <c r="G678">
        <v>10832</v>
      </c>
      <c r="H678" t="s">
        <v>3016</v>
      </c>
      <c r="I678" t="s">
        <v>3003</v>
      </c>
      <c r="J678">
        <f>VLOOKUP(F678,[1]!china_towns_second__2[[Column1]:[Y]],3,FALSE)</f>
        <v>35.171676533331102</v>
      </c>
      <c r="K678">
        <f>VLOOKUP(F678,[1]!china_towns_second__2[[Column1]:[Y]],2,FALSE)</f>
        <v>111.6094526</v>
      </c>
      <c r="L678" t="s">
        <v>4254</v>
      </c>
      <c r="M678" t="str">
        <f>VLOOKUP(H678,CHOOSE({1,2},Table12[Native],Table12[Name]),2,0)</f>
        <v>Yuánqŭ Xiàn</v>
      </c>
      <c r="N678" s="13" t="str">
        <f>VLOOKUP(I678,CHOOSE({1,2},Table12[Native],Table12[Name]),2,0)</f>
        <v>Yùnchéng Shì</v>
      </c>
      <c r="O678" s="13" t="str">
        <f t="shared" si="20"/>
        <v>Maojiawan Zhen (Yùnchéng Shì)</v>
      </c>
      <c r="P678" s="13" t="str">
        <f t="shared" si="21"/>
        <v>Maojiawan Zhen (Yùnchéng Shì)</v>
      </c>
    </row>
    <row r="679" spans="1:16" hidden="1" x14ac:dyDescent="0.25">
      <c r="A679" t="s">
        <v>1792</v>
      </c>
      <c r="B679" t="str">
        <f>IF(COUNTIF(A:A,A679)&gt;1,_xlfn.CONCAT(A679," (",N679,")"),A679)</f>
        <v>Máojiāzào Zhèn</v>
      </c>
      <c r="C679" t="str">
        <f>IF(COUNTIF(B:B,B679)&gt;1,_xlfn.CONCAT(A679," (",M679,")"),B679)</f>
        <v>Máojiāzào Zhèn</v>
      </c>
      <c r="D679" t="s">
        <v>1793</v>
      </c>
      <c r="E679" t="s">
        <v>7</v>
      </c>
      <c r="F679" t="str">
        <f>_xlfn.CONCAT(D679,", ",H679,", ",I679,", ","山西省")</f>
        <v>毛家皂镇, 怀仁市, 朔州市, 山西省</v>
      </c>
      <c r="G679">
        <v>12800</v>
      </c>
      <c r="H679" t="s">
        <v>2962</v>
      </c>
      <c r="I679" t="s">
        <v>2961</v>
      </c>
      <c r="J679">
        <f>VLOOKUP(F679,[1]!china_towns_second__2[[Column1]:[Y]],3,FALSE)</f>
        <v>39.906189695234197</v>
      </c>
      <c r="K679">
        <f>VLOOKUP(F679,[1]!china_towns_second__2[[Column1]:[Y]],2,FALSE)</f>
        <v>113.2337236</v>
      </c>
      <c r="L679" t="s">
        <v>4255</v>
      </c>
      <c r="M679" t="str">
        <f>VLOOKUP(H679,CHOOSE({1,2},Table12[Native],Table12[Name]),2,0)</f>
        <v>Huáirén Shì</v>
      </c>
      <c r="N679" s="13" t="str">
        <f>VLOOKUP(I679,CHOOSE({1,2},Table12[Native],Table12[Name]),2,0)</f>
        <v>Shuòzhōu Shì</v>
      </c>
      <c r="O679" s="13" t="str">
        <f t="shared" si="20"/>
        <v>Maojiazao Zhen (Shuòzhōu Shì)</v>
      </c>
      <c r="P679" s="13" t="str">
        <f t="shared" si="21"/>
        <v>Maojiazao Zhen (Shuòzhōu Shì)</v>
      </c>
    </row>
    <row r="680" spans="1:16" hidden="1" x14ac:dyDescent="0.25">
      <c r="A680" t="s">
        <v>926</v>
      </c>
      <c r="B680" t="str">
        <f>IF(COUNTIF(A:A,A680)&gt;1,_xlfn.CONCAT(A680," (",N680,")"),A680)</f>
        <v>Măshŏu Xiāng</v>
      </c>
      <c r="C680" t="str">
        <f>IF(COUNTIF(B:B,B680)&gt;1,_xlfn.CONCAT(A680," (",M680,")"),B680)</f>
        <v>Măshŏu Xiāng</v>
      </c>
      <c r="D680" t="s">
        <v>927</v>
      </c>
      <c r="E680" t="s">
        <v>17</v>
      </c>
      <c r="F680" t="str">
        <f>_xlfn.CONCAT(D680,", ",H680,", ",I680,", ","山西省")</f>
        <v>马首乡, 寿阳县, 晋中市, 山西省</v>
      </c>
      <c r="G680">
        <v>4818</v>
      </c>
      <c r="H680" t="s">
        <v>2920</v>
      </c>
      <c r="I680" t="s">
        <v>2914</v>
      </c>
      <c r="J680" t="e">
        <f>VLOOKUP(F680,[1]!china_towns_second__2[[Column1]:[Y]],3,FALSE)</f>
        <v>#N/A</v>
      </c>
      <c r="K680" t="e">
        <f>VLOOKUP(F680,[1]!china_towns_second__2[[Column1]:[Y]],2,FALSE)</f>
        <v>#N/A</v>
      </c>
      <c r="L680" t="s">
        <v>4256</v>
      </c>
      <c r="M680" t="str">
        <f>VLOOKUP(H680,CHOOSE({1,2},Table12[Native],Table12[Name]),2,0)</f>
        <v>Shòuyáng Xiàn</v>
      </c>
      <c r="N680" s="13" t="str">
        <f>VLOOKUP(I680,CHOOSE({1,2},Table12[Native],Table12[Name]),2,0)</f>
        <v>Jìnzhōng Shì</v>
      </c>
      <c r="O680" s="13" t="str">
        <f t="shared" si="20"/>
        <v>Mashou Xiang (Jìnzhōng Shì)</v>
      </c>
      <c r="P680" s="13" t="str">
        <f t="shared" si="21"/>
        <v>Mashou Xiang (Jìnzhōng Shì)</v>
      </c>
    </row>
    <row r="681" spans="1:16" hidden="1" x14ac:dyDescent="0.25">
      <c r="A681" t="s">
        <v>928</v>
      </c>
      <c r="B681" t="str">
        <f>IF(COUNTIF(A:A,A681)&gt;1,_xlfn.CONCAT(A681," (",N681,")"),A681)</f>
        <v>Mátián Zhèn</v>
      </c>
      <c r="C681" t="str">
        <f>IF(COUNTIF(B:B,B681)&gt;1,_xlfn.CONCAT(A681," (",M681,")"),B681)</f>
        <v>Mátián Zhèn</v>
      </c>
      <c r="D681" t="s">
        <v>929</v>
      </c>
      <c r="E681" t="s">
        <v>7</v>
      </c>
      <c r="F681" t="str">
        <f>_xlfn.CONCAT(D681,", ",H681,", ",I681,", ","山西省")</f>
        <v>麻田镇, 左权县, 晋中市, 山西省</v>
      </c>
      <c r="G681">
        <v>18168</v>
      </c>
      <c r="H681" t="s">
        <v>2925</v>
      </c>
      <c r="I681" t="s">
        <v>2914</v>
      </c>
      <c r="J681">
        <f>VLOOKUP(F681,[1]!china_towns_second__2[[Column1]:[Y]],3,FALSE)</f>
        <v>36.830972780912901</v>
      </c>
      <c r="K681">
        <f>VLOOKUP(F681,[1]!china_towns_second__2[[Column1]:[Y]],2,FALSE)</f>
        <v>113.57925779999999</v>
      </c>
      <c r="L681" t="s">
        <v>4257</v>
      </c>
      <c r="M681" t="str">
        <f>VLOOKUP(H681,CHOOSE({1,2},Table12[Native],Table12[Name]),2,0)</f>
        <v>Zuǒquán Xiàn</v>
      </c>
      <c r="N681" s="13" t="str">
        <f>VLOOKUP(I681,CHOOSE({1,2},Table12[Native],Table12[Name]),2,0)</f>
        <v>Jìnzhōng Shì</v>
      </c>
      <c r="O681" s="13" t="str">
        <f t="shared" si="20"/>
        <v>Matian Zhen (Jìnzhōng Shì)</v>
      </c>
      <c r="P681" s="13" t="str">
        <f t="shared" si="21"/>
        <v>Matian Zhen (Jìnzhōng Shì)</v>
      </c>
    </row>
    <row r="682" spans="1:16" hidden="1" x14ac:dyDescent="0.25">
      <c r="A682" t="s">
        <v>1990</v>
      </c>
      <c r="B682" t="str">
        <f>IF(COUNTIF(A:A,A682)&gt;1,_xlfn.CONCAT(A682," (",N682,")"),A682)</f>
        <v>Mătóushuĭ Xiāng</v>
      </c>
      <c r="C682" t="str">
        <f>IF(COUNTIF(B:B,B682)&gt;1,_xlfn.CONCAT(A682," (",M682,")"),B682)</f>
        <v>Mătóushuĭ Xiāng</v>
      </c>
      <c r="D682" t="s">
        <v>1991</v>
      </c>
      <c r="E682" t="s">
        <v>17</v>
      </c>
      <c r="F682" t="str">
        <f>_xlfn.CONCAT(D682,", ",H682,", ",I682,", ","山西省")</f>
        <v>马头水乡, 尖草坪区, 太原市, 山西省</v>
      </c>
      <c r="G682">
        <v>906</v>
      </c>
      <c r="H682" t="s">
        <v>2971</v>
      </c>
      <c r="I682" t="s">
        <v>2969</v>
      </c>
      <c r="J682" t="e">
        <f>VLOOKUP(F682,[1]!china_towns_second__2[[Column1]:[Y]],3,FALSE)</f>
        <v>#N/A</v>
      </c>
      <c r="K682" t="e">
        <f>VLOOKUP(F682,[1]!china_towns_second__2[[Column1]:[Y]],2,FALSE)</f>
        <v>#N/A</v>
      </c>
      <c r="L682" t="s">
        <v>4258</v>
      </c>
      <c r="M682" t="str">
        <f>VLOOKUP(H682,CHOOSE({1,2},Table12[Native],Table12[Name]),2,0)</f>
        <v>Jiāncăopíng Qū</v>
      </c>
      <c r="N682" s="13" t="str">
        <f>VLOOKUP(I682,CHOOSE({1,2},Table12[Native],Table12[Name]),2,0)</f>
        <v>Tàiyuán Shì</v>
      </c>
      <c r="O682" s="13" t="str">
        <f t="shared" si="20"/>
        <v>Matoushui Xiang (Tàiyuán Shì)</v>
      </c>
      <c r="P682" s="13" t="str">
        <f t="shared" si="21"/>
        <v>Matoushui Xiang (Tàiyuán Shì)</v>
      </c>
    </row>
    <row r="683" spans="1:16" hidden="1" x14ac:dyDescent="0.25">
      <c r="A683" t="s">
        <v>1568</v>
      </c>
      <c r="B683" t="str">
        <f>IF(COUNTIF(A:A,A683)&gt;1,_xlfn.CONCAT(A683," (",N683,")"),A683)</f>
        <v>Măxī Xiāng</v>
      </c>
      <c r="C683" t="str">
        <f>IF(COUNTIF(B:B,B683)&gt;1,_xlfn.CONCAT(A683," (",M683,")"),B683)</f>
        <v>Măxī Xiāng</v>
      </c>
      <c r="D683" t="s">
        <v>1569</v>
      </c>
      <c r="E683" t="s">
        <v>17</v>
      </c>
      <c r="F683" t="str">
        <f>_xlfn.CONCAT(D683,", ",H683,", ",I683,", ","山西省")</f>
        <v>马西乡, 文水县, 吕梁市, 山西省</v>
      </c>
      <c r="G683">
        <v>11116</v>
      </c>
      <c r="H683" t="s">
        <v>2956</v>
      </c>
      <c r="I683" t="s">
        <v>2946</v>
      </c>
      <c r="J683" t="e">
        <f>VLOOKUP(F683,[1]!china_towns_second__2[[Column1]:[Y]],3,FALSE)</f>
        <v>#N/A</v>
      </c>
      <c r="K683" t="e">
        <f>VLOOKUP(F683,[1]!china_towns_second__2[[Column1]:[Y]],2,FALSE)</f>
        <v>#N/A</v>
      </c>
      <c r="L683" t="s">
        <v>4259</v>
      </c>
      <c r="M683" t="str">
        <f>VLOOKUP(H683,CHOOSE({1,2},Table12[Native],Table12[Name]),2,0)</f>
        <v>Wénshuĭ Xiàn</v>
      </c>
      <c r="N683" s="13" t="str">
        <f>VLOOKUP(I683,CHOOSE({1,2},Table12[Native],Table12[Name]),2,0)</f>
        <v>Lǚliáng Shì</v>
      </c>
      <c r="O683" s="13" t="str">
        <f t="shared" si="20"/>
        <v>Maxi Xiang (Lǚliáng Shì)</v>
      </c>
      <c r="P683" s="13" t="str">
        <f t="shared" si="21"/>
        <v>Maxi Xiang (Lǚliáng Shì)</v>
      </c>
    </row>
    <row r="684" spans="1:16" hidden="1" x14ac:dyDescent="0.25">
      <c r="A684" t="s">
        <v>1794</v>
      </c>
      <c r="B684" t="str">
        <f>IF(COUNTIF(A:A,A684)&gt;1,_xlfn.CONCAT(A684," (",N684,")"),A684)</f>
        <v>Măxīnzhuāng Xiāng</v>
      </c>
      <c r="C684" t="str">
        <f>IF(COUNTIF(B:B,B684)&gt;1,_xlfn.CONCAT(A684," (",M684,")"),B684)</f>
        <v>Măxīnzhuāng Xiāng</v>
      </c>
      <c r="D684" t="s">
        <v>1795</v>
      </c>
      <c r="E684" t="s">
        <v>17</v>
      </c>
      <c r="F684" t="str">
        <f>_xlfn.CONCAT(D684,", ",H684,", ",I684,", ","山西省")</f>
        <v>马辛庄乡, 怀仁市, 朔州市, 山西省</v>
      </c>
      <c r="G684">
        <v>5141</v>
      </c>
      <c r="H684" t="s">
        <v>2962</v>
      </c>
      <c r="I684" t="s">
        <v>2961</v>
      </c>
      <c r="J684" t="e">
        <f>VLOOKUP(F684,[1]!china_towns_second__2[[Column1]:[Y]],3,FALSE)</f>
        <v>#N/A</v>
      </c>
      <c r="K684" t="e">
        <f>VLOOKUP(F684,[1]!china_towns_second__2[[Column1]:[Y]],2,FALSE)</f>
        <v>#N/A</v>
      </c>
      <c r="L684" t="s">
        <v>4260</v>
      </c>
      <c r="M684" t="str">
        <f>VLOOKUP(H684,CHOOSE({1,2},Table12[Native],Table12[Name]),2,0)</f>
        <v>Huáirén Shì</v>
      </c>
      <c r="N684" s="13" t="str">
        <f>VLOOKUP(I684,CHOOSE({1,2},Table12[Native],Table12[Name]),2,0)</f>
        <v>Shuòzhōu Shì</v>
      </c>
      <c r="O684" s="13" t="str">
        <f t="shared" si="20"/>
        <v>Maxinzhuang Xiang (Shuòzhōu Shì)</v>
      </c>
      <c r="P684" s="13" t="str">
        <f t="shared" si="21"/>
        <v>Maxinzhuang Xiang (Shuòzhōu Shì)</v>
      </c>
    </row>
    <row r="685" spans="1:16" hidden="1" x14ac:dyDescent="0.25">
      <c r="A685" t="s">
        <v>1796</v>
      </c>
      <c r="B685" t="str">
        <f>IF(COUNTIF(A:A,A685)&gt;1,_xlfn.CONCAT(A685," (",N685,")"),A685)</f>
        <v>Măyíng Xiāng</v>
      </c>
      <c r="C685" t="str">
        <f>IF(COUNTIF(B:B,B685)&gt;1,_xlfn.CONCAT(A685," (",M685,")"),B685)</f>
        <v>Măyíng Xiāng</v>
      </c>
      <c r="D685" t="s">
        <v>1797</v>
      </c>
      <c r="E685" t="s">
        <v>17</v>
      </c>
      <c r="F685" t="str">
        <f>_xlfn.CONCAT(D685,", ",H685,", ",I685,", ","山西省")</f>
        <v>马营乡, 山阴县, 朔州市, 山西省</v>
      </c>
      <c r="G685">
        <v>10437</v>
      </c>
      <c r="H685" t="s">
        <v>2964</v>
      </c>
      <c r="I685" t="s">
        <v>2961</v>
      </c>
      <c r="J685" t="e">
        <f>VLOOKUP(F685,[1]!china_towns_second__2[[Column1]:[Y]],3,FALSE)</f>
        <v>#N/A</v>
      </c>
      <c r="K685" t="e">
        <f>VLOOKUP(F685,[1]!china_towns_second__2[[Column1]:[Y]],2,FALSE)</f>
        <v>#N/A</v>
      </c>
      <c r="L685" t="s">
        <v>4261</v>
      </c>
      <c r="M685" t="str">
        <f>VLOOKUP(H685,CHOOSE({1,2},Table12[Native],Table12[Name]),2,0)</f>
        <v>Shānyīn Xiàn</v>
      </c>
      <c r="N685" s="13" t="str">
        <f>VLOOKUP(I685,CHOOSE({1,2},Table12[Native],Table12[Name]),2,0)</f>
        <v>Shuòzhōu Shì</v>
      </c>
      <c r="O685" s="13" t="str">
        <f t="shared" si="20"/>
        <v>Maying Xiang (Shuòzhōu Shì)</v>
      </c>
      <c r="P685" s="13" t="str">
        <f t="shared" si="21"/>
        <v>Maying Xiang (Shuòzhōu Shì)</v>
      </c>
    </row>
    <row r="686" spans="1:16" hidden="1" x14ac:dyDescent="0.25">
      <c r="A686" t="s">
        <v>1798</v>
      </c>
      <c r="B686" t="str">
        <f>IF(COUNTIF(A:A,A686)&gt;1,_xlfn.CONCAT(A686," (",N686,")"),A686)</f>
        <v>Măyíngzhuāng Xiāng</v>
      </c>
      <c r="C686" t="str">
        <f>IF(COUNTIF(B:B,B686)&gt;1,_xlfn.CONCAT(A686," (",M686,")"),B686)</f>
        <v>Măyíngzhuāng Xiāng</v>
      </c>
      <c r="D686" t="s">
        <v>1799</v>
      </c>
      <c r="E686" t="s">
        <v>17</v>
      </c>
      <c r="F686" t="str">
        <f>_xlfn.CONCAT(D686,", ",H686,", ",I686,", ","山西省")</f>
        <v>马营庄乡, 山阴县, 朔州市, 山西省</v>
      </c>
      <c r="G686">
        <v>13065</v>
      </c>
      <c r="H686" t="s">
        <v>2964</v>
      </c>
      <c r="I686" t="s">
        <v>2961</v>
      </c>
      <c r="J686" t="e">
        <f>VLOOKUP(F686,[1]!china_towns_second__2[[Column1]:[Y]],3,FALSE)</f>
        <v>#N/A</v>
      </c>
      <c r="K686" t="e">
        <f>VLOOKUP(F686,[1]!china_towns_second__2[[Column1]:[Y]],2,FALSE)</f>
        <v>#N/A</v>
      </c>
      <c r="L686" t="s">
        <v>4262</v>
      </c>
      <c r="M686" t="str">
        <f>VLOOKUP(H686,CHOOSE({1,2},Table12[Native],Table12[Name]),2,0)</f>
        <v>Shānyīn Xiàn</v>
      </c>
      <c r="N686" s="13" t="str">
        <f>VLOOKUP(I686,CHOOSE({1,2},Table12[Native],Table12[Name]),2,0)</f>
        <v>Shuòzhōu Shì</v>
      </c>
      <c r="O686" s="13" t="str">
        <f t="shared" si="20"/>
        <v>Mayingzhuang Xiang (Shuòzhōu Shì)</v>
      </c>
      <c r="P686" s="13" t="str">
        <f t="shared" si="21"/>
        <v>Mayingzhuang Xiang (Shuòzhōu Shì)</v>
      </c>
    </row>
    <row r="687" spans="1:16" hidden="1" x14ac:dyDescent="0.25">
      <c r="A687" t="s">
        <v>1992</v>
      </c>
      <c r="B687" t="str">
        <f>IF(COUNTIF(A:A,A687)&gt;1,_xlfn.CONCAT(A687," (",N687,")"),A687)</f>
        <v>Măyù Xiāng</v>
      </c>
      <c r="C687" t="str">
        <f>IF(COUNTIF(B:B,B687)&gt;1,_xlfn.CONCAT(A687," (",M687,")"),B687)</f>
        <v>Măyù Xiāng</v>
      </c>
      <c r="D687" t="s">
        <v>1993</v>
      </c>
      <c r="E687" t="s">
        <v>17</v>
      </c>
      <c r="F687" t="str">
        <f>_xlfn.CONCAT(D687,", ",H687,", ",I687,", ","山西省")</f>
        <v>马峪乡, 清徐县, 太原市, 山西省</v>
      </c>
      <c r="G687">
        <v>18628</v>
      </c>
      <c r="H687" t="s">
        <v>2974</v>
      </c>
      <c r="I687" t="s">
        <v>2969</v>
      </c>
      <c r="J687" t="e">
        <f>VLOOKUP(F687,[1]!china_towns_second__2[[Column1]:[Y]],3,FALSE)</f>
        <v>#N/A</v>
      </c>
      <c r="K687" t="e">
        <f>VLOOKUP(F687,[1]!china_towns_second__2[[Column1]:[Y]],2,FALSE)</f>
        <v>#N/A</v>
      </c>
      <c r="L687" t="s">
        <v>4263</v>
      </c>
      <c r="M687" t="str">
        <f>VLOOKUP(H687,CHOOSE({1,2},Table12[Native],Table12[Name]),2,0)</f>
        <v>Qīngxú Xiàn</v>
      </c>
      <c r="N687" s="13" t="str">
        <f>VLOOKUP(I687,CHOOSE({1,2},Table12[Native],Table12[Name]),2,0)</f>
        <v>Tàiyuán Shì</v>
      </c>
      <c r="O687" s="13" t="str">
        <f t="shared" si="20"/>
        <v>Mayu Xiang (Tàiyuán Shì)</v>
      </c>
      <c r="P687" s="13" t="str">
        <f t="shared" si="21"/>
        <v>Mayu Xiang (Tàiyuán Shì)</v>
      </c>
    </row>
    <row r="688" spans="1:16" hidden="1" x14ac:dyDescent="0.25">
      <c r="A688" t="s">
        <v>2718</v>
      </c>
      <c r="B688" t="str">
        <f>IF(COUNTIF(A:A,A688)&gt;1,_xlfn.CONCAT(A688," (",N688,")"),A688)</f>
        <v>Méiyáng Zhèn</v>
      </c>
      <c r="C688" t="str">
        <f>IF(COUNTIF(B:B,B688)&gt;1,_xlfn.CONCAT(A688," (",M688,")"),B688)</f>
        <v>Méiyáng Zhèn</v>
      </c>
      <c r="D688" t="s">
        <v>2719</v>
      </c>
      <c r="E688" t="s">
        <v>7</v>
      </c>
      <c r="F688" t="str">
        <f>_xlfn.CONCAT(D688,", ",H688,", ",I688,", ","山西省")</f>
        <v>嵋阳镇, 临猗县, 运城市, 山西省</v>
      </c>
      <c r="G688">
        <v>26948</v>
      </c>
      <c r="H688" t="s">
        <v>3007</v>
      </c>
      <c r="I688" t="s">
        <v>3003</v>
      </c>
      <c r="J688">
        <f>VLOOKUP(F688,[1]!china_towns_second__2[[Column1]:[Y]],3,FALSE)</f>
        <v>35.089061896828298</v>
      </c>
      <c r="K688">
        <f>VLOOKUP(F688,[1]!china_towns_second__2[[Column1]:[Y]],2,FALSE)</f>
        <v>110.68645720000001</v>
      </c>
      <c r="L688" t="s">
        <v>4264</v>
      </c>
      <c r="M688" t="str">
        <f>VLOOKUP(H688,CHOOSE({1,2},Table12[Native],Table12[Name]),2,0)</f>
        <v>Línyī Xiàn</v>
      </c>
      <c r="N688" s="13" t="str">
        <f>VLOOKUP(I688,CHOOSE({1,2},Table12[Native],Table12[Name]),2,0)</f>
        <v>Yùnchéng Shì</v>
      </c>
      <c r="O688" s="13" t="str">
        <f t="shared" si="20"/>
        <v>Meiyang Zhen (Yùnchéng Shì)</v>
      </c>
      <c r="P688" s="13" t="str">
        <f t="shared" si="21"/>
        <v>Meiyang Zhen (Yùnchéng Shì)</v>
      </c>
    </row>
    <row r="689" spans="1:16" hidden="1" x14ac:dyDescent="0.25">
      <c r="A689" t="s">
        <v>453</v>
      </c>
      <c r="B689" t="str">
        <f>IF(COUNTIF(A:A,A689)&gt;1,_xlfn.CONCAT(A689," (",N689,")"),A689)</f>
        <v>Méiyùkŏu Jiēdào</v>
      </c>
      <c r="C689" t="str">
        <f>IF(COUNTIF(B:B,B689)&gt;1,_xlfn.CONCAT(A689," (",M689,")"),B689)</f>
        <v>Méiyùkŏu Jiēdào</v>
      </c>
      <c r="D689" t="s">
        <v>454</v>
      </c>
      <c r="E689" t="s">
        <v>31</v>
      </c>
      <c r="F689" t="str">
        <f>_xlfn.CONCAT(D689,", ",H689,", ",I689,", ","山西省")</f>
        <v>煤峪口街道, 云冈区, 大同市, 山西省</v>
      </c>
      <c r="G689">
        <v>10528</v>
      </c>
      <c r="H689" t="s">
        <v>2902</v>
      </c>
      <c r="I689" t="s">
        <v>2894</v>
      </c>
      <c r="J689" t="e">
        <f>VLOOKUP(F689,[1]!china_towns_second__2[[Column1]:[Y]],3,FALSE)</f>
        <v>#N/A</v>
      </c>
      <c r="K689" t="e">
        <f>VLOOKUP(F689,[1]!china_towns_second__2[[Column1]:[Y]],2,FALSE)</f>
        <v>#N/A</v>
      </c>
      <c r="L689" t="s">
        <v>4265</v>
      </c>
      <c r="M689" t="str">
        <f>VLOOKUP(H689,CHOOSE({1,2},Table12[Native],Table12[Name]),2,0)</f>
        <v>Yúngāng Qū</v>
      </c>
      <c r="N689" s="13" t="str">
        <f>VLOOKUP(I689,CHOOSE({1,2},Table12[Native],Table12[Name]),2,0)</f>
        <v>Dàtóng Shì</v>
      </c>
      <c r="O689" s="13" t="str">
        <f t="shared" si="20"/>
        <v>Meiyukou Jiedao (Dàtóng Shì)</v>
      </c>
      <c r="P689" s="13" t="str">
        <f t="shared" si="21"/>
        <v>Meiyukou Jiedao (Dàtóng Shì)</v>
      </c>
    </row>
    <row r="690" spans="1:16" hidden="1" x14ac:dyDescent="0.25">
      <c r="A690" t="s">
        <v>1994</v>
      </c>
      <c r="B690" t="str">
        <f>IF(COUNTIF(A:A,A690)&gt;1,_xlfn.CONCAT(A690," (",N690,")"),A690)</f>
        <v>Mèngfēng Zhèn</v>
      </c>
      <c r="C690" t="str">
        <f>IF(COUNTIF(B:B,B690)&gt;1,_xlfn.CONCAT(A690," (",M690,")"),B690)</f>
        <v>Mèngfēng Zhèn</v>
      </c>
      <c r="D690" t="s">
        <v>1995</v>
      </c>
      <c r="E690" t="s">
        <v>7</v>
      </c>
      <c r="F690" t="str">
        <f>_xlfn.CONCAT(D690,", ",H690,", ",I690,", ","山西省")</f>
        <v>孟封镇, 清徐县, 太原市, 山西省</v>
      </c>
      <c r="G690">
        <v>31488</v>
      </c>
      <c r="H690" t="s">
        <v>2974</v>
      </c>
      <c r="I690" t="s">
        <v>2969</v>
      </c>
      <c r="J690">
        <f>VLOOKUP(F690,[1]!china_towns_second__2[[Column1]:[Y]],3,FALSE)</f>
        <v>37.498699323128498</v>
      </c>
      <c r="K690">
        <f>VLOOKUP(F690,[1]!china_towns_second__2[[Column1]:[Y]],2,FALSE)</f>
        <v>112.39106769999999</v>
      </c>
      <c r="L690" t="s">
        <v>4266</v>
      </c>
      <c r="M690" t="str">
        <f>VLOOKUP(H690,CHOOSE({1,2},Table12[Native],Table12[Name]),2,0)</f>
        <v>Qīngxú Xiàn</v>
      </c>
      <c r="N690" s="13" t="str">
        <f>VLOOKUP(I690,CHOOSE({1,2},Table12[Native],Table12[Name]),2,0)</f>
        <v>Tàiyuán Shì</v>
      </c>
      <c r="O690" s="13" t="str">
        <f t="shared" si="20"/>
        <v>Mengfeng Zhen (Tàiyuán Shì)</v>
      </c>
      <c r="P690" s="13" t="str">
        <f t="shared" si="21"/>
        <v>Mengfeng Zhen (Tàiyuán Shì)</v>
      </c>
    </row>
    <row r="691" spans="1:16" hidden="1" x14ac:dyDescent="0.25">
      <c r="A691" t="s">
        <v>1570</v>
      </c>
      <c r="B691" t="str">
        <f>IF(COUNTIF(A:A,A691)&gt;1,_xlfn.CONCAT(A691," (",N691,")"),A691)</f>
        <v>Mèngjiāpíng Xiāng</v>
      </c>
      <c r="C691" t="str">
        <f>IF(COUNTIF(B:B,B691)&gt;1,_xlfn.CONCAT(A691," (",M691,")"),B691)</f>
        <v>Mèngjiāpíng Xiāng</v>
      </c>
      <c r="D691" t="s">
        <v>1571</v>
      </c>
      <c r="E691" t="s">
        <v>17</v>
      </c>
      <c r="F691" t="str">
        <f>_xlfn.CONCAT(D691,", ",H691,", ",I691,", ","山西省")</f>
        <v>孟家坪乡, 兴县, 吕梁市, 山西省</v>
      </c>
      <c r="G691">
        <v>10645</v>
      </c>
      <c r="H691" t="s">
        <v>2958</v>
      </c>
      <c r="I691" t="s">
        <v>2946</v>
      </c>
      <c r="J691" t="e">
        <f>VLOOKUP(F691,[1]!china_towns_second__2[[Column1]:[Y]],3,FALSE)</f>
        <v>#N/A</v>
      </c>
      <c r="K691" t="e">
        <f>VLOOKUP(F691,[1]!china_towns_second__2[[Column1]:[Y]],2,FALSE)</f>
        <v>#N/A</v>
      </c>
      <c r="L691" t="s">
        <v>4267</v>
      </c>
      <c r="M691" t="str">
        <f>VLOOKUP(H691,CHOOSE({1,2},Table12[Native],Table12[Name]),2,0)</f>
        <v>Xīng Xiàn</v>
      </c>
      <c r="N691" s="13" t="str">
        <f>VLOOKUP(I691,CHOOSE({1,2},Table12[Native],Table12[Name]),2,0)</f>
        <v>Lǚliáng Shì</v>
      </c>
      <c r="O691" s="13" t="str">
        <f t="shared" si="20"/>
        <v>Mengjiaping Xiang (Lǚliáng Shì)</v>
      </c>
      <c r="P691" s="13" t="str">
        <f t="shared" si="21"/>
        <v>Mengjiaping Xiang (Lǚliáng Shì)</v>
      </c>
    </row>
    <row r="692" spans="1:16" hidden="1" x14ac:dyDescent="0.25">
      <c r="A692" t="s">
        <v>1572</v>
      </c>
      <c r="B692" t="str">
        <f>IF(COUNTIF(A:A,A692)&gt;1,_xlfn.CONCAT(A692," (",N692,")"),A692)</f>
        <v>Mèngmén Zhèn</v>
      </c>
      <c r="C692" t="str">
        <f>IF(COUNTIF(B:B,B692)&gt;1,_xlfn.CONCAT(A692," (",M692,")"),B692)</f>
        <v>Mèngmén Zhèn</v>
      </c>
      <c r="D692" t="s">
        <v>1573</v>
      </c>
      <c r="E692" t="s">
        <v>7</v>
      </c>
      <c r="F692" t="str">
        <f>_xlfn.CONCAT(D692,", ",H692,", ",I692,", ","山西省")</f>
        <v>孟门镇, 柳林县, 吕梁市, 山西省</v>
      </c>
      <c r="G692">
        <v>15825</v>
      </c>
      <c r="H692" t="s">
        <v>2954</v>
      </c>
      <c r="I692" t="s">
        <v>2946</v>
      </c>
      <c r="J692">
        <f>VLOOKUP(F692,[1]!china_towns_second__2[[Column1]:[Y]],3,FALSE)</f>
        <v>37.5509596641092</v>
      </c>
      <c r="K692">
        <f>VLOOKUP(F692,[1]!china_towns_second__2[[Column1]:[Y]],2,FALSE)</f>
        <v>110.8184013</v>
      </c>
      <c r="L692" t="s">
        <v>4268</v>
      </c>
      <c r="M692" t="str">
        <f>VLOOKUP(H692,CHOOSE({1,2},Table12[Native],Table12[Name]),2,0)</f>
        <v>Liŭlín Xiàn</v>
      </c>
      <c r="N692" s="13" t="str">
        <f>VLOOKUP(I692,CHOOSE({1,2},Table12[Native],Table12[Name]),2,0)</f>
        <v>Lǚliáng Shì</v>
      </c>
      <c r="O692" s="13" t="str">
        <f t="shared" si="20"/>
        <v>Mengmen Zhen (Lǚliáng Shì)</v>
      </c>
      <c r="P692" s="13" t="str">
        <f t="shared" si="21"/>
        <v>Mengmen Zhen (Lǚliáng Shì)</v>
      </c>
    </row>
    <row r="693" spans="1:16" hidden="1" x14ac:dyDescent="0.25">
      <c r="A693" t="s">
        <v>930</v>
      </c>
      <c r="B693" t="str">
        <f>IF(COUNTIF(A:A,A693)&gt;1,_xlfn.CONCAT(A693," (",N693,")"),A693)</f>
        <v>Mèngshān Xiāng</v>
      </c>
      <c r="C693" t="str">
        <f>IF(COUNTIF(B:B,B693)&gt;1,_xlfn.CONCAT(A693," (",M693,")"),B693)</f>
        <v>Mèngshān Xiāng</v>
      </c>
      <c r="D693" t="s">
        <v>931</v>
      </c>
      <c r="E693" t="s">
        <v>17</v>
      </c>
      <c r="F693" t="str">
        <f>_xlfn.CONCAT(D693,", ",H693,", ",I693,", ","山西省")</f>
        <v>孟山乡, 平遥县, 晋中市, 山西省</v>
      </c>
      <c r="G693">
        <v>2053</v>
      </c>
      <c r="H693" t="s">
        <v>2918</v>
      </c>
      <c r="I693" t="s">
        <v>2914</v>
      </c>
      <c r="J693" t="e">
        <f>VLOOKUP(F693,[1]!china_towns_second__2[[Column1]:[Y]],3,FALSE)</f>
        <v>#N/A</v>
      </c>
      <c r="K693" t="e">
        <f>VLOOKUP(F693,[1]!china_towns_second__2[[Column1]:[Y]],2,FALSE)</f>
        <v>#N/A</v>
      </c>
      <c r="L693" t="s">
        <v>4269</v>
      </c>
      <c r="M693" t="str">
        <f>VLOOKUP(H693,CHOOSE({1,2},Table12[Native],Table12[Name]),2,0)</f>
        <v>Píngyáo Xiàn</v>
      </c>
      <c r="N693" s="13" t="str">
        <f>VLOOKUP(I693,CHOOSE({1,2},Table12[Native],Table12[Name]),2,0)</f>
        <v>Jìnzhōng Shì</v>
      </c>
      <c r="O693" s="13" t="str">
        <f t="shared" si="20"/>
        <v>Mengshan Xiang (Jìnzhōng Shì)</v>
      </c>
      <c r="P693" s="13" t="str">
        <f t="shared" si="21"/>
        <v>Mengshan Xiang (Jìnzhōng Shì)</v>
      </c>
    </row>
    <row r="694" spans="1:16" hidden="1" x14ac:dyDescent="0.25">
      <c r="A694" t="s">
        <v>2288</v>
      </c>
      <c r="B694" t="str">
        <f>IF(COUNTIF(A:A,A694)&gt;1,_xlfn.CONCAT(A694," (",N694,")"),A694)</f>
        <v>Ménxiànshí Xiāng</v>
      </c>
      <c r="C694" t="str">
        <f>IF(COUNTIF(B:B,B694)&gt;1,_xlfn.CONCAT(A694," (",M694,")"),B694)</f>
        <v>Ménxiànshí Xiāng</v>
      </c>
      <c r="D694" t="s">
        <v>2289</v>
      </c>
      <c r="E694" t="s">
        <v>17</v>
      </c>
      <c r="F694" t="str">
        <f>_xlfn.CONCAT(D694,", ",H694,", ",I694,", ","山西省")</f>
        <v>门限石乡, 五台县, 忻州市, 山西省</v>
      </c>
      <c r="G694">
        <v>8519</v>
      </c>
      <c r="H694" t="s">
        <v>2992</v>
      </c>
      <c r="I694" t="s">
        <v>2981</v>
      </c>
      <c r="J694" t="e">
        <f>VLOOKUP(F694,[1]!china_towns_second__2[[Column1]:[Y]],3,FALSE)</f>
        <v>#N/A</v>
      </c>
      <c r="K694" t="e">
        <f>VLOOKUP(F694,[1]!china_towns_second__2[[Column1]:[Y]],2,FALSE)</f>
        <v>#N/A</v>
      </c>
      <c r="L694" t="s">
        <v>4270</v>
      </c>
      <c r="M694" t="str">
        <f>VLOOKUP(H694,CHOOSE({1,2},Table12[Native],Table12[Name]),2,0)</f>
        <v>Wŭtái Xiàn</v>
      </c>
      <c r="N694" s="13" t="str">
        <f>VLOOKUP(I694,CHOOSE({1,2},Table12[Native],Table12[Name]),2,0)</f>
        <v>Xīnzhōu Shì</v>
      </c>
      <c r="O694" s="13" t="str">
        <f t="shared" si="20"/>
        <v>Menxianshi Xiang (Xīnzhōu Shì)</v>
      </c>
      <c r="P694" s="13" t="str">
        <f t="shared" si="21"/>
        <v>Menxianshi Xiang (Xīnzhōu Shì)</v>
      </c>
    </row>
    <row r="695" spans="1:16" hidden="1" x14ac:dyDescent="0.25">
      <c r="A695" t="s">
        <v>932</v>
      </c>
      <c r="B695" t="str">
        <f>IF(COUNTIF(A:A,A695)&gt;1,_xlfn.CONCAT(A695," (",N695,")"),A695)</f>
        <v>Miánshān Zhèn</v>
      </c>
      <c r="C695" t="str">
        <f>IF(COUNTIF(B:B,B695)&gt;1,_xlfn.CONCAT(A695," (",M695,")"),B695)</f>
        <v>Miánshān Zhèn</v>
      </c>
      <c r="D695" t="s">
        <v>933</v>
      </c>
      <c r="E695" t="s">
        <v>7</v>
      </c>
      <c r="F695" t="str">
        <f>_xlfn.CONCAT(D695,", ",H695,", ",I695,", ","山西省")</f>
        <v>绵山镇, 介休市, 晋中市, 山西省</v>
      </c>
      <c r="G695">
        <v>29578</v>
      </c>
      <c r="H695" t="s">
        <v>2916</v>
      </c>
      <c r="I695" t="s">
        <v>2914</v>
      </c>
      <c r="J695">
        <f>VLOOKUP(F695,[1]!china_towns_second__2[[Column1]:[Y]],3,FALSE)</f>
        <v>36.930418540677699</v>
      </c>
      <c r="K695">
        <f>VLOOKUP(F695,[1]!china_towns_second__2[[Column1]:[Y]],2,FALSE)</f>
        <v>111.9299189</v>
      </c>
      <c r="L695" t="s">
        <v>4271</v>
      </c>
      <c r="M695" t="str">
        <f>VLOOKUP(H695,CHOOSE({1,2},Table12[Native],Table12[Name]),2,0)</f>
        <v>Jièxiū Shì</v>
      </c>
      <c r="N695" s="13" t="str">
        <f>VLOOKUP(I695,CHOOSE({1,2},Table12[Native],Table12[Name]),2,0)</f>
        <v>Jìnzhōng Shì</v>
      </c>
      <c r="O695" s="13" t="str">
        <f t="shared" si="20"/>
        <v>Mianshan Zhen (Jìnzhōng Shì)</v>
      </c>
      <c r="P695" s="13" t="str">
        <f t="shared" si="21"/>
        <v>Mianshan Zhen (Jìnzhōng Shì)</v>
      </c>
    </row>
    <row r="696" spans="1:16" hidden="1" x14ac:dyDescent="0.25">
      <c r="A696" t="s">
        <v>1996</v>
      </c>
      <c r="B696" t="str">
        <f>IF(COUNTIF(A:A,A696)&gt;1,_xlfn.CONCAT(A696," (",N696,")"),A696)</f>
        <v>Miàoqián Jiēdào</v>
      </c>
      <c r="C696" t="str">
        <f>IF(COUNTIF(B:B,B696)&gt;1,_xlfn.CONCAT(A696," (",M696,")"),B696)</f>
        <v>Miàoqián Jiēdào</v>
      </c>
      <c r="D696" t="s">
        <v>1997</v>
      </c>
      <c r="E696" t="s">
        <v>31</v>
      </c>
      <c r="F696" t="str">
        <f>_xlfn.CONCAT(D696,", ",H696,", ",I696,", ","山西省")</f>
        <v>庙前街道, 迎泽区, 太原市, 山西省</v>
      </c>
      <c r="G696">
        <v>65457</v>
      </c>
      <c r="H696" t="s">
        <v>2979</v>
      </c>
      <c r="I696" t="s">
        <v>2969</v>
      </c>
      <c r="J696">
        <f>VLOOKUP(F696,[1]!china_towns_second__2[[Column1]:[Y]],3,FALSE)</f>
        <v>37.863469674260202</v>
      </c>
      <c r="K696">
        <f>VLOOKUP(F696,[1]!china_towns_second__2[[Column1]:[Y]],2,FALSE)</f>
        <v>112.5416266</v>
      </c>
      <c r="L696" t="s">
        <v>4272</v>
      </c>
      <c r="M696" t="str">
        <f>VLOOKUP(H696,CHOOSE({1,2},Table12[Native],Table12[Name]),2,0)</f>
        <v>Yíngzé Qū</v>
      </c>
      <c r="N696" s="13" t="str">
        <f>VLOOKUP(I696,CHOOSE({1,2},Table12[Native],Table12[Name]),2,0)</f>
        <v>Tàiyuán Shì</v>
      </c>
      <c r="O696" s="13" t="str">
        <f t="shared" si="20"/>
        <v>Miaoqian Jiedao (Tàiyuán Shì)</v>
      </c>
      <c r="P696" s="13" t="str">
        <f t="shared" si="21"/>
        <v>Miaoqian Jiedao (Tàiyuán Shì)</v>
      </c>
    </row>
    <row r="697" spans="1:16" hidden="1" x14ac:dyDescent="0.25">
      <c r="A697" t="s">
        <v>2720</v>
      </c>
      <c r="B697" t="str">
        <f>IF(COUNTIF(A:A,A697)&gt;1,_xlfn.CONCAT(A697," (",N697,")"),A697)</f>
        <v>Miàoqián Zhèn</v>
      </c>
      <c r="C697" t="str">
        <f>IF(COUNTIF(B:B,B697)&gt;1,_xlfn.CONCAT(A697," (",M697,")"),B697)</f>
        <v>Miàoqián Zhèn</v>
      </c>
      <c r="D697" t="s">
        <v>2721</v>
      </c>
      <c r="E697" t="s">
        <v>7</v>
      </c>
      <c r="F697" t="str">
        <f>_xlfn.CONCAT(D697,", ",H697,", ",I697,", ","山西省")</f>
        <v>庙前镇, 夏县, 运城市, 山西省</v>
      </c>
      <c r="G697">
        <v>28471</v>
      </c>
      <c r="H697" t="s">
        <v>3012</v>
      </c>
      <c r="I697" t="s">
        <v>3003</v>
      </c>
      <c r="J697">
        <f>VLOOKUP(F697,[1]!china_towns_second__2[[Column1]:[Y]],3,FALSE)</f>
        <v>35.0484397608599</v>
      </c>
      <c r="K697">
        <f>VLOOKUP(F697,[1]!china_towns_second__2[[Column1]:[Y]],2,FALSE)</f>
        <v>111.2281888</v>
      </c>
      <c r="L697" t="s">
        <v>4273</v>
      </c>
      <c r="M697" t="str">
        <f>VLOOKUP(H697,CHOOSE({1,2},Table12[Native],Table12[Name]),2,0)</f>
        <v>Xià Xiàn</v>
      </c>
      <c r="N697" s="13" t="str">
        <f>VLOOKUP(I697,CHOOSE({1,2},Table12[Native],Table12[Name]),2,0)</f>
        <v>Yùnchéng Shì</v>
      </c>
      <c r="O697" s="13" t="str">
        <f t="shared" si="20"/>
        <v>Miaoqian Zhen (Yùnchéng Shì)</v>
      </c>
      <c r="P697" s="13" t="str">
        <f t="shared" si="21"/>
        <v>Miaoqian Zhen (Yùnchéng Shì)</v>
      </c>
    </row>
    <row r="698" spans="1:16" hidden="1" x14ac:dyDescent="0.25">
      <c r="A698" t="s">
        <v>2722</v>
      </c>
      <c r="B698" t="str">
        <f>IF(COUNTIF(A:A,A698)&gt;1,_xlfn.CONCAT(A698," (",N698,")"),A698)</f>
        <v>Miàoshàng Xiāng</v>
      </c>
      <c r="C698" t="str">
        <f>IF(COUNTIF(B:B,B698)&gt;1,_xlfn.CONCAT(A698," (",M698,")"),B698)</f>
        <v>Miàoshàng Xiāng</v>
      </c>
      <c r="D698" t="s">
        <v>2723</v>
      </c>
      <c r="E698" t="s">
        <v>17</v>
      </c>
      <c r="F698" t="str">
        <f>_xlfn.CONCAT(D698,", ",H698,", ",I698,", ","山西省")</f>
        <v>庙上乡, 临猗县, 运城市, 山西省</v>
      </c>
      <c r="G698">
        <v>31574</v>
      </c>
      <c r="H698" t="s">
        <v>3007</v>
      </c>
      <c r="I698" t="s">
        <v>3003</v>
      </c>
      <c r="J698" t="e">
        <f>VLOOKUP(F698,[1]!china_towns_second__2[[Column1]:[Y]],3,FALSE)</f>
        <v>#N/A</v>
      </c>
      <c r="K698" t="e">
        <f>VLOOKUP(F698,[1]!china_towns_second__2[[Column1]:[Y]],2,FALSE)</f>
        <v>#N/A</v>
      </c>
      <c r="L698" t="s">
        <v>4274</v>
      </c>
      <c r="M698" t="str">
        <f>VLOOKUP(H698,CHOOSE({1,2},Table12[Native],Table12[Name]),2,0)</f>
        <v>Línyī Xiàn</v>
      </c>
      <c r="N698" s="13" t="str">
        <f>VLOOKUP(I698,CHOOSE({1,2},Table12[Native],Table12[Name]),2,0)</f>
        <v>Yùnchéng Shì</v>
      </c>
      <c r="O698" s="13" t="str">
        <f t="shared" si="20"/>
        <v>Miaoshang Xiang (Yùnchéng Shì)</v>
      </c>
      <c r="P698" s="13" t="str">
        <f t="shared" si="21"/>
        <v>Miaoshang Xiang (Yùnchéng Shì)</v>
      </c>
    </row>
    <row r="699" spans="1:16" hidden="1" x14ac:dyDescent="0.25">
      <c r="A699" t="s">
        <v>1998</v>
      </c>
      <c r="B699" t="str">
        <f>IF(COUNTIF(A:A,A699)&gt;1,_xlfn.CONCAT(A699," (",N699,")"),A699)</f>
        <v>Miàowān Xiāng</v>
      </c>
      <c r="C699" t="str">
        <f>IF(COUNTIF(B:B,B699)&gt;1,_xlfn.CONCAT(A699," (",M699,")"),B699)</f>
        <v>Miàowān Xiāng</v>
      </c>
      <c r="D699" t="s">
        <v>1999</v>
      </c>
      <c r="E699" t="s">
        <v>17</v>
      </c>
      <c r="F699" t="str">
        <f>_xlfn.CONCAT(D699,", ",H699,", ",I699,", ","山西省")</f>
        <v>庙湾乡, 娄烦县, 太原市, 山西省</v>
      </c>
      <c r="G699">
        <v>2705</v>
      </c>
      <c r="H699" t="s">
        <v>2973</v>
      </c>
      <c r="I699" t="s">
        <v>2969</v>
      </c>
      <c r="J699" t="e">
        <f>VLOOKUP(F699,[1]!china_towns_second__2[[Column1]:[Y]],3,FALSE)</f>
        <v>#N/A</v>
      </c>
      <c r="K699" t="e">
        <f>VLOOKUP(F699,[1]!china_towns_second__2[[Column1]:[Y]],2,FALSE)</f>
        <v>#N/A</v>
      </c>
      <c r="L699" t="s">
        <v>4275</v>
      </c>
      <c r="M699" t="str">
        <f>VLOOKUP(H699,CHOOSE({1,2},Table12[Native],Table12[Name]),2,0)</f>
        <v>Lóufán Xiàn</v>
      </c>
      <c r="N699" s="13" t="str">
        <f>VLOOKUP(I699,CHOOSE({1,2},Table12[Native],Table12[Name]),2,0)</f>
        <v>Tàiyuán Shì</v>
      </c>
      <c r="O699" s="13" t="str">
        <f t="shared" si="20"/>
        <v>Miaowan Xiang (Tàiyuán Shì)</v>
      </c>
      <c r="P699" s="13" t="str">
        <f t="shared" si="21"/>
        <v>Miaowan Xiang (Tàiyuán Shì)</v>
      </c>
    </row>
    <row r="700" spans="1:16" hidden="1" x14ac:dyDescent="0.25">
      <c r="A700" t="s">
        <v>181</v>
      </c>
      <c r="B700" t="str">
        <f>IF(COUNTIF(A:A,A700)&gt;1,_xlfn.CONCAT(A700," (",N700,")"),A700)</f>
        <v>Miáozhuāng Zhèn</v>
      </c>
      <c r="C700" t="str">
        <f>IF(COUNTIF(B:B,B700)&gt;1,_xlfn.CONCAT(A700," (",M700,")"),B700)</f>
        <v>Miáozhuāng Zhèn</v>
      </c>
      <c r="D700" t="s">
        <v>182</v>
      </c>
      <c r="E700" t="s">
        <v>7</v>
      </c>
      <c r="F700" t="str">
        <f>_xlfn.CONCAT(D700,", ",H700,", ",I700,", ","山西省")</f>
        <v>苗庄镇, 平顺县, 长治市, 山西省</v>
      </c>
      <c r="G700">
        <v>8719</v>
      </c>
      <c r="H700" t="s">
        <v>2886</v>
      </c>
      <c r="I700" t="s">
        <v>2878</v>
      </c>
      <c r="J700">
        <f>VLOOKUP(F700,[1]!china_towns_second__2[[Column1]:[Y]],3,FALSE)</f>
        <v>36.2037633364709</v>
      </c>
      <c r="K700">
        <f>VLOOKUP(F700,[1]!china_towns_second__2[[Column1]:[Y]],2,FALSE)</f>
        <v>113.3030026</v>
      </c>
      <c r="L700" t="s">
        <v>4276</v>
      </c>
      <c r="M700" t="str">
        <f>VLOOKUP(H700,CHOOSE({1,2},Table12[Native],Table12[Name]),2,0)</f>
        <v>Píngshùn Xiàn</v>
      </c>
      <c r="N700" s="13" t="str">
        <f>VLOOKUP(I700,CHOOSE({1,2},Table12[Native],Table12[Name]),2,0)</f>
        <v>Chángzhì Shì</v>
      </c>
      <c r="O700" s="13" t="str">
        <f t="shared" si="20"/>
        <v>Miaozhuang Zhen (Chángzhì Shì)</v>
      </c>
      <c r="P700" s="13" t="str">
        <f t="shared" si="21"/>
        <v>Miaozhuang Zhen (Chángzhì Shì)</v>
      </c>
    </row>
    <row r="701" spans="1:16" hidden="1" x14ac:dyDescent="0.25">
      <c r="A701" t="s">
        <v>1226</v>
      </c>
      <c r="B701" t="str">
        <f>IF(COUNTIF(A:A,A701)&gt;1,_xlfn.CONCAT(A701," (",N701,")"),A701)</f>
        <v>Mĭjiāyuán Xiāng</v>
      </c>
      <c r="C701" t="str">
        <f>IF(COUNTIF(B:B,B701)&gt;1,_xlfn.CONCAT(A701," (",M701,")"),B701)</f>
        <v>Mĭjiāyuán Xiāng</v>
      </c>
      <c r="D701" t="s">
        <v>1227</v>
      </c>
      <c r="E701" t="s">
        <v>17</v>
      </c>
      <c r="F701" t="str">
        <f>_xlfn.CONCAT(D701,", ",H701,", ",I701,", ","山西省")</f>
        <v>米家垣乡, 浮山县, 临汾市, 山西省</v>
      </c>
      <c r="G701">
        <v>4508</v>
      </c>
      <c r="H701" t="s">
        <v>2931</v>
      </c>
      <c r="I701" t="s">
        <v>2927</v>
      </c>
      <c r="J701" t="e">
        <f>VLOOKUP(F701,[1]!china_towns_second__2[[Column1]:[Y]],3,FALSE)</f>
        <v>#N/A</v>
      </c>
      <c r="K701" t="e">
        <f>VLOOKUP(F701,[1]!china_towns_second__2[[Column1]:[Y]],2,FALSE)</f>
        <v>#N/A</v>
      </c>
      <c r="L701" t="s">
        <v>4277</v>
      </c>
      <c r="M701" t="str">
        <f>VLOOKUP(H701,CHOOSE({1,2},Table12[Native],Table12[Name]),2,0)</f>
        <v>Fúshān Xiàn</v>
      </c>
      <c r="N701" s="13" t="str">
        <f>VLOOKUP(I701,CHOOSE({1,2},Table12[Native],Table12[Name]),2,0)</f>
        <v>Línfén Shì</v>
      </c>
      <c r="O701" s="13" t="str">
        <f t="shared" si="20"/>
        <v>Mijiayuan Xiang (Línfén Shì)</v>
      </c>
      <c r="P701" s="13" t="str">
        <f t="shared" si="21"/>
        <v>Mijiayuan Xiang (Línfén Shì)</v>
      </c>
    </row>
    <row r="702" spans="1:16" hidden="1" x14ac:dyDescent="0.25">
      <c r="A702" t="s">
        <v>1228</v>
      </c>
      <c r="B702" t="str">
        <f>IF(COUNTIF(A:A,A702)&gt;1,_xlfn.CONCAT(A702," (",N702,")"),A702)</f>
        <v>Míngjiāng Zhèn</v>
      </c>
      <c r="C702" t="str">
        <f>IF(COUNTIF(B:B,B702)&gt;1,_xlfn.CONCAT(A702," (",M702,")"),B702)</f>
        <v>Míngjiāng Zhèn</v>
      </c>
      <c r="D702" t="s">
        <v>1229</v>
      </c>
      <c r="E702" t="s">
        <v>7</v>
      </c>
      <c r="F702" t="str">
        <f>_xlfn.CONCAT(D702,", ",H702,", ",I702,", ","山西省")</f>
        <v>明姜镇, 洪洞县, 临汾市, 山西省</v>
      </c>
      <c r="G702">
        <v>47416</v>
      </c>
      <c r="H702" t="s">
        <v>2933</v>
      </c>
      <c r="I702" t="s">
        <v>2927</v>
      </c>
      <c r="J702">
        <f>VLOOKUP(F702,[1]!china_towns_second__2[[Column1]:[Y]],3,FALSE)</f>
        <v>36.348519866502798</v>
      </c>
      <c r="K702">
        <f>VLOOKUP(F702,[1]!china_towns_second__2[[Column1]:[Y]],2,FALSE)</f>
        <v>111.7872551</v>
      </c>
      <c r="L702" t="s">
        <v>4278</v>
      </c>
      <c r="M702" t="str">
        <f>VLOOKUP(H702,CHOOSE({1,2},Table12[Native],Table12[Name]),2,0)</f>
        <v>Hóngdòng Xiàn</v>
      </c>
      <c r="N702" s="13" t="str">
        <f>VLOOKUP(I702,CHOOSE({1,2},Table12[Native],Table12[Name]),2,0)</f>
        <v>Línfén Shì</v>
      </c>
      <c r="O702" s="13" t="str">
        <f t="shared" si="20"/>
        <v>Mingjiang Zhen (Línfén Shì)</v>
      </c>
      <c r="P702" s="13" t="str">
        <f t="shared" si="21"/>
        <v>Mingjiang Zhen (Línfén Shì)</v>
      </c>
    </row>
    <row r="703" spans="1:16" hidden="1" x14ac:dyDescent="0.25">
      <c r="A703" t="s">
        <v>934</v>
      </c>
      <c r="B703" t="str">
        <f>IF(COUNTIF(A:A,A703)&gt;1,_xlfn.CONCAT(A703," (",N703,")"),A703)</f>
        <v>Míngxīng Zhèn</v>
      </c>
      <c r="C703" t="str">
        <f>IF(COUNTIF(B:B,B703)&gt;1,_xlfn.CONCAT(A703," (",M703,")"),B703)</f>
        <v>Míngxīng Zhèn</v>
      </c>
      <c r="D703" t="s">
        <v>935</v>
      </c>
      <c r="E703" t="s">
        <v>7</v>
      </c>
      <c r="F703" t="str">
        <f>_xlfn.CONCAT(D703,", ",H703,", ",I703,", ","山西省")</f>
        <v>明星镇, 太谷区, 晋中市, 山西省</v>
      </c>
      <c r="G703">
        <v>82981</v>
      </c>
      <c r="H703" t="s">
        <v>2921</v>
      </c>
      <c r="I703" t="s">
        <v>2914</v>
      </c>
      <c r="J703">
        <f>VLOOKUP(F703,[1]!china_towns_second__2[[Column1]:[Y]],3,FALSE)</f>
        <v>37.431581012311398</v>
      </c>
      <c r="K703">
        <f>VLOOKUP(F703,[1]!china_towns_second__2[[Column1]:[Y]],2,FALSE)</f>
        <v>112.5131532</v>
      </c>
      <c r="L703" t="s">
        <v>4279</v>
      </c>
      <c r="M703" t="str">
        <f>VLOOKUP(H703,CHOOSE({1,2},Table12[Native],Table12[Name]),2,0)</f>
        <v>Tàigŭ Qū</v>
      </c>
      <c r="N703" s="13" t="str">
        <f>VLOOKUP(I703,CHOOSE({1,2},Table12[Native],Table12[Name]),2,0)</f>
        <v>Jìnzhōng Shì</v>
      </c>
      <c r="O703" s="13" t="str">
        <f t="shared" si="20"/>
        <v>Mingxing Zhen (Jìnzhōng Shì)</v>
      </c>
      <c r="P703" s="13" t="str">
        <f t="shared" si="21"/>
        <v>Mingxing Zhen (Jìnzhōng Shì)</v>
      </c>
    </row>
    <row r="704" spans="1:16" hidden="1" x14ac:dyDescent="0.25">
      <c r="A704" t="s">
        <v>455</v>
      </c>
      <c r="B704" t="str">
        <f>IF(COUNTIF(A:A,A704)&gt;1,_xlfn.CONCAT(A704," (",N704,")"),A704)</f>
        <v>Mínshèng Jiēdào</v>
      </c>
      <c r="C704" t="str">
        <f>IF(COUNTIF(B:B,B704)&gt;1,_xlfn.CONCAT(A704," (",M704,")"),B704)</f>
        <v>Mínshèng Jiēdào</v>
      </c>
      <c r="D704" t="s">
        <v>456</v>
      </c>
      <c r="E704" t="s">
        <v>31</v>
      </c>
      <c r="F704" t="str">
        <f>_xlfn.CONCAT(D704,", ",H704,", ",I704,", ","山西省")</f>
        <v>民胜街道, 云冈区, 大同市, 山西省</v>
      </c>
      <c r="G704">
        <v>18496</v>
      </c>
      <c r="H704" t="s">
        <v>2902</v>
      </c>
      <c r="I704" t="s">
        <v>2894</v>
      </c>
      <c r="J704" t="e">
        <f>VLOOKUP(F704,[1]!china_towns_second__2[[Column1]:[Y]],3,FALSE)</f>
        <v>#N/A</v>
      </c>
      <c r="K704" t="e">
        <f>VLOOKUP(F704,[1]!china_towns_second__2[[Column1]:[Y]],2,FALSE)</f>
        <v>#N/A</v>
      </c>
      <c r="L704" t="s">
        <v>4280</v>
      </c>
      <c r="M704" t="str">
        <f>VLOOKUP(H704,CHOOSE({1,2},Table12[Native],Table12[Name]),2,0)</f>
        <v>Yúngāng Qū</v>
      </c>
      <c r="N704" s="13" t="str">
        <f>VLOOKUP(I704,CHOOSE({1,2},Table12[Native],Table12[Name]),2,0)</f>
        <v>Dàtóng Shì</v>
      </c>
      <c r="O704" s="13" t="str">
        <f t="shared" si="20"/>
        <v>Minsheng Jiedao (Dàtóng Shì)</v>
      </c>
      <c r="P704" s="13" t="str">
        <f t="shared" si="21"/>
        <v>Minsheng Jiedao (Dàtóng Shì)</v>
      </c>
    </row>
    <row r="705" spans="1:16" hidden="1" x14ac:dyDescent="0.25">
      <c r="A705" t="s">
        <v>2000</v>
      </c>
      <c r="B705" t="str">
        <f>IF(COUNTIF(A:A,A705)&gt;1,_xlfn.CONCAT(A705," (",N705,")"),A705)</f>
        <v>Mínyíng Qū (Tàiyuán Shì)</v>
      </c>
      <c r="C705" t="str">
        <f>IF(COUNTIF(B:B,B705)&gt;1,_xlfn.CONCAT(A705," (",M705,")"),B705)</f>
        <v>Mínyíng Qū (Yíngzé Qū)</v>
      </c>
      <c r="D705" t="s">
        <v>2001</v>
      </c>
      <c r="E705" t="s">
        <v>35</v>
      </c>
      <c r="F705" t="str">
        <f>_xlfn.CONCAT(D705,", ",H705,", ",I705,", ","山西省")</f>
        <v>民营区, 迎泽区, 太原市, 山西省</v>
      </c>
      <c r="G705">
        <v>3474</v>
      </c>
      <c r="H705" t="s">
        <v>2979</v>
      </c>
      <c r="I705" t="s">
        <v>2969</v>
      </c>
      <c r="J705">
        <f>VLOOKUP(F705,[1]!china_towns_second__2[[Column1]:[Y]],3,FALSE)</f>
        <v>37.8590499001889</v>
      </c>
      <c r="K705">
        <f>VLOOKUP(F705,[1]!china_towns_second__2[[Column1]:[Y]],2,FALSE)</f>
        <v>112.60766599999999</v>
      </c>
      <c r="L705" t="s">
        <v>4281</v>
      </c>
      <c r="M705" t="str">
        <f>VLOOKUP(H705,CHOOSE({1,2},Table12[Native],Table12[Name]),2,0)</f>
        <v>Yíngzé Qū</v>
      </c>
      <c r="N705" s="13" t="str">
        <f>VLOOKUP(I705,CHOOSE({1,2},Table12[Native],Table12[Name]),2,0)</f>
        <v>Tàiyuán Shì</v>
      </c>
      <c r="O705" s="13" t="str">
        <f t="shared" si="20"/>
        <v>Minying Qu (Yingze Qu) (Tàiyuán Shì)</v>
      </c>
      <c r="P705" s="13" t="str">
        <f t="shared" si="21"/>
        <v>Minying Qu (Yingze Qu) (Tàiyuán Shì)</v>
      </c>
    </row>
    <row r="706" spans="1:16" hidden="1" x14ac:dyDescent="0.25">
      <c r="A706" t="s">
        <v>2000</v>
      </c>
      <c r="B706" t="str">
        <f>IF(COUNTIF(A:A,A706)&gt;1,_xlfn.CONCAT(A706," (",N706,")"),A706)</f>
        <v>Mínyíng Qū (Tàiyuán Shì)</v>
      </c>
      <c r="C706" t="str">
        <f>IF(COUNTIF(B:B,B706)&gt;1,_xlfn.CONCAT(A706," (",M706,")"),B706)</f>
        <v>Mínyíng Qū (Xìnghuālĭng Qū)</v>
      </c>
      <c r="D706" t="s">
        <v>2001</v>
      </c>
      <c r="E706" t="s">
        <v>35</v>
      </c>
      <c r="F706" t="str">
        <f>_xlfn.CONCAT(D706,", ",H706,", ",I706,", ","山西省")</f>
        <v>民营区, 杏花岭区, 太原市, 山西省</v>
      </c>
      <c r="G706">
        <v>9105</v>
      </c>
      <c r="H706" t="s">
        <v>2977</v>
      </c>
      <c r="I706" t="s">
        <v>2969</v>
      </c>
      <c r="J706">
        <f>VLOOKUP(F706,[1]!china_towns_second__2[[Column1]:[Y]],3,FALSE)</f>
        <v>37.8675967890888</v>
      </c>
      <c r="K706">
        <f>VLOOKUP(F706,[1]!china_towns_second__2[[Column1]:[Y]],2,FALSE)</f>
        <v>112.6089209</v>
      </c>
      <c r="L706" t="s">
        <v>4282</v>
      </c>
      <c r="M706" t="str">
        <f>VLOOKUP(H706,CHOOSE({1,2},Table12[Native],Table12[Name]),2,0)</f>
        <v>Xìnghuālĭng Qū</v>
      </c>
      <c r="N706" s="13" t="str">
        <f>VLOOKUP(I706,CHOOSE({1,2},Table12[Native],Table12[Name]),2,0)</f>
        <v>Tàiyuán Shì</v>
      </c>
      <c r="O706" s="13" t="str">
        <f t="shared" ref="O706:O769" si="22">_xlfn.CONCAT(L706," (",N706,")")</f>
        <v>Minying Qu (Xinghualing Qu) (Tàiyuán Shì)</v>
      </c>
      <c r="P706" s="13" t="str">
        <f t="shared" ref="P706:P769" si="23">IF(COUNTIF(O:O,O706)&gt;1,_xlfn.CONCAT(L706," (",M706,")"),O706)</f>
        <v>Minying Qu (Xinghualing Qu) (Tàiyuán Shì)</v>
      </c>
    </row>
    <row r="707" spans="1:16" hidden="1" x14ac:dyDescent="0.25">
      <c r="A707" t="s">
        <v>719</v>
      </c>
      <c r="B707" t="str">
        <f>IF(COUNTIF(A:A,A707)&gt;1,_xlfn.CONCAT(A707," (",N707,")"),A707)</f>
        <v>Mĭshān Zhèn</v>
      </c>
      <c r="C707" t="str">
        <f>IF(COUNTIF(B:B,B707)&gt;1,_xlfn.CONCAT(A707," (",M707,")"),B707)</f>
        <v>Mĭshān Zhèn</v>
      </c>
      <c r="D707" t="s">
        <v>720</v>
      </c>
      <c r="E707" t="s">
        <v>7</v>
      </c>
      <c r="F707" t="str">
        <f>_xlfn.CONCAT(D707,", ",H707,", ",I707,", ","山西省")</f>
        <v>米山镇, 高平市, 晋城市, 山西省</v>
      </c>
      <c r="G707">
        <v>29906</v>
      </c>
      <c r="H707" t="s">
        <v>2908</v>
      </c>
      <c r="I707" t="s">
        <v>2906</v>
      </c>
      <c r="J707">
        <f>VLOOKUP(F707,[1]!china_towns_second__2[[Column1]:[Y]],3,FALSE)</f>
        <v>35.774192068741101</v>
      </c>
      <c r="K707">
        <f>VLOOKUP(F707,[1]!china_towns_second__2[[Column1]:[Y]],2,FALSE)</f>
        <v>113.002866</v>
      </c>
      <c r="L707" t="s">
        <v>4283</v>
      </c>
      <c r="M707" t="str">
        <f>VLOOKUP(H707,CHOOSE({1,2},Table12[Native],Table12[Name]),2,0)</f>
        <v>Gāopíng Shì</v>
      </c>
      <c r="N707" s="13" t="str">
        <f>VLOOKUP(I707,CHOOSE({1,2},Table12[Native],Table12[Name]),2,0)</f>
        <v>Jìnchéng Shì</v>
      </c>
      <c r="O707" s="13" t="str">
        <f t="shared" si="22"/>
        <v>Mishan Zhen (Jìnchéng Shì)</v>
      </c>
      <c r="P707" s="13" t="str">
        <f t="shared" si="23"/>
        <v>Mishan Zhen (Jìnchéng Shì)</v>
      </c>
    </row>
    <row r="708" spans="1:16" hidden="1" x14ac:dyDescent="0.25">
      <c r="A708" t="s">
        <v>457</v>
      </c>
      <c r="B708" t="str">
        <f>IF(COUNTIF(A:A,A708)&gt;1,_xlfn.CONCAT(A708," (",N708,")"),A708)</f>
        <v>Mĭxīnguān Zhèn</v>
      </c>
      <c r="C708" t="str">
        <f>IF(COUNTIF(B:B,B708)&gt;1,_xlfn.CONCAT(A708," (",M708,")"),B708)</f>
        <v>Mĭxīnguān Zhèn</v>
      </c>
      <c r="D708" t="s">
        <v>458</v>
      </c>
      <c r="E708" t="s">
        <v>7</v>
      </c>
      <c r="F708" t="str">
        <f>_xlfn.CONCAT(D708,", ",H708,", ",I708,", ","山西省")</f>
        <v>米薪关镇, 天镇县, 大同市, 山西省</v>
      </c>
      <c r="G708">
        <v>17379</v>
      </c>
      <c r="H708" t="s">
        <v>2899</v>
      </c>
      <c r="I708" t="s">
        <v>2894</v>
      </c>
      <c r="J708">
        <f>VLOOKUP(F708,[1]!china_towns_second__2[[Column1]:[Y]],3,FALSE)</f>
        <v>40.326579295513703</v>
      </c>
      <c r="K708">
        <f>VLOOKUP(F708,[1]!china_towns_second__2[[Column1]:[Y]],2,FALSE)</f>
        <v>114.1956696</v>
      </c>
      <c r="L708" t="s">
        <v>4284</v>
      </c>
      <c r="M708" t="str">
        <f>VLOOKUP(H708,CHOOSE({1,2},Table12[Native],Table12[Name]),2,0)</f>
        <v>Tiānzhèn Xiàn</v>
      </c>
      <c r="N708" s="13" t="str">
        <f>VLOOKUP(I708,CHOOSE({1,2},Table12[Native],Table12[Name]),2,0)</f>
        <v>Dàtóng Shì</v>
      </c>
      <c r="O708" s="13" t="str">
        <f t="shared" si="22"/>
        <v>Mixinguan Zhen (Dàtóng Shì)</v>
      </c>
      <c r="P708" s="13" t="str">
        <f t="shared" si="23"/>
        <v>Mixinguan Zhen (Dàtóng Shì)</v>
      </c>
    </row>
    <row r="709" spans="1:16" hidden="1" x14ac:dyDescent="0.25">
      <c r="A709" t="s">
        <v>2002</v>
      </c>
      <c r="B709" t="str">
        <f>IF(COUNTIF(A:A,A709)&gt;1,_xlfn.CONCAT(A709," (",N709,")"),A709)</f>
        <v>Mĭyùzhèn Xiāng</v>
      </c>
      <c r="C709" t="str">
        <f>IF(COUNTIF(B:B,B709)&gt;1,_xlfn.CONCAT(A709," (",M709,")"),B709)</f>
        <v>Mĭyùzhèn Xiāng</v>
      </c>
      <c r="D709" t="s">
        <v>2003</v>
      </c>
      <c r="E709" t="s">
        <v>17</v>
      </c>
      <c r="F709" t="str">
        <f>_xlfn.CONCAT(D709,", ",H709,", ",I709,", ","山西省")</f>
        <v>米峪镇乡, 娄烦县, 太原市, 山西省</v>
      </c>
      <c r="G709">
        <v>8070</v>
      </c>
      <c r="H709" t="s">
        <v>2973</v>
      </c>
      <c r="I709" t="s">
        <v>2969</v>
      </c>
      <c r="J709" t="e">
        <f>VLOOKUP(F709,[1]!china_towns_second__2[[Column1]:[Y]],3,FALSE)</f>
        <v>#N/A</v>
      </c>
      <c r="K709" t="e">
        <f>VLOOKUP(F709,[1]!china_towns_second__2[[Column1]:[Y]],2,FALSE)</f>
        <v>#N/A</v>
      </c>
      <c r="L709" t="s">
        <v>4285</v>
      </c>
      <c r="M709" t="str">
        <f>VLOOKUP(H709,CHOOSE({1,2},Table12[Native],Table12[Name]),2,0)</f>
        <v>Lóufán Xiàn</v>
      </c>
      <c r="N709" s="13" t="str">
        <f>VLOOKUP(I709,CHOOSE({1,2},Table12[Native],Table12[Name]),2,0)</f>
        <v>Tàiyuán Shì</v>
      </c>
      <c r="O709" s="13" t="str">
        <f t="shared" si="22"/>
        <v>Miyuzhen Xiang (Tàiyuán Shì)</v>
      </c>
      <c r="P709" s="13" t="str">
        <f t="shared" si="23"/>
        <v>Miyuzhen Xiang (Tàiyuán Shì)</v>
      </c>
    </row>
    <row r="710" spans="1:16" hidden="1" x14ac:dyDescent="0.25">
      <c r="A710" t="s">
        <v>183</v>
      </c>
      <c r="B710" t="str">
        <f>IF(COUNTIF(A:A,A710)&gt;1,_xlfn.CONCAT(A710," (",N710,")"),A710)</f>
        <v>Mòdèng Xiāng</v>
      </c>
      <c r="C710" t="str">
        <f>IF(COUNTIF(B:B,B710)&gt;1,_xlfn.CONCAT(A710," (",M710,")"),B710)</f>
        <v>Mòdèng Xiāng</v>
      </c>
      <c r="D710" t="s">
        <v>184</v>
      </c>
      <c r="E710" t="s">
        <v>17</v>
      </c>
      <c r="F710" t="str">
        <f>_xlfn.CONCAT(D710,", ",H710,", ",I710,", ","山西省")</f>
        <v>墨镫乡, 武乡县, 长治市, 山西省</v>
      </c>
      <c r="G710">
        <v>7604</v>
      </c>
      <c r="H710" t="s">
        <v>2891</v>
      </c>
      <c r="I710" t="s">
        <v>2878</v>
      </c>
      <c r="J710" t="e">
        <f>VLOOKUP(F710,[1]!china_towns_second__2[[Column1]:[Y]],3,FALSE)</f>
        <v>#N/A</v>
      </c>
      <c r="K710" t="e">
        <f>VLOOKUP(F710,[1]!china_towns_second__2[[Column1]:[Y]],2,FALSE)</f>
        <v>#N/A</v>
      </c>
      <c r="L710" t="s">
        <v>4286</v>
      </c>
      <c r="M710" t="str">
        <f>VLOOKUP(H710,CHOOSE({1,2},Table12[Native],Table12[Name]),2,0)</f>
        <v>Wŭxiāng Xiàn</v>
      </c>
      <c r="N710" s="13" t="str">
        <f>VLOOKUP(I710,CHOOSE({1,2},Table12[Native],Table12[Name]),2,0)</f>
        <v>Chángzhì Shì</v>
      </c>
      <c r="O710" s="13" t="str">
        <f t="shared" si="22"/>
        <v>Modeng Xiang (Chángzhì Shì)</v>
      </c>
      <c r="P710" s="13" t="str">
        <f t="shared" si="23"/>
        <v>Modeng Xiang (Chángzhì Shì)</v>
      </c>
    </row>
    <row r="711" spans="1:16" hidden="1" x14ac:dyDescent="0.25">
      <c r="A711" t="s">
        <v>2724</v>
      </c>
      <c r="B711" t="str">
        <f>IF(COUNTIF(A:A,A711)&gt;1,_xlfn.CONCAT(A711," (",N711,")"),A711)</f>
        <v>Mólĭ Zhèn</v>
      </c>
      <c r="C711" t="str">
        <f>IF(COUNTIF(B:B,B711)&gt;1,_xlfn.CONCAT(A711," (",M711,")"),B711)</f>
        <v>Mólĭ Zhèn</v>
      </c>
      <c r="D711" t="s">
        <v>2725</v>
      </c>
      <c r="E711" t="s">
        <v>7</v>
      </c>
      <c r="F711" t="str">
        <f>_xlfn.CONCAT(D711,", ",H711,", ",I711,", ","山西省")</f>
        <v>磨里镇, 绛县, 运城市, 山西省</v>
      </c>
      <c r="G711">
        <v>9747</v>
      </c>
      <c r="H711" t="s">
        <v>3005</v>
      </c>
      <c r="I711" t="s">
        <v>3003</v>
      </c>
      <c r="J711">
        <f>VLOOKUP(F711,[1]!china_towns_second__2[[Column1]:[Y]],3,FALSE)</f>
        <v>35.511222678874397</v>
      </c>
      <c r="K711">
        <f>VLOOKUP(F711,[1]!china_towns_second__2[[Column1]:[Y]],2,FALSE)</f>
        <v>111.7791847</v>
      </c>
      <c r="L711" t="s">
        <v>4287</v>
      </c>
      <c r="M711" t="str">
        <f>VLOOKUP(H711,CHOOSE({1,2},Table12[Native],Table12[Name]),2,0)</f>
        <v>Jiàng Xiàn</v>
      </c>
      <c r="N711" s="13" t="str">
        <f>VLOOKUP(I711,CHOOSE({1,2},Table12[Native],Table12[Name]),2,0)</f>
        <v>Yùnchéng Shì</v>
      </c>
      <c r="O711" s="13" t="str">
        <f t="shared" si="22"/>
        <v>Moli Zhen (Yùnchéng Shì)</v>
      </c>
      <c r="P711" s="13" t="str">
        <f t="shared" si="23"/>
        <v>Moli Zhen (Yùnchéng Shì)</v>
      </c>
    </row>
    <row r="712" spans="1:16" hidden="1" x14ac:dyDescent="0.25">
      <c r="A712" t="s">
        <v>2726</v>
      </c>
      <c r="B712" t="str">
        <f>IF(COUNTIF(A:A,A712)&gt;1,_xlfn.CONCAT(A712," (",N712,")"),A712)</f>
        <v>Mònán Zhèn</v>
      </c>
      <c r="C712" t="str">
        <f>IF(COUNTIF(B:B,B712)&gt;1,_xlfn.CONCAT(A712," (",M712,")"),B712)</f>
        <v>Mònán Zhèn</v>
      </c>
      <c r="D712" t="s">
        <v>2727</v>
      </c>
      <c r="E712" t="s">
        <v>7</v>
      </c>
      <c r="F712" t="str">
        <f>_xlfn.CONCAT(D712,", ",H712,", ",I712,", ","山西省")</f>
        <v>陌南镇, 芮城县, 运城市, 山西省</v>
      </c>
      <c r="G712">
        <v>43851</v>
      </c>
      <c r="H712" t="s">
        <v>3009</v>
      </c>
      <c r="I712" t="s">
        <v>3003</v>
      </c>
      <c r="J712">
        <f>VLOOKUP(F712,[1]!china_towns_second__2[[Column1]:[Y]],3,FALSE)</f>
        <v>34.753832954204</v>
      </c>
      <c r="K712">
        <f>VLOOKUP(F712,[1]!china_towns_second__2[[Column1]:[Y]],2,FALSE)</f>
        <v>110.875441</v>
      </c>
      <c r="L712" t="s">
        <v>4288</v>
      </c>
      <c r="M712" t="str">
        <f>VLOOKUP(H712,CHOOSE({1,2},Table12[Native],Table12[Name]),2,0)</f>
        <v>Ruìchéng Xiàn</v>
      </c>
      <c r="N712" s="13" t="str">
        <f>VLOOKUP(I712,CHOOSE({1,2},Table12[Native],Table12[Name]),2,0)</f>
        <v>Yùnchéng Shì</v>
      </c>
      <c r="O712" s="13" t="str">
        <f t="shared" si="22"/>
        <v>Monan Zhen (Yùnchéng Shì)</v>
      </c>
      <c r="P712" s="13" t="str">
        <f t="shared" si="23"/>
        <v>Monan Zhen (Yùnchéng Shì)</v>
      </c>
    </row>
    <row r="713" spans="1:16" hidden="1" x14ac:dyDescent="0.25">
      <c r="A713" t="s">
        <v>1574</v>
      </c>
      <c r="B713" t="str">
        <f>IF(COUNTIF(A:A,A713)&gt;1,_xlfn.CONCAT(A713," (",N713,")"),A713)</f>
        <v>Mùcūn Zhèn</v>
      </c>
      <c r="C713" t="str">
        <f>IF(COUNTIF(B:B,B713)&gt;1,_xlfn.CONCAT(A713," (",M713,")"),B713)</f>
        <v>Mùcūn Zhèn</v>
      </c>
      <c r="D713" t="s">
        <v>1575</v>
      </c>
      <c r="E713" t="s">
        <v>7</v>
      </c>
      <c r="F713" t="str">
        <f>_xlfn.CONCAT(D713,", ",H713,", ",I713,", ","山西省")</f>
        <v>穆村镇, 柳林县, 吕梁市, 山西省</v>
      </c>
      <c r="G713">
        <v>34914</v>
      </c>
      <c r="H713" t="s">
        <v>2954</v>
      </c>
      <c r="I713" t="s">
        <v>2946</v>
      </c>
      <c r="J713">
        <f>VLOOKUP(F713,[1]!china_towns_second__2[[Column1]:[Y]],3,FALSE)</f>
        <v>37.413036610375002</v>
      </c>
      <c r="K713">
        <f>VLOOKUP(F713,[1]!china_towns_second__2[[Column1]:[Y]],2,FALSE)</f>
        <v>110.8468051</v>
      </c>
      <c r="L713" t="s">
        <v>4289</v>
      </c>
      <c r="M713" t="str">
        <f>VLOOKUP(H713,CHOOSE({1,2},Table12[Native],Table12[Name]),2,0)</f>
        <v>Liŭlín Xiàn</v>
      </c>
      <c r="N713" s="13" t="str">
        <f>VLOOKUP(I713,CHOOSE({1,2},Table12[Native],Table12[Name]),2,0)</f>
        <v>Lǚliáng Shì</v>
      </c>
      <c r="O713" s="13" t="str">
        <f t="shared" si="22"/>
        <v>Mucun Zhen (Lǚliáng Shì)</v>
      </c>
      <c r="P713" s="13" t="str">
        <f t="shared" si="23"/>
        <v>Mucun Zhen (Lǚliáng Shì)</v>
      </c>
    </row>
    <row r="714" spans="1:16" hidden="1" x14ac:dyDescent="0.25">
      <c r="A714" t="s">
        <v>1576</v>
      </c>
      <c r="B714" t="str">
        <f>IF(COUNTIF(A:A,A714)&gt;1,_xlfn.CONCAT(A714," (",N714,")"),A714)</f>
        <v>Mùguāpíng Xiāng</v>
      </c>
      <c r="C714" t="str">
        <f>IF(COUNTIF(B:B,B714)&gt;1,_xlfn.CONCAT(A714," (",M714,")"),B714)</f>
        <v>Mùguāpíng Xiāng</v>
      </c>
      <c r="D714" t="s">
        <v>1577</v>
      </c>
      <c r="E714" t="s">
        <v>17</v>
      </c>
      <c r="F714" t="str">
        <f>_xlfn.CONCAT(D714,", ",H714,", ",I714,", ","山西省")</f>
        <v>木瓜坪乡, 临县, 吕梁市, 山西省</v>
      </c>
      <c r="G714">
        <v>18408</v>
      </c>
      <c r="H714" t="s">
        <v>2952</v>
      </c>
      <c r="I714" t="s">
        <v>2946</v>
      </c>
      <c r="J714" t="e">
        <f>VLOOKUP(F714,[1]!china_towns_second__2[[Column1]:[Y]],3,FALSE)</f>
        <v>#N/A</v>
      </c>
      <c r="K714" t="e">
        <f>VLOOKUP(F714,[1]!china_towns_second__2[[Column1]:[Y]],2,FALSE)</f>
        <v>#N/A</v>
      </c>
      <c r="L714" t="s">
        <v>4290</v>
      </c>
      <c r="M714" t="str">
        <f>VLOOKUP(H714,CHOOSE({1,2},Table12[Native],Table12[Name]),2,0)</f>
        <v>Lín Xiàn</v>
      </c>
      <c r="N714" s="13" t="str">
        <f>VLOOKUP(I714,CHOOSE({1,2},Table12[Native],Table12[Name]),2,0)</f>
        <v>Lǚliáng Shì</v>
      </c>
      <c r="O714" s="13" t="str">
        <f t="shared" si="22"/>
        <v>Muguaping Xiang (Lǚliáng Shì)</v>
      </c>
      <c r="P714" s="13" t="str">
        <f t="shared" si="23"/>
        <v>Muguaping Xiang (Lǚliáng Shì)</v>
      </c>
    </row>
    <row r="715" spans="1:16" hidden="1" x14ac:dyDescent="0.25">
      <c r="A715" t="s">
        <v>1578</v>
      </c>
      <c r="B715" t="str">
        <f>IF(COUNTIF(A:A,A715)&gt;1,_xlfn.CONCAT(A715," (",N715,")"),A715)</f>
        <v>Nán'ān Zhèn</v>
      </c>
      <c r="C715" t="str">
        <f>IF(COUNTIF(B:B,B715)&gt;1,_xlfn.CONCAT(A715," (",M715,")"),B715)</f>
        <v>Nán'ān Zhèn</v>
      </c>
      <c r="D715" t="s">
        <v>1579</v>
      </c>
      <c r="E715" t="s">
        <v>7</v>
      </c>
      <c r="F715" t="str">
        <f>_xlfn.CONCAT(D715,", ",H715,", ",I715,", ","山西省")</f>
        <v>南安镇, 文水县, 吕梁市, 山西省</v>
      </c>
      <c r="G715">
        <v>34229</v>
      </c>
      <c r="H715" t="s">
        <v>2956</v>
      </c>
      <c r="I715" t="s">
        <v>2946</v>
      </c>
      <c r="J715">
        <f>VLOOKUP(F715,[1]!china_towns_second__2[[Column1]:[Y]],3,FALSE)</f>
        <v>37.479842811358502</v>
      </c>
      <c r="K715">
        <f>VLOOKUP(F715,[1]!china_towns_second__2[[Column1]:[Y]],2,FALSE)</f>
        <v>112.263966</v>
      </c>
      <c r="L715" t="s">
        <v>4291</v>
      </c>
      <c r="M715" t="str">
        <f>VLOOKUP(H715,CHOOSE({1,2},Table12[Native],Table12[Name]),2,0)</f>
        <v>Wénshuĭ Xiàn</v>
      </c>
      <c r="N715" s="13" t="str">
        <f>VLOOKUP(I715,CHOOSE({1,2},Table12[Native],Table12[Name]),2,0)</f>
        <v>Lǚliáng Shì</v>
      </c>
      <c r="O715" s="13" t="str">
        <f t="shared" si="22"/>
        <v>Nan'an Zhen (Lǚliáng Shì)</v>
      </c>
      <c r="P715" s="13" t="str">
        <f t="shared" si="23"/>
        <v>Nan'an Zhen (Lǚliáng Shì)</v>
      </c>
    </row>
    <row r="716" spans="1:16" hidden="1" x14ac:dyDescent="0.25">
      <c r="A716" t="s">
        <v>2290</v>
      </c>
      <c r="B716" t="str">
        <f>IF(COUNTIF(A:A,A716)&gt;1,_xlfn.CONCAT(A716," (",N716,")"),A716)</f>
        <v>Nánbái Xiāng</v>
      </c>
      <c r="C716" t="str">
        <f>IF(COUNTIF(B:B,B716)&gt;1,_xlfn.CONCAT(A716," (",M716,")"),B716)</f>
        <v>Nánbái Xiāng</v>
      </c>
      <c r="D716" t="s">
        <v>2291</v>
      </c>
      <c r="E716" t="s">
        <v>17</v>
      </c>
      <c r="F716" t="str">
        <f>_xlfn.CONCAT(D716,", ",H716,", ",I716,", ","山西省")</f>
        <v>南白乡, 原平市, 忻州市, 山西省</v>
      </c>
      <c r="G716">
        <v>7830</v>
      </c>
      <c r="H716" t="s">
        <v>2995</v>
      </c>
      <c r="I716" t="s">
        <v>2981</v>
      </c>
      <c r="J716" t="e">
        <f>VLOOKUP(F716,[1]!china_towns_second__2[[Column1]:[Y]],3,FALSE)</f>
        <v>#N/A</v>
      </c>
      <c r="K716" t="e">
        <f>VLOOKUP(F716,[1]!china_towns_second__2[[Column1]:[Y]],2,FALSE)</f>
        <v>#N/A</v>
      </c>
      <c r="L716" t="s">
        <v>4292</v>
      </c>
      <c r="M716" t="str">
        <f>VLOOKUP(H716,CHOOSE({1,2},Table12[Native],Table12[Name]),2,0)</f>
        <v>Yuánpíng Shì</v>
      </c>
      <c r="N716" s="13" t="str">
        <f>VLOOKUP(I716,CHOOSE({1,2},Table12[Native],Table12[Name]),2,0)</f>
        <v>Xīnzhōu Shì</v>
      </c>
      <c r="O716" s="13" t="str">
        <f t="shared" si="22"/>
        <v>Nanbai Xiang (Xīnzhōu Shì)</v>
      </c>
      <c r="P716" s="13" t="str">
        <f t="shared" si="23"/>
        <v>Nanbai Xiang (Xīnzhōu Shì)</v>
      </c>
    </row>
    <row r="717" spans="1:16" hidden="1" x14ac:dyDescent="0.25">
      <c r="A717" t="s">
        <v>2292</v>
      </c>
      <c r="B717" t="str">
        <f>IF(COUNTIF(A:A,A717)&gt;1,_xlfn.CONCAT(A717," (",N717,")"),A717)</f>
        <v>Nánbăozi Xiāng</v>
      </c>
      <c r="C717" t="str">
        <f>IF(COUNTIF(B:B,B717)&gt;1,_xlfn.CONCAT(A717," (",M717,")"),B717)</f>
        <v>Nánbăozi Xiāng</v>
      </c>
      <c r="D717" t="s">
        <v>2293</v>
      </c>
      <c r="E717" t="s">
        <v>17</v>
      </c>
      <c r="F717" t="str">
        <f>_xlfn.CONCAT(D717,", ",H717,", ",I717,", ","山西省")</f>
        <v>南堡子乡, 偏关县, 忻州市, 山西省</v>
      </c>
      <c r="G717">
        <v>3559</v>
      </c>
      <c r="H717" t="s">
        <v>2990</v>
      </c>
      <c r="I717" t="s">
        <v>2981</v>
      </c>
      <c r="J717" t="e">
        <f>VLOOKUP(F717,[1]!china_towns_second__2[[Column1]:[Y]],3,FALSE)</f>
        <v>#N/A</v>
      </c>
      <c r="K717" t="e">
        <f>VLOOKUP(F717,[1]!china_towns_second__2[[Column1]:[Y]],2,FALSE)</f>
        <v>#N/A</v>
      </c>
      <c r="L717" t="s">
        <v>4293</v>
      </c>
      <c r="M717" t="str">
        <f>VLOOKUP(H717,CHOOSE({1,2},Table12[Native],Table12[Name]),2,0)</f>
        <v>Piānguān Xiàn</v>
      </c>
      <c r="N717" s="13" t="str">
        <f>VLOOKUP(I717,CHOOSE({1,2},Table12[Native],Table12[Name]),2,0)</f>
        <v>Xīnzhōu Shì</v>
      </c>
      <c r="O717" s="13" t="str">
        <f t="shared" si="22"/>
        <v>Nanbaozi Xiang (Xīnzhōu Shì)</v>
      </c>
      <c r="P717" s="13" t="str">
        <f t="shared" si="23"/>
        <v>Nanbaozi Xiang (Xīnzhōu Shì)</v>
      </c>
    </row>
    <row r="718" spans="1:16" hidden="1" x14ac:dyDescent="0.25">
      <c r="A718" t="s">
        <v>185</v>
      </c>
      <c r="B718" t="str">
        <f>IF(COUNTIF(A:A,A718)&gt;1,_xlfn.CONCAT(A718," (",N718,")"),A718)</f>
        <v>Nánchén Xiāng</v>
      </c>
      <c r="C718" t="str">
        <f>IF(COUNTIF(B:B,B718)&gt;1,_xlfn.CONCAT(A718," (",M718,")"),B718)</f>
        <v>Nánchén Xiāng</v>
      </c>
      <c r="D718" t="s">
        <v>186</v>
      </c>
      <c r="E718" t="s">
        <v>17</v>
      </c>
      <c r="F718" t="str">
        <f>_xlfn.CONCAT(D718,", ",H718,", ",I718,", ","山西省")</f>
        <v>南陈乡, 长子县, 长治市, 山西省</v>
      </c>
      <c r="G718">
        <v>20356</v>
      </c>
      <c r="H718" t="s">
        <v>2880</v>
      </c>
      <c r="I718" t="s">
        <v>2878</v>
      </c>
      <c r="J718" t="e">
        <f>VLOOKUP(F718,[1]!china_towns_second__2[[Column1]:[Y]],3,FALSE)</f>
        <v>#N/A</v>
      </c>
      <c r="K718" t="e">
        <f>VLOOKUP(F718,[1]!china_towns_second__2[[Column1]:[Y]],2,FALSE)</f>
        <v>#N/A</v>
      </c>
      <c r="L718" t="s">
        <v>4294</v>
      </c>
      <c r="M718" t="str">
        <f>VLOOKUP(H718,CHOOSE({1,2},Table12[Native],Table12[Name]),2,0)</f>
        <v>Chángzi Xiàn</v>
      </c>
      <c r="N718" s="13" t="str">
        <f>VLOOKUP(I718,CHOOSE({1,2},Table12[Native],Table12[Name]),2,0)</f>
        <v>Chángzhì Shì</v>
      </c>
      <c r="O718" s="13" t="str">
        <f t="shared" si="22"/>
        <v>Nanchen Xiang (Chángzhì Shì)</v>
      </c>
      <c r="P718" s="13" t="str">
        <f t="shared" si="23"/>
        <v>Nanchen Xiang (Chángzhì Shì)</v>
      </c>
    </row>
    <row r="719" spans="1:16" hidden="1" x14ac:dyDescent="0.25">
      <c r="A719" t="s">
        <v>721</v>
      </c>
      <c r="B719" t="str">
        <f>IF(COUNTIF(A:A,A719)&gt;1,_xlfn.CONCAT(A719," (",N719,")"),A719)</f>
        <v>Nánchéng Jiēdào (Jìnchéng Shì)</v>
      </c>
      <c r="C719" t="str">
        <f>IF(COUNTIF(B:B,B719)&gt;1,_xlfn.CONCAT(A719," (",M719,")"),B719)</f>
        <v>Nánchéng Jiēdào (Jìnchéng Shì)</v>
      </c>
      <c r="D719" t="s">
        <v>722</v>
      </c>
      <c r="E719" t="s">
        <v>31</v>
      </c>
      <c r="F719" t="str">
        <f>_xlfn.CONCAT(D719,", ",H719,", ",I719,", ","山西省")</f>
        <v>南城街道, 高平市, 晋城市, 山西省</v>
      </c>
      <c r="G719">
        <v>66032</v>
      </c>
      <c r="H719" t="s">
        <v>2908</v>
      </c>
      <c r="I719" t="s">
        <v>2906</v>
      </c>
      <c r="J719">
        <f>VLOOKUP(F719,[1]!china_towns_second__2[[Column1]:[Y]],3,FALSE)</f>
        <v>35.762954108094398</v>
      </c>
      <c r="K719">
        <f>VLOOKUP(F719,[1]!china_towns_second__2[[Column1]:[Y]],2,FALSE)</f>
        <v>112.9072712</v>
      </c>
      <c r="L719" t="s">
        <v>4295</v>
      </c>
      <c r="M719" t="str">
        <f>VLOOKUP(H719,CHOOSE({1,2},Table12[Native],Table12[Name]),2,0)</f>
        <v>Gāopíng Shì</v>
      </c>
      <c r="N719" s="13" t="str">
        <f>VLOOKUP(I719,CHOOSE({1,2},Table12[Native],Table12[Name]),2,0)</f>
        <v>Jìnchéng Shì</v>
      </c>
      <c r="O719" s="13" t="str">
        <f t="shared" si="22"/>
        <v>Nancheng Jiedao (Jincheng Shi) (Jìnchéng Shì)</v>
      </c>
      <c r="P719" s="13" t="str">
        <f t="shared" si="23"/>
        <v>Nancheng Jiedao (Jincheng Shi) (Jìnchéng Shì)</v>
      </c>
    </row>
    <row r="720" spans="1:16" hidden="1" x14ac:dyDescent="0.25">
      <c r="A720" t="s">
        <v>721</v>
      </c>
      <c r="B720" t="str">
        <f>IF(COUNTIF(A:A,A720)&gt;1,_xlfn.CONCAT(A720," (",N720,")"),A720)</f>
        <v>Nánchéng Jiēdào (Shuòzhōu Shì)</v>
      </c>
      <c r="C720" t="str">
        <f>IF(COUNTIF(B:B,B720)&gt;1,_xlfn.CONCAT(A720," (",M720,")"),B720)</f>
        <v>Nánchéng Jiēdào (Shuòzhōu Shì)</v>
      </c>
      <c r="D720" t="s">
        <v>722</v>
      </c>
      <c r="E720" t="s">
        <v>31</v>
      </c>
      <c r="F720" t="str">
        <f>_xlfn.CONCAT(D720,", ",H720,", ",I720,", ","山西省")</f>
        <v>南城街道, 朔城区, 朔州市, 山西省</v>
      </c>
      <c r="G720">
        <v>105760</v>
      </c>
      <c r="H720" t="s">
        <v>2965</v>
      </c>
      <c r="I720" t="s">
        <v>2961</v>
      </c>
      <c r="J720">
        <f>VLOOKUP(F720,[1]!china_towns_second__2[[Column1]:[Y]],3,FALSE)</f>
        <v>39.312157634552499</v>
      </c>
      <c r="K720">
        <f>VLOOKUP(F720,[1]!china_towns_second__2[[Column1]:[Y]],2,FALSE)</f>
        <v>112.4124813</v>
      </c>
      <c r="L720" t="s">
        <v>4296</v>
      </c>
      <c r="M720" t="str">
        <f>VLOOKUP(H720,CHOOSE({1,2},Table12[Native],Table12[Name]),2,0)</f>
        <v>Shuòchéng Qū</v>
      </c>
      <c r="N720" s="13" t="str">
        <f>VLOOKUP(I720,CHOOSE({1,2},Table12[Native],Table12[Name]),2,0)</f>
        <v>Shuòzhōu Shì</v>
      </c>
      <c r="O720" s="13" t="str">
        <f t="shared" si="22"/>
        <v>Nancheng Jiedao (Shuozhou Shi) (Shuòzhōu Shì)</v>
      </c>
      <c r="P720" s="13" t="str">
        <f t="shared" si="23"/>
        <v>Nancheng Jiedao (Shuozhou Shi) (Shuòzhōu Shì)</v>
      </c>
    </row>
    <row r="721" spans="1:16" hidden="1" x14ac:dyDescent="0.25">
      <c r="A721" t="s">
        <v>721</v>
      </c>
      <c r="B721" t="str">
        <f>IF(COUNTIF(A:A,A721)&gt;1,_xlfn.CONCAT(A721," (",N721,")"),A721)</f>
        <v>Nánchéng Jiēdào (Xīnzhōu Shì)</v>
      </c>
      <c r="C721" t="str">
        <f>IF(COUNTIF(B:B,B721)&gt;1,_xlfn.CONCAT(A721," (",M721,")"),B721)</f>
        <v>Nánchéng Jiēdào (Xīnzhōu Shì)</v>
      </c>
      <c r="D721" t="s">
        <v>722</v>
      </c>
      <c r="E721" t="s">
        <v>31</v>
      </c>
      <c r="F721" t="str">
        <f>_xlfn.CONCAT(D721,", ",H721,", ",I721,", ","山西省")</f>
        <v>南城街道, 原平市, 忻州市, 山西省</v>
      </c>
      <c r="G721">
        <v>55947</v>
      </c>
      <c r="H721" t="s">
        <v>2995</v>
      </c>
      <c r="I721" t="s">
        <v>2981</v>
      </c>
      <c r="J721">
        <f>VLOOKUP(F721,[1]!china_towns_second__2[[Column1]:[Y]],3,FALSE)</f>
        <v>38.719501714325702</v>
      </c>
      <c r="K721">
        <f>VLOOKUP(F721,[1]!china_towns_second__2[[Column1]:[Y]],2,FALSE)</f>
        <v>112.7066305</v>
      </c>
      <c r="L721" t="s">
        <v>4297</v>
      </c>
      <c r="M721" t="str">
        <f>VLOOKUP(H721,CHOOSE({1,2},Table12[Native],Table12[Name]),2,0)</f>
        <v>Yuánpíng Shì</v>
      </c>
      <c r="N721" s="13" t="str">
        <f>VLOOKUP(I721,CHOOSE({1,2},Table12[Native],Table12[Name]),2,0)</f>
        <v>Xīnzhōu Shì</v>
      </c>
      <c r="O721" s="13" t="str">
        <f t="shared" si="22"/>
        <v>Nancheng Jiedao (Xinzhou Shi) (Xīnzhōu Shì)</v>
      </c>
      <c r="P721" s="13" t="str">
        <f t="shared" si="23"/>
        <v>Nancheng Jiedao (Xinzhou Shi) (Xīnzhōu Shì)</v>
      </c>
    </row>
    <row r="722" spans="1:16" hidden="1" x14ac:dyDescent="0.25">
      <c r="A722" t="s">
        <v>721</v>
      </c>
      <c r="B722" t="str">
        <f>IF(COUNTIF(A:A,A722)&gt;1,_xlfn.CONCAT(A722," (",N722,")"),A722)</f>
        <v>Nánchéng Jiēdào (Yùnchéng Shì)</v>
      </c>
      <c r="C722" t="str">
        <f>IF(COUNTIF(B:B,B722)&gt;1,_xlfn.CONCAT(A722," (",M722,")"),B722)</f>
        <v>Nánchéng Jiēdào (Yùnchéng Shì)</v>
      </c>
      <c r="D722" t="s">
        <v>722</v>
      </c>
      <c r="E722" t="s">
        <v>31</v>
      </c>
      <c r="F722" t="str">
        <f>_xlfn.CONCAT(D722,", ",H722,", ",I722,", ","山西省")</f>
        <v>南城街道, 盐湖区, 运城市, 山西省</v>
      </c>
      <c r="G722">
        <v>35679</v>
      </c>
      <c r="H722" t="s">
        <v>3014</v>
      </c>
      <c r="I722" t="s">
        <v>3003</v>
      </c>
      <c r="J722">
        <f>VLOOKUP(F722,[1]!china_towns_second__2[[Column1]:[Y]],3,FALSE)</f>
        <v>34.9748743647325</v>
      </c>
      <c r="K722">
        <f>VLOOKUP(F722,[1]!china_towns_second__2[[Column1]:[Y]],2,FALSE)</f>
        <v>111.02140780000001</v>
      </c>
      <c r="L722" t="s">
        <v>4298</v>
      </c>
      <c r="M722" t="str">
        <f>VLOOKUP(H722,CHOOSE({1,2},Table12[Native],Table12[Name]),2,0)</f>
        <v>Yánhú Qū</v>
      </c>
      <c r="N722" s="13" t="str">
        <f>VLOOKUP(I722,CHOOSE({1,2},Table12[Native],Table12[Name]),2,0)</f>
        <v>Yùnchéng Shì</v>
      </c>
      <c r="O722" s="13" t="str">
        <f t="shared" si="22"/>
        <v>Nancheng Jiedao (Yuncheng Shi) (Yùnchéng Shì)</v>
      </c>
      <c r="P722" s="13" t="str">
        <f t="shared" si="23"/>
        <v>Nancheng Jiedao (Yuncheng Shi) (Yùnchéng Shì)</v>
      </c>
    </row>
    <row r="723" spans="1:16" hidden="1" x14ac:dyDescent="0.25">
      <c r="A723" t="s">
        <v>459</v>
      </c>
      <c r="B723" t="str">
        <f>IF(COUNTIF(A:A,A723)&gt;1,_xlfn.CONCAT(A723," (",N723,")"),A723)</f>
        <v>Náncūn Zhèn (Dàtóng Shì)</v>
      </c>
      <c r="C723" t="str">
        <f>IF(COUNTIF(B:B,B723)&gt;1,_xlfn.CONCAT(A723," (",M723,")"),B723)</f>
        <v>Náncūn Zhèn (Dàtóng Shì)</v>
      </c>
      <c r="D723" t="s">
        <v>460</v>
      </c>
      <c r="E723" t="s">
        <v>7</v>
      </c>
      <c r="F723" t="str">
        <f>_xlfn.CONCAT(D723,", ",H723,", ",I723,", ","山西省")</f>
        <v>南村镇, 广灵县, 大同市, 山西省</v>
      </c>
      <c r="G723">
        <v>25710</v>
      </c>
      <c r="H723" t="s">
        <v>2895</v>
      </c>
      <c r="I723" t="s">
        <v>2894</v>
      </c>
      <c r="J723">
        <f>VLOOKUP(F723,[1]!china_towns_second__2[[Column1]:[Y]],3,FALSE)</f>
        <v>39.698378862071202</v>
      </c>
      <c r="K723">
        <f>VLOOKUP(F723,[1]!china_towns_second__2[[Column1]:[Y]],2,FALSE)</f>
        <v>114.05712</v>
      </c>
      <c r="L723" t="s">
        <v>4299</v>
      </c>
      <c r="M723" t="str">
        <f>VLOOKUP(H723,CHOOSE({1,2},Table12[Native],Table12[Name]),2,0)</f>
        <v>Guănglíng Xiàn</v>
      </c>
      <c r="N723" s="13" t="str">
        <f>VLOOKUP(I723,CHOOSE({1,2},Table12[Native],Table12[Name]),2,0)</f>
        <v>Dàtóng Shì</v>
      </c>
      <c r="O723" s="13" t="str">
        <f t="shared" si="22"/>
        <v>Nancun Zhen (Datong Shi) (Dàtóng Shì)</v>
      </c>
      <c r="P723" s="13" t="str">
        <f t="shared" si="23"/>
        <v>Nancun Zhen (Datong Shi) (Dàtóng Shì)</v>
      </c>
    </row>
    <row r="724" spans="1:16" hidden="1" x14ac:dyDescent="0.25">
      <c r="A724" t="s">
        <v>459</v>
      </c>
      <c r="B724" t="str">
        <f>IF(COUNTIF(A:A,A724)&gt;1,_xlfn.CONCAT(A724," (",N724,")"),A724)</f>
        <v>Náncūn Zhèn (Jìnchéng Shì)</v>
      </c>
      <c r="C724" t="str">
        <f>IF(COUNTIF(B:B,B724)&gt;1,_xlfn.CONCAT(A724," (",M724,")"),B724)</f>
        <v>Náncūn Zhèn (Jìnchéng Shì)</v>
      </c>
      <c r="D724" t="s">
        <v>460</v>
      </c>
      <c r="E724" t="s">
        <v>7</v>
      </c>
      <c r="F724" t="str">
        <f>_xlfn.CONCAT(D724,", ",H724,", ",I724,", ","山西省")</f>
        <v>南村镇, 泽州县, 晋城市, 山西省</v>
      </c>
      <c r="G724">
        <v>48926</v>
      </c>
      <c r="H724" t="s">
        <v>2912</v>
      </c>
      <c r="I724" t="s">
        <v>2906</v>
      </c>
      <c r="J724">
        <f>VLOOKUP(F724,[1]!china_towns_second__2[[Column1]:[Y]],3,FALSE)</f>
        <v>35.449943759299401</v>
      </c>
      <c r="K724">
        <f>VLOOKUP(F724,[1]!china_towns_second__2[[Column1]:[Y]],2,FALSE)</f>
        <v>112.7576214</v>
      </c>
      <c r="L724" t="s">
        <v>4300</v>
      </c>
      <c r="M724" t="str">
        <f>VLOOKUP(H724,CHOOSE({1,2},Table12[Native],Table12[Name]),2,0)</f>
        <v>Zézhōu Xiàn</v>
      </c>
      <c r="N724" s="13" t="str">
        <f>VLOOKUP(I724,CHOOSE({1,2},Table12[Native],Table12[Name]),2,0)</f>
        <v>Jìnchéng Shì</v>
      </c>
      <c r="O724" s="13" t="str">
        <f t="shared" si="22"/>
        <v>Nancun Zhen (Jincheng Shi) (Jìnchéng Shì)</v>
      </c>
      <c r="P724" s="13" t="str">
        <f t="shared" si="23"/>
        <v>Nancun Zhen (Jincheng Shi) (Jìnchéng Shì)</v>
      </c>
    </row>
    <row r="725" spans="1:16" hidden="1" x14ac:dyDescent="0.25">
      <c r="A725" t="s">
        <v>2728</v>
      </c>
      <c r="B725" t="str">
        <f>IF(COUNTIF(A:A,A725)&gt;1,_xlfn.CONCAT(A725," (",N725,")"),A725)</f>
        <v>Nándàlĭ Xiāng</v>
      </c>
      <c r="C725" t="str">
        <f>IF(COUNTIF(B:B,B725)&gt;1,_xlfn.CONCAT(A725," (",M725,")"),B725)</f>
        <v>Nándàlĭ Xiāng</v>
      </c>
      <c r="D725" t="s">
        <v>2729</v>
      </c>
      <c r="E725" t="s">
        <v>17</v>
      </c>
      <c r="F725" t="str">
        <f>_xlfn.CONCAT(D725,", ",H725,", ",I725,", ","山西省")</f>
        <v>南大里乡, 夏县, 运城市, 山西省</v>
      </c>
      <c r="G725">
        <v>18215</v>
      </c>
      <c r="H725" t="s">
        <v>3012</v>
      </c>
      <c r="I725" t="s">
        <v>3003</v>
      </c>
      <c r="J725" t="e">
        <f>VLOOKUP(F725,[1]!china_towns_second__2[[Column1]:[Y]],3,FALSE)</f>
        <v>#N/A</v>
      </c>
      <c r="K725" t="e">
        <f>VLOOKUP(F725,[1]!china_towns_second__2[[Column1]:[Y]],2,FALSE)</f>
        <v>#N/A</v>
      </c>
      <c r="L725" t="s">
        <v>4301</v>
      </c>
      <c r="M725" t="str">
        <f>VLOOKUP(H725,CHOOSE({1,2},Table12[Native],Table12[Name]),2,0)</f>
        <v>Xià Xiàn</v>
      </c>
      <c r="N725" s="13" t="str">
        <f>VLOOKUP(I725,CHOOSE({1,2},Table12[Native],Table12[Name]),2,0)</f>
        <v>Yùnchéng Shì</v>
      </c>
      <c r="O725" s="13" t="str">
        <f t="shared" si="22"/>
        <v>Nandali Xiang (Yùnchéng Shì)</v>
      </c>
      <c r="P725" s="13" t="str">
        <f t="shared" si="23"/>
        <v>Nandali Xiang (Yùnchéng Shì)</v>
      </c>
    </row>
    <row r="726" spans="1:16" hidden="1" x14ac:dyDescent="0.25">
      <c r="A726" t="s">
        <v>2730</v>
      </c>
      <c r="B726" t="str">
        <f>IF(COUNTIF(A:A,A726)&gt;1,_xlfn.CONCAT(A726," (",N726,")"),A726)</f>
        <v>Nánfán Zhèn</v>
      </c>
      <c r="C726" t="str">
        <f>IF(COUNTIF(B:B,B726)&gt;1,_xlfn.CONCAT(A726," (",M726,")"),B726)</f>
        <v>Nánfán Zhèn</v>
      </c>
      <c r="D726" t="s">
        <v>2731</v>
      </c>
      <c r="E726" t="s">
        <v>7</v>
      </c>
      <c r="F726" t="str">
        <f>_xlfn.CONCAT(D726,", ",H726,", ",I726,", ","山西省")</f>
        <v>南樊镇, 绛县, 运城市, 山西省</v>
      </c>
      <c r="G726">
        <v>24060</v>
      </c>
      <c r="H726" t="s">
        <v>3005</v>
      </c>
      <c r="I726" t="s">
        <v>3003</v>
      </c>
      <c r="J726">
        <f>VLOOKUP(F726,[1]!china_towns_second__2[[Column1]:[Y]],3,FALSE)</f>
        <v>35.578004269071499</v>
      </c>
      <c r="K726">
        <f>VLOOKUP(F726,[1]!china_towns_second__2[[Column1]:[Y]],2,FALSE)</f>
        <v>111.6036922</v>
      </c>
      <c r="L726" t="s">
        <v>4302</v>
      </c>
      <c r="M726" t="str">
        <f>VLOOKUP(H726,CHOOSE({1,2},Table12[Native],Table12[Name]),2,0)</f>
        <v>Jiàng Xiàn</v>
      </c>
      <c r="N726" s="13" t="str">
        <f>VLOOKUP(I726,CHOOSE({1,2},Table12[Native],Table12[Name]),2,0)</f>
        <v>Yùnchéng Shì</v>
      </c>
      <c r="O726" s="13" t="str">
        <f t="shared" si="22"/>
        <v>Nanfan Zhen (Yùnchéng Shì)</v>
      </c>
      <c r="P726" s="13" t="str">
        <f t="shared" si="23"/>
        <v>Nanfan Zhen (Yùnchéng Shì)</v>
      </c>
    </row>
    <row r="727" spans="1:16" hidden="1" x14ac:dyDescent="0.25">
      <c r="A727" t="s">
        <v>461</v>
      </c>
      <c r="B727" t="str">
        <f>IF(COUNTIF(A:A,A727)&gt;1,_xlfn.CONCAT(A727," (",N727,")"),A727)</f>
        <v>Nángāoyá Xiāng</v>
      </c>
      <c r="C727" t="str">
        <f>IF(COUNTIF(B:B,B727)&gt;1,_xlfn.CONCAT(A727," (",M727,")"),B727)</f>
        <v>Nángāoyá Xiāng</v>
      </c>
      <c r="D727" t="s">
        <v>462</v>
      </c>
      <c r="E727" t="s">
        <v>17</v>
      </c>
      <c r="F727" t="str">
        <f>_xlfn.CONCAT(D727,", ",H727,", ",I727,", ","山西省")</f>
        <v>南高崖乡, 天镇县, 大同市, 山西省</v>
      </c>
      <c r="G727">
        <v>6588</v>
      </c>
      <c r="H727" t="s">
        <v>2899</v>
      </c>
      <c r="I727" t="s">
        <v>2894</v>
      </c>
      <c r="J727" t="e">
        <f>VLOOKUP(F727,[1]!china_towns_second__2[[Column1]:[Y]],3,FALSE)</f>
        <v>#N/A</v>
      </c>
      <c r="K727" t="e">
        <f>VLOOKUP(F727,[1]!china_towns_second__2[[Column1]:[Y]],2,FALSE)</f>
        <v>#N/A</v>
      </c>
      <c r="L727" t="s">
        <v>4303</v>
      </c>
      <c r="M727" t="str">
        <f>VLOOKUP(H727,CHOOSE({1,2},Table12[Native],Table12[Name]),2,0)</f>
        <v>Tiānzhèn Xiàn</v>
      </c>
      <c r="N727" s="13" t="str">
        <f>VLOOKUP(I727,CHOOSE({1,2},Table12[Native],Table12[Name]),2,0)</f>
        <v>Dàtóng Shì</v>
      </c>
      <c r="O727" s="13" t="str">
        <f t="shared" si="22"/>
        <v>Nangaoya Xiang (Dàtóng Shì)</v>
      </c>
      <c r="P727" s="13" t="str">
        <f t="shared" si="23"/>
        <v>Nangaoya Xiang (Dàtóng Shì)</v>
      </c>
    </row>
    <row r="728" spans="1:16" hidden="1" x14ac:dyDescent="0.25">
      <c r="A728" t="s">
        <v>463</v>
      </c>
      <c r="B728" t="str">
        <f>IF(COUNTIF(A:A,A728)&gt;1,_xlfn.CONCAT(A728," (",N728,")"),A728)</f>
        <v>Nánguān Jiēdào</v>
      </c>
      <c r="C728" t="str">
        <f>IF(COUNTIF(B:B,B728)&gt;1,_xlfn.CONCAT(A728," (",M728,")"),B728)</f>
        <v>Nánguān Jiēdào</v>
      </c>
      <c r="D728" t="s">
        <v>464</v>
      </c>
      <c r="E728" t="s">
        <v>31</v>
      </c>
      <c r="F728" t="str">
        <f>_xlfn.CONCAT(D728,", ",H728,", ",I728,", ","山西省")</f>
        <v>南关街道, 平城区, 大同市, 山西省</v>
      </c>
      <c r="G728">
        <v>109250</v>
      </c>
      <c r="H728" t="s">
        <v>2898</v>
      </c>
      <c r="I728" t="s">
        <v>2894</v>
      </c>
      <c r="J728" t="e">
        <f>VLOOKUP(F728,[1]!china_towns_second__2[[Column1]:[Y]],3,FALSE)</f>
        <v>#N/A</v>
      </c>
      <c r="K728" t="e">
        <f>VLOOKUP(F728,[1]!china_towns_second__2[[Column1]:[Y]],2,FALSE)</f>
        <v>#N/A</v>
      </c>
      <c r="L728" t="s">
        <v>4304</v>
      </c>
      <c r="M728" t="str">
        <f>VLOOKUP(H728,CHOOSE({1,2},Table12[Native],Table12[Name]),2,0)</f>
        <v>Píngchéng Qū</v>
      </c>
      <c r="N728" s="13" t="str">
        <f>VLOOKUP(I728,CHOOSE({1,2},Table12[Native],Table12[Name]),2,0)</f>
        <v>Dàtóng Shì</v>
      </c>
      <c r="O728" s="13" t="str">
        <f t="shared" si="22"/>
        <v>Nanguan Jiedao (Dàtóng Shì)</v>
      </c>
      <c r="P728" s="13" t="str">
        <f t="shared" si="23"/>
        <v>Nanguan Jiedao (Dàtóng Shì)</v>
      </c>
    </row>
    <row r="729" spans="1:16" hidden="1" x14ac:dyDescent="0.25">
      <c r="A729" t="s">
        <v>936</v>
      </c>
      <c r="B729" t="str">
        <f>IF(COUNTIF(A:A,A729)&gt;1,_xlfn.CONCAT(A729," (",N729,")"),A729)</f>
        <v>Nánguān Zhèn</v>
      </c>
      <c r="C729" t="str">
        <f>IF(COUNTIF(B:B,B729)&gt;1,_xlfn.CONCAT(A729," (",M729,")"),B729)</f>
        <v>Nánguān Zhèn</v>
      </c>
      <c r="D729" t="s">
        <v>937</v>
      </c>
      <c r="E729" t="s">
        <v>7</v>
      </c>
      <c r="F729" t="str">
        <f>_xlfn.CONCAT(D729,", ",H729,", ",I729,", ","山西省")</f>
        <v>南关镇, 灵石县, 晋中市, 山西省</v>
      </c>
      <c r="G729">
        <v>34627</v>
      </c>
      <c r="H729" t="s">
        <v>2917</v>
      </c>
      <c r="I729" t="s">
        <v>2914</v>
      </c>
      <c r="J729">
        <f>VLOOKUP(F729,[1]!china_towns_second__2[[Column1]:[Y]],3,FALSE)</f>
        <v>36.730824981337399</v>
      </c>
      <c r="K729">
        <f>VLOOKUP(F729,[1]!china_towns_second__2[[Column1]:[Y]],2,FALSE)</f>
        <v>111.8041891</v>
      </c>
      <c r="L729" t="s">
        <v>4305</v>
      </c>
      <c r="M729" t="str">
        <f>VLOOKUP(H729,CHOOSE({1,2},Table12[Native],Table12[Name]),2,0)</f>
        <v>Língshí Xiàn</v>
      </c>
      <c r="N729" s="13" t="str">
        <f>VLOOKUP(I729,CHOOSE({1,2},Table12[Native],Table12[Name]),2,0)</f>
        <v>Jìnzhōng Shì</v>
      </c>
      <c r="O729" s="13" t="str">
        <f t="shared" si="22"/>
        <v>Nanguan Zhen (Jìnzhōng Shì)</v>
      </c>
      <c r="P729" s="13" t="str">
        <f t="shared" si="23"/>
        <v>Nanguan Zhen (Jìnzhōng Shì)</v>
      </c>
    </row>
    <row r="730" spans="1:16" hidden="1" x14ac:dyDescent="0.25">
      <c r="A730" t="s">
        <v>2004</v>
      </c>
      <c r="B730" t="str">
        <f>IF(COUNTIF(A:A,A730)&gt;1,_xlfn.CONCAT(A730," (",N730,")"),A730)</f>
        <v>Nánhán Jiēdào</v>
      </c>
      <c r="C730" t="str">
        <f>IF(COUNTIF(B:B,B730)&gt;1,_xlfn.CONCAT(A730," (",M730,")"),B730)</f>
        <v>Nánhán Jiēdào</v>
      </c>
      <c r="D730" t="s">
        <v>2005</v>
      </c>
      <c r="E730" t="s">
        <v>31</v>
      </c>
      <c r="F730" t="str">
        <f>_xlfn.CONCAT(D730,", ",H730,", ",I730,", ","山西省")</f>
        <v>南寒街道, 万柏林区, 太原市, 山西省</v>
      </c>
      <c r="G730">
        <v>88576</v>
      </c>
      <c r="H730" t="s">
        <v>2975</v>
      </c>
      <c r="I730" t="s">
        <v>2969</v>
      </c>
      <c r="J730">
        <f>VLOOKUP(F730,[1]!china_towns_second__2[[Column1]:[Y]],3,FALSE)</f>
        <v>37.851492070258999</v>
      </c>
      <c r="K730">
        <f>VLOOKUP(F730,[1]!china_towns_second__2[[Column1]:[Y]],2,FALSE)</f>
        <v>112.4541012</v>
      </c>
      <c r="L730" t="s">
        <v>4306</v>
      </c>
      <c r="M730" t="str">
        <f>VLOOKUP(H730,CHOOSE({1,2},Table12[Native],Table12[Name]),2,0)</f>
        <v>Wànbǎilín Qū</v>
      </c>
      <c r="N730" s="13" t="str">
        <f>VLOOKUP(I730,CHOOSE({1,2},Table12[Native],Table12[Name]),2,0)</f>
        <v>Tàiyuán Shì</v>
      </c>
      <c r="O730" s="13" t="str">
        <f t="shared" si="22"/>
        <v>Nanhan Jiedao (Tàiyuán Shì)</v>
      </c>
      <c r="P730" s="13" t="str">
        <f t="shared" si="23"/>
        <v>Nanhan Jiedao (Tàiyuán Shì)</v>
      </c>
    </row>
    <row r="731" spans="1:16" hidden="1" x14ac:dyDescent="0.25">
      <c r="A731" t="s">
        <v>465</v>
      </c>
      <c r="B731" t="str">
        <f>IF(COUNTIF(A:A,A731)&gt;1,_xlfn.CONCAT(A731," (",N731,")"),A731)</f>
        <v>Nánhébăo Xiāng</v>
      </c>
      <c r="C731" t="str">
        <f>IF(COUNTIF(B:B,B731)&gt;1,_xlfn.CONCAT(A731," (",M731,")"),B731)</f>
        <v>Nánhébăo Xiāng</v>
      </c>
      <c r="D731" t="s">
        <v>466</v>
      </c>
      <c r="E731" t="s">
        <v>17</v>
      </c>
      <c r="F731" t="str">
        <f>_xlfn.CONCAT(D731,", ",H731,", ",I731,", ","山西省")</f>
        <v>南河堡乡, 天镇县, 大同市, 山西省</v>
      </c>
      <c r="G731">
        <v>22182</v>
      </c>
      <c r="H731" t="s">
        <v>2899</v>
      </c>
      <c r="I731" t="s">
        <v>2894</v>
      </c>
      <c r="J731" t="e">
        <f>VLOOKUP(F731,[1]!china_towns_second__2[[Column1]:[Y]],3,FALSE)</f>
        <v>#N/A</v>
      </c>
      <c r="K731" t="e">
        <f>VLOOKUP(F731,[1]!china_towns_second__2[[Column1]:[Y]],2,FALSE)</f>
        <v>#N/A</v>
      </c>
      <c r="L731" t="s">
        <v>4307</v>
      </c>
      <c r="M731" t="str">
        <f>VLOOKUP(H731,CHOOSE({1,2},Table12[Native],Table12[Name]),2,0)</f>
        <v>Tiānzhèn Xiàn</v>
      </c>
      <c r="N731" s="13" t="str">
        <f>VLOOKUP(I731,CHOOSE({1,2},Table12[Native],Table12[Name]),2,0)</f>
        <v>Dàtóng Shì</v>
      </c>
      <c r="O731" s="13" t="str">
        <f t="shared" si="22"/>
        <v>Nanhebao Xiang (Dàtóng Shì)</v>
      </c>
      <c r="P731" s="13" t="str">
        <f t="shared" si="23"/>
        <v>Nanhebao Xiang (Dàtóng Shì)</v>
      </c>
    </row>
    <row r="732" spans="1:16" hidden="1" x14ac:dyDescent="0.25">
      <c r="A732" t="s">
        <v>2294</v>
      </c>
      <c r="B732" t="str">
        <f>IF(COUNTIF(A:A,A732)&gt;1,_xlfn.CONCAT(A732," (",N732,")"),A732)</f>
        <v>Nánhégōu Xiāng</v>
      </c>
      <c r="C732" t="str">
        <f>IF(COUNTIF(B:B,B732)&gt;1,_xlfn.CONCAT(A732," (",M732,")"),B732)</f>
        <v>Nánhégōu Xiāng</v>
      </c>
      <c r="D732" t="s">
        <v>2295</v>
      </c>
      <c r="E732" t="s">
        <v>17</v>
      </c>
      <c r="F732" t="str">
        <f>_xlfn.CONCAT(D732,", ",H732,", ",I732,", ","山西省")</f>
        <v>南河沟乡, 保德县, 忻州市, 山西省</v>
      </c>
      <c r="G732">
        <v>7701</v>
      </c>
      <c r="H732" t="s">
        <v>2982</v>
      </c>
      <c r="I732" t="s">
        <v>2981</v>
      </c>
      <c r="J732" t="e">
        <f>VLOOKUP(F732,[1]!china_towns_second__2[[Column1]:[Y]],3,FALSE)</f>
        <v>#N/A</v>
      </c>
      <c r="K732" t="e">
        <f>VLOOKUP(F732,[1]!china_towns_second__2[[Column1]:[Y]],2,FALSE)</f>
        <v>#N/A</v>
      </c>
      <c r="L732" t="s">
        <v>4308</v>
      </c>
      <c r="M732" t="str">
        <f>VLOOKUP(H732,CHOOSE({1,2},Table12[Native],Table12[Name]),2,0)</f>
        <v>Băodé Xiàn</v>
      </c>
      <c r="N732" s="13" t="str">
        <f>VLOOKUP(I732,CHOOSE({1,2},Table12[Native],Table12[Name]),2,0)</f>
        <v>Xīnzhōu Shì</v>
      </c>
      <c r="O732" s="13" t="str">
        <f t="shared" si="22"/>
        <v>Nanhegou Xiang (Xīnzhōu Shì)</v>
      </c>
      <c r="P732" s="13" t="str">
        <f t="shared" si="23"/>
        <v>Nanhegou Xiang (Xīnzhōu Shì)</v>
      </c>
    </row>
    <row r="733" spans="1:16" hidden="1" x14ac:dyDescent="0.25">
      <c r="A733" t="s">
        <v>1800</v>
      </c>
      <c r="B733" t="str">
        <f>IF(COUNTIF(A:A,A733)&gt;1,_xlfn.CONCAT(A733," (",N733,")"),A733)</f>
        <v>Nánhézhŏng Zhèn</v>
      </c>
      <c r="C733" t="str">
        <f>IF(COUNTIF(B:B,B733)&gt;1,_xlfn.CONCAT(A733," (",M733,")"),B733)</f>
        <v>Nánhézhŏng Zhèn</v>
      </c>
      <c r="D733" t="s">
        <v>1801</v>
      </c>
      <c r="E733" t="s">
        <v>7</v>
      </c>
      <c r="F733" t="str">
        <f>_xlfn.CONCAT(D733,", ",H733,", ",I733,", ","山西省")</f>
        <v>南河种镇, 应县, 朔州市, 山西省</v>
      </c>
      <c r="G733">
        <v>38602</v>
      </c>
      <c r="H733" t="s">
        <v>2966</v>
      </c>
      <c r="I733" t="s">
        <v>2961</v>
      </c>
      <c r="J733">
        <f>VLOOKUP(F733,[1]!china_towns_second__2[[Column1]:[Y]],3,FALSE)</f>
        <v>39.465174950812802</v>
      </c>
      <c r="K733">
        <f>VLOOKUP(F733,[1]!china_towns_second__2[[Column1]:[Y]],2,FALSE)</f>
        <v>113.23112930000001</v>
      </c>
      <c r="L733" t="s">
        <v>4309</v>
      </c>
      <c r="M733" t="str">
        <f>VLOOKUP(H733,CHOOSE({1,2},Table12[Native],Table12[Name]),2,0)</f>
        <v>Yīng Xiàn</v>
      </c>
      <c r="N733" s="13" t="str">
        <f>VLOOKUP(I733,CHOOSE({1,2},Table12[Native],Table12[Name]),2,0)</f>
        <v>Shuòzhōu Shì</v>
      </c>
      <c r="O733" s="13" t="str">
        <f t="shared" si="22"/>
        <v>Nanhezhong Zhen (Shuòzhōu Shì)</v>
      </c>
      <c r="P733" s="13" t="str">
        <f t="shared" si="23"/>
        <v>Nanhezhong Zhen (Shuòzhōu Shì)</v>
      </c>
    </row>
    <row r="734" spans="1:16" hidden="1" x14ac:dyDescent="0.25">
      <c r="A734" t="s">
        <v>1230</v>
      </c>
      <c r="B734" t="str">
        <f>IF(COUNTIF(A:A,A734)&gt;1,_xlfn.CONCAT(A734," (",N734,")"),A734)</f>
        <v>Nánhuánlù Jiēdào</v>
      </c>
      <c r="C734" t="str">
        <f>IF(COUNTIF(B:B,B734)&gt;1,_xlfn.CONCAT(A734," (",M734,")"),B734)</f>
        <v>Nánhuánlù Jiēdào</v>
      </c>
      <c r="D734" t="s">
        <v>1231</v>
      </c>
      <c r="E734" t="s">
        <v>31</v>
      </c>
      <c r="F734" t="str">
        <f>_xlfn.CONCAT(D734,", ",H734,", ",I734,", ","山西省")</f>
        <v>南环路街道, 霍州市, 临汾市, 山西省</v>
      </c>
      <c r="G734">
        <v>12239</v>
      </c>
      <c r="H734" t="s">
        <v>2935</v>
      </c>
      <c r="I734" t="s">
        <v>2927</v>
      </c>
      <c r="J734">
        <f>VLOOKUP(F734,[1]!china_towns_second__2[[Column1]:[Y]],3,FALSE)</f>
        <v>36.547049152720597</v>
      </c>
      <c r="K734">
        <f>VLOOKUP(F734,[1]!china_towns_second__2[[Column1]:[Y]],2,FALSE)</f>
        <v>111.72088549999999</v>
      </c>
      <c r="L734" t="s">
        <v>4310</v>
      </c>
      <c r="M734" t="str">
        <f>VLOOKUP(H734,CHOOSE({1,2},Table12[Native],Table12[Name]),2,0)</f>
        <v>Huòzhōu Shì</v>
      </c>
      <c r="N734" s="13" t="str">
        <f>VLOOKUP(I734,CHOOSE({1,2},Table12[Native],Table12[Name]),2,0)</f>
        <v>Línfén Shì</v>
      </c>
      <c r="O734" s="13" t="str">
        <f t="shared" si="22"/>
        <v>Nanhuanlu Jiedao (Línfén Shì)</v>
      </c>
      <c r="P734" s="13" t="str">
        <f t="shared" si="23"/>
        <v>Nanhuanlu Jiedao (Línfén Shì)</v>
      </c>
    </row>
    <row r="735" spans="1:16" hidden="1" x14ac:dyDescent="0.25">
      <c r="A735" t="s">
        <v>1232</v>
      </c>
      <c r="B735" t="str">
        <f>IF(COUNTIF(A:A,A735)&gt;1,_xlfn.CONCAT(A735," (",N735,")"),A735)</f>
        <v>Nánjiă Zhèn</v>
      </c>
      <c r="C735" t="str">
        <f>IF(COUNTIF(B:B,B735)&gt;1,_xlfn.CONCAT(A735," (",M735,")"),B735)</f>
        <v>Nánjiă Zhèn</v>
      </c>
      <c r="D735" t="s">
        <v>1233</v>
      </c>
      <c r="E735" t="s">
        <v>7</v>
      </c>
      <c r="F735" t="str">
        <f>_xlfn.CONCAT(D735,", ",H735,", ",I735,", ","山西省")</f>
        <v>南贾镇, 襄汾县, 临汾市, 山西省</v>
      </c>
      <c r="G735">
        <v>27292</v>
      </c>
      <c r="H735" t="s">
        <v>2939</v>
      </c>
      <c r="I735" t="s">
        <v>2927</v>
      </c>
      <c r="J735">
        <f>VLOOKUP(F735,[1]!china_towns_second__2[[Column1]:[Y]],3,FALSE)</f>
        <v>35.809219157542501</v>
      </c>
      <c r="K735">
        <f>VLOOKUP(F735,[1]!china_towns_second__2[[Column1]:[Y]],2,FALSE)</f>
        <v>111.381111</v>
      </c>
      <c r="L735" t="s">
        <v>4311</v>
      </c>
      <c r="M735" t="str">
        <f>VLOOKUP(H735,CHOOSE({1,2},Table12[Native],Table12[Name]),2,0)</f>
        <v>Xiāngfén Xiàn</v>
      </c>
      <c r="N735" s="13" t="str">
        <f>VLOOKUP(I735,CHOOSE({1,2},Table12[Native],Table12[Name]),2,0)</f>
        <v>Línfén Shì</v>
      </c>
      <c r="O735" s="13" t="str">
        <f t="shared" si="22"/>
        <v>Nanjia Zhen (Línfén Shì)</v>
      </c>
      <c r="P735" s="13" t="str">
        <f t="shared" si="23"/>
        <v>Nanjia Zhen (Línfén Shì)</v>
      </c>
    </row>
    <row r="736" spans="1:16" hidden="1" x14ac:dyDescent="0.25">
      <c r="A736" t="s">
        <v>467</v>
      </c>
      <c r="B736" t="str">
        <f>IF(COUNTIF(A:A,A736)&gt;1,_xlfn.CONCAT(A736," (",N736,")"),A736)</f>
        <v>Nánjiē Jiēdào (Dàtóng Shì)</v>
      </c>
      <c r="C736" t="str">
        <f>IF(COUNTIF(B:B,B736)&gt;1,_xlfn.CONCAT(A736," (",M736,")"),B736)</f>
        <v>Nánjiē Jiēdào (Dàtóng Shì)</v>
      </c>
      <c r="D736" t="s">
        <v>468</v>
      </c>
      <c r="E736" t="s">
        <v>31</v>
      </c>
      <c r="F736" t="str">
        <f>_xlfn.CONCAT(D736,", ",H736,", ",I736,", ","山西省")</f>
        <v>南街街道, 平城区, 大同市, 山西省</v>
      </c>
      <c r="G736">
        <v>18113</v>
      </c>
      <c r="H736" t="s">
        <v>2898</v>
      </c>
      <c r="I736" t="s">
        <v>2894</v>
      </c>
      <c r="J736" t="e">
        <f>VLOOKUP(F736,[1]!china_towns_second__2[[Column1]:[Y]],3,FALSE)</f>
        <v>#N/A</v>
      </c>
      <c r="K736" t="e">
        <f>VLOOKUP(F736,[1]!china_towns_second__2[[Column1]:[Y]],2,FALSE)</f>
        <v>#N/A</v>
      </c>
      <c r="L736" t="s">
        <v>4312</v>
      </c>
      <c r="M736" t="str">
        <f>VLOOKUP(H736,CHOOSE({1,2},Table12[Native],Table12[Name]),2,0)</f>
        <v>Píngchéng Qū</v>
      </c>
      <c r="N736" s="13" t="str">
        <f>VLOOKUP(I736,CHOOSE({1,2},Table12[Native],Table12[Name]),2,0)</f>
        <v>Dàtóng Shì</v>
      </c>
      <c r="O736" s="13" t="str">
        <f t="shared" si="22"/>
        <v>Nanjie Jiedao (Datong Shi) (Dàtóng Shì)</v>
      </c>
      <c r="P736" s="13" t="str">
        <f t="shared" si="23"/>
        <v>Nanjie Jiedao (Datong Shi) (Dàtóng Shì)</v>
      </c>
    </row>
    <row r="737" spans="1:16" hidden="1" x14ac:dyDescent="0.25">
      <c r="A737" t="s">
        <v>467</v>
      </c>
      <c r="B737" t="str">
        <f>IF(COUNTIF(A:A,A737)&gt;1,_xlfn.CONCAT(A737," (",N737,")"),A737)</f>
        <v>Nánjiē Jiēdào (Jìnchéng Shì)</v>
      </c>
      <c r="C737" t="str">
        <f>IF(COUNTIF(B:B,B737)&gt;1,_xlfn.CONCAT(A737," (",M737,")"),B737)</f>
        <v>Nánjiē Jiēdào (Jìnchéng Shì)</v>
      </c>
      <c r="D737" t="s">
        <v>468</v>
      </c>
      <c r="E737" t="s">
        <v>31</v>
      </c>
      <c r="F737" t="str">
        <f>_xlfn.CONCAT(D737,", ",H737,", ",I737,", ","山西省")</f>
        <v>南街街道, 城区, 晋城市, 山西省</v>
      </c>
      <c r="G737">
        <v>51947</v>
      </c>
      <c r="H737" t="s">
        <v>814</v>
      </c>
      <c r="I737" t="s">
        <v>2906</v>
      </c>
      <c r="J737">
        <f>VLOOKUP(F737,[1]!china_towns_second__2[[Column1]:[Y]],3,FALSE)</f>
        <v>35.487876372512702</v>
      </c>
      <c r="K737">
        <f>VLOOKUP(F737,[1]!china_towns_second__2[[Column1]:[Y]],2,FALSE)</f>
        <v>112.83291010000001</v>
      </c>
      <c r="L737" t="s">
        <v>4313</v>
      </c>
      <c r="M737" t="str">
        <f>VLOOKUP(H737,CHOOSE({1,2},Table12[Native],Table12[Name]),2,0)</f>
        <v>Chéng Qū</v>
      </c>
      <c r="N737" s="13" t="str">
        <f>VLOOKUP(I737,CHOOSE({1,2},Table12[Native],Table12[Name]),2,0)</f>
        <v>Jìnchéng Shì</v>
      </c>
      <c r="O737" s="13" t="str">
        <f t="shared" si="22"/>
        <v>Nanjie Jiedao (Jincheng Shi) (Jìnchéng Shì)</v>
      </c>
      <c r="P737" s="13" t="str">
        <f t="shared" si="23"/>
        <v>Nanjie Jiedao (Jincheng Shi) (Jìnchéng Shì)</v>
      </c>
    </row>
    <row r="738" spans="1:16" hidden="1" x14ac:dyDescent="0.25">
      <c r="A738" t="s">
        <v>467</v>
      </c>
      <c r="B738" t="str">
        <f>IF(COUNTIF(A:A,A738)&gt;1,_xlfn.CONCAT(A738," (",N738,")"),A738)</f>
        <v>Nánjiē Jiēdào (Línfén Shì)</v>
      </c>
      <c r="C738" t="str">
        <f>IF(COUNTIF(B:B,B738)&gt;1,_xlfn.CONCAT(A738," (",M738,")"),B738)</f>
        <v>Nánjiē Jiēdào (Línfén Shì)</v>
      </c>
      <c r="D738" t="s">
        <v>468</v>
      </c>
      <c r="E738" t="s">
        <v>31</v>
      </c>
      <c r="F738" t="str">
        <f>_xlfn.CONCAT(D738,", ",H738,", ",I738,", ","山西省")</f>
        <v>南街街道, 尧都区, 临汾市, 山西省</v>
      </c>
      <c r="G738">
        <v>55876</v>
      </c>
      <c r="H738" t="s">
        <v>2942</v>
      </c>
      <c r="I738" t="s">
        <v>2927</v>
      </c>
      <c r="J738">
        <f>VLOOKUP(F738,[1]!china_towns_second__2[[Column1]:[Y]],3,FALSE)</f>
        <v>36.072570064346003</v>
      </c>
      <c r="K738">
        <f>VLOOKUP(F738,[1]!china_towns_second__2[[Column1]:[Y]],2,FALSE)</f>
        <v>111.50896899999999</v>
      </c>
      <c r="L738" t="s">
        <v>4314</v>
      </c>
      <c r="M738" t="str">
        <f>VLOOKUP(H738,CHOOSE({1,2},Table12[Native],Table12[Name]),2,0)</f>
        <v>Yáodū Qū</v>
      </c>
      <c r="N738" s="13" t="str">
        <f>VLOOKUP(I738,CHOOSE({1,2},Table12[Native],Table12[Name]),2,0)</f>
        <v>Línfén Shì</v>
      </c>
      <c r="O738" s="13" t="str">
        <f t="shared" si="22"/>
        <v>Nanjie Jiedao (Linfen Shi) (Línfén Shì)</v>
      </c>
      <c r="P738" s="13" t="str">
        <f t="shared" si="23"/>
        <v>Nanjie Jiedao (Linfen Shi) (Línfén Shì)</v>
      </c>
    </row>
    <row r="739" spans="1:16" hidden="1" x14ac:dyDescent="0.25">
      <c r="A739" t="s">
        <v>187</v>
      </c>
      <c r="B739" t="str">
        <f>IF(COUNTIF(A:A,A739)&gt;1,_xlfn.CONCAT(A739," (",N739,")"),A739)</f>
        <v>Nánlĭ Xiāng</v>
      </c>
      <c r="C739" t="str">
        <f>IF(COUNTIF(B:B,B739)&gt;1,_xlfn.CONCAT(A739," (",M739,")"),B739)</f>
        <v>Nánlĭ Xiāng</v>
      </c>
      <c r="D739" t="s">
        <v>188</v>
      </c>
      <c r="E739" t="s">
        <v>17</v>
      </c>
      <c r="F739" t="str">
        <f>_xlfn.CONCAT(D739,", ",H739,", ",I739,", ","山西省")</f>
        <v>南里乡, 沁县, 长治市, 山西省</v>
      </c>
      <c r="G739">
        <v>7941</v>
      </c>
      <c r="H739" t="s">
        <v>2887</v>
      </c>
      <c r="I739" t="s">
        <v>2878</v>
      </c>
      <c r="J739" t="e">
        <f>VLOOKUP(F739,[1]!china_towns_second__2[[Column1]:[Y]],3,FALSE)</f>
        <v>#N/A</v>
      </c>
      <c r="K739" t="e">
        <f>VLOOKUP(F739,[1]!china_towns_second__2[[Column1]:[Y]],2,FALSE)</f>
        <v>#N/A</v>
      </c>
      <c r="L739" t="s">
        <v>4315</v>
      </c>
      <c r="M739" t="str">
        <f>VLOOKUP(H739,CHOOSE({1,2},Table12[Native],Table12[Name]),2,0)</f>
        <v>Qìn Xiàn</v>
      </c>
      <c r="N739" s="13" t="str">
        <f>VLOOKUP(I739,CHOOSE({1,2},Table12[Native],Table12[Name]),2,0)</f>
        <v>Chángzhì Shì</v>
      </c>
      <c r="O739" s="13" t="str">
        <f t="shared" si="22"/>
        <v>Nanli Xiang (Chángzhì Shì)</v>
      </c>
      <c r="P739" s="13" t="str">
        <f t="shared" si="23"/>
        <v>Nanli Xiang (Chángzhì Shì)</v>
      </c>
    </row>
    <row r="740" spans="1:16" hidden="1" x14ac:dyDescent="0.25">
      <c r="A740" t="s">
        <v>1234</v>
      </c>
      <c r="B740" t="str">
        <f>IF(COUNTIF(A:A,A740)&gt;1,_xlfn.CONCAT(A740," (",N740,")"),A740)</f>
        <v>Nánliáng Zhèn</v>
      </c>
      <c r="C740" t="str">
        <f>IF(COUNTIF(B:B,B740)&gt;1,_xlfn.CONCAT(A740," (",M740,")"),B740)</f>
        <v>Nánliáng Zhèn</v>
      </c>
      <c r="D740" t="s">
        <v>1235</v>
      </c>
      <c r="E740" t="s">
        <v>7</v>
      </c>
      <c r="F740" t="str">
        <f>_xlfn.CONCAT(D740,", ",H740,", ",I740,", ","山西省")</f>
        <v>南梁镇, 翼城县, 临汾市, 山西省</v>
      </c>
      <c r="G740">
        <v>45098</v>
      </c>
      <c r="H740" t="s">
        <v>2943</v>
      </c>
      <c r="I740" t="s">
        <v>2927</v>
      </c>
      <c r="J740">
        <f>VLOOKUP(F740,[1]!china_towns_second__2[[Column1]:[Y]],3,FALSE)</f>
        <v>35.652031454454999</v>
      </c>
      <c r="K740">
        <f>VLOOKUP(F740,[1]!china_towns_second__2[[Column1]:[Y]],2,FALSE)</f>
        <v>111.7660356</v>
      </c>
      <c r="L740" t="s">
        <v>4316</v>
      </c>
      <c r="M740" t="str">
        <f>VLOOKUP(H740,CHOOSE({1,2},Table12[Native],Table12[Name]),2,0)</f>
        <v>Yìchéng Xiàn</v>
      </c>
      <c r="N740" s="13" t="str">
        <f>VLOOKUP(I740,CHOOSE({1,2},Table12[Native],Table12[Name]),2,0)</f>
        <v>Línfén Shì</v>
      </c>
      <c r="O740" s="13" t="str">
        <f t="shared" si="22"/>
        <v>Nanliang Zhen (Línfén Shì)</v>
      </c>
      <c r="P740" s="13" t="str">
        <f t="shared" si="23"/>
        <v>Nanliang Zhen (Línfén Shì)</v>
      </c>
    </row>
    <row r="741" spans="1:16" hidden="1" x14ac:dyDescent="0.25">
      <c r="A741" t="s">
        <v>723</v>
      </c>
      <c r="B741" t="str">
        <f>IF(COUNTIF(A:A,A741)&gt;1,_xlfn.CONCAT(A741," (",N741,")"),A741)</f>
        <v>Nánlĭng Xiāng</v>
      </c>
      <c r="C741" t="str">
        <f>IF(COUNTIF(B:B,B741)&gt;1,_xlfn.CONCAT(A741," (",M741,")"),B741)</f>
        <v>Nánlĭng Xiāng</v>
      </c>
      <c r="D741" t="s">
        <v>724</v>
      </c>
      <c r="E741" t="s">
        <v>17</v>
      </c>
      <c r="F741" t="str">
        <f>_xlfn.CONCAT(D741,", ",H741,", ",I741,", ","山西省")</f>
        <v>南岭乡, 泽州县, 晋城市, 山西省</v>
      </c>
      <c r="G741">
        <v>6224</v>
      </c>
      <c r="H741" t="s">
        <v>2912</v>
      </c>
      <c r="I741" t="s">
        <v>2906</v>
      </c>
      <c r="J741" t="e">
        <f>VLOOKUP(F741,[1]!china_towns_second__2[[Column1]:[Y]],3,FALSE)</f>
        <v>#N/A</v>
      </c>
      <c r="K741" t="e">
        <f>VLOOKUP(F741,[1]!china_towns_second__2[[Column1]:[Y]],2,FALSE)</f>
        <v>#N/A</v>
      </c>
      <c r="L741" t="s">
        <v>4317</v>
      </c>
      <c r="M741" t="str">
        <f>VLOOKUP(H741,CHOOSE({1,2},Table12[Native],Table12[Name]),2,0)</f>
        <v>Zézhōu Xiàn</v>
      </c>
      <c r="N741" s="13" t="str">
        <f>VLOOKUP(I741,CHOOSE({1,2},Table12[Native],Table12[Name]),2,0)</f>
        <v>Jìnchéng Shì</v>
      </c>
      <c r="O741" s="13" t="str">
        <f t="shared" si="22"/>
        <v>Nanling Xiang (Jìnchéng Shì)</v>
      </c>
      <c r="P741" s="13" t="str">
        <f t="shared" si="23"/>
        <v>Nanling Xiang (Jìnchéng Shì)</v>
      </c>
    </row>
    <row r="742" spans="1:16" hidden="1" x14ac:dyDescent="0.25">
      <c r="A742" t="s">
        <v>2524</v>
      </c>
      <c r="B742" t="str">
        <f>IF(COUNTIF(A:A,A742)&gt;1,_xlfn.CONCAT(A742," (",N742,")"),A742)</f>
        <v>Nánlóu Zhèn</v>
      </c>
      <c r="C742" t="str">
        <f>IF(COUNTIF(B:B,B742)&gt;1,_xlfn.CONCAT(A742," (",M742,")"),B742)</f>
        <v>Nánlóu Zhèn</v>
      </c>
      <c r="D742" t="s">
        <v>2525</v>
      </c>
      <c r="E742" t="s">
        <v>7</v>
      </c>
      <c r="F742" t="str">
        <f>_xlfn.CONCAT(D742,", ",H742,", ",I742,", ","山西省")</f>
        <v>南娄镇, 盂县, 阳泉市, 山西省</v>
      </c>
      <c r="G742">
        <v>31187</v>
      </c>
      <c r="H742" t="s">
        <v>3001</v>
      </c>
      <c r="I742" t="s">
        <v>2997</v>
      </c>
      <c r="J742">
        <f>VLOOKUP(F742,[1]!china_towns_second__2[[Column1]:[Y]],3,FALSE)</f>
        <v>38.048222999452399</v>
      </c>
      <c r="K742">
        <f>VLOOKUP(F742,[1]!china_towns_second__2[[Column1]:[Y]],2,FALSE)</f>
        <v>113.32245829999999</v>
      </c>
      <c r="L742" t="s">
        <v>4318</v>
      </c>
      <c r="M742" t="str">
        <f>VLOOKUP(H742,CHOOSE({1,2},Table12[Native],Table12[Name]),2,0)</f>
        <v>Yú Xiàn</v>
      </c>
      <c r="N742" s="13" t="str">
        <f>VLOOKUP(I742,CHOOSE({1,2},Table12[Native],Table12[Name]),2,0)</f>
        <v>Yángquán Shì</v>
      </c>
      <c r="O742" s="13" t="str">
        <f t="shared" si="22"/>
        <v>Nanlou Zhen (Yángquán Shì)</v>
      </c>
      <c r="P742" s="13" t="str">
        <f t="shared" si="23"/>
        <v>Nanlou Zhen (Yángquán Shì)</v>
      </c>
    </row>
    <row r="743" spans="1:16" hidden="1" x14ac:dyDescent="0.25">
      <c r="A743" t="s">
        <v>189</v>
      </c>
      <c r="B743" t="str">
        <f>IF(COUNTIF(A:A,A743)&gt;1,_xlfn.CONCAT(A743," (",N743,")"),A743)</f>
        <v>Nánquán Xiāng (Chángzhì Shì)</v>
      </c>
      <c r="C743" t="str">
        <f>IF(COUNTIF(B:B,B743)&gt;1,_xlfn.CONCAT(A743," (",M743,")"),B743)</f>
        <v>Nánquán Xiāng (Chángzhì Shì)</v>
      </c>
      <c r="D743" t="s">
        <v>190</v>
      </c>
      <c r="E743" t="s">
        <v>17</v>
      </c>
      <c r="F743" t="str">
        <f>_xlfn.CONCAT(D743,", ",H743,", ",I743,", ","山西省")</f>
        <v>南泉乡, 沁县, 长治市, 山西省</v>
      </c>
      <c r="G743">
        <v>3038</v>
      </c>
      <c r="H743" t="s">
        <v>2887</v>
      </c>
      <c r="I743" t="s">
        <v>2878</v>
      </c>
      <c r="J743" t="e">
        <f>VLOOKUP(F743,[1]!china_towns_second__2[[Column1]:[Y]],3,FALSE)</f>
        <v>#N/A</v>
      </c>
      <c r="K743" t="e">
        <f>VLOOKUP(F743,[1]!china_towns_second__2[[Column1]:[Y]],2,FALSE)</f>
        <v>#N/A</v>
      </c>
      <c r="L743" t="s">
        <v>4319</v>
      </c>
      <c r="M743" t="str">
        <f>VLOOKUP(H743,CHOOSE({1,2},Table12[Native],Table12[Name]),2,0)</f>
        <v>Qìn Xiàn</v>
      </c>
      <c r="N743" s="13" t="str">
        <f>VLOOKUP(I743,CHOOSE({1,2},Table12[Native],Table12[Name]),2,0)</f>
        <v>Chángzhì Shì</v>
      </c>
      <c r="O743" s="13" t="str">
        <f t="shared" si="22"/>
        <v>Nanquan Xiang (Changzhi Shi) (Chángzhì Shì)</v>
      </c>
      <c r="P743" s="13" t="str">
        <f t="shared" si="23"/>
        <v>Nanquan Xiang (Changzhi Shi) (Chángzhì Shì)</v>
      </c>
    </row>
    <row r="744" spans="1:16" hidden="1" x14ac:dyDescent="0.25">
      <c r="A744" t="s">
        <v>189</v>
      </c>
      <c r="B744" t="str">
        <f>IF(COUNTIF(A:A,A744)&gt;1,_xlfn.CONCAT(A744," (",N744,")"),A744)</f>
        <v>Nánquán Xiāng (Shuòzhōu Shì)</v>
      </c>
      <c r="C744" t="str">
        <f>IF(COUNTIF(B:B,B744)&gt;1,_xlfn.CONCAT(A744," (",M744,")"),B744)</f>
        <v>Nánquán Xiāng (Shuòzhōu Shì)</v>
      </c>
      <c r="D744" t="s">
        <v>190</v>
      </c>
      <c r="E744" t="s">
        <v>17</v>
      </c>
      <c r="F744" t="str">
        <f>_xlfn.CONCAT(D744,", ",H744,", ",I744,", ","山西省")</f>
        <v>南泉乡, 应县, 朔州市, 山西省</v>
      </c>
      <c r="G744">
        <v>16195</v>
      </c>
      <c r="H744" t="s">
        <v>2966</v>
      </c>
      <c r="I744" t="s">
        <v>2961</v>
      </c>
      <c r="J744" t="e">
        <f>VLOOKUP(F744,[1]!china_towns_second__2[[Column1]:[Y]],3,FALSE)</f>
        <v>#N/A</v>
      </c>
      <c r="K744" t="e">
        <f>VLOOKUP(F744,[1]!china_towns_second__2[[Column1]:[Y]],2,FALSE)</f>
        <v>#N/A</v>
      </c>
      <c r="L744" t="s">
        <v>4320</v>
      </c>
      <c r="M744" t="str">
        <f>VLOOKUP(H744,CHOOSE({1,2},Table12[Native],Table12[Name]),2,0)</f>
        <v>Yīng Xiàn</v>
      </c>
      <c r="N744" s="13" t="str">
        <f>VLOOKUP(I744,CHOOSE({1,2},Table12[Native],Table12[Name]),2,0)</f>
        <v>Shuòzhōu Shì</v>
      </c>
      <c r="O744" s="13" t="str">
        <f t="shared" si="22"/>
        <v>Nanquan Xiang (Shuozhou Shi) (Shuòzhōu Shì)</v>
      </c>
      <c r="P744" s="13" t="str">
        <f t="shared" si="23"/>
        <v>Nanquan Xiang (Shuozhou Shi) (Shuòzhōu Shì)</v>
      </c>
    </row>
    <row r="745" spans="1:16" hidden="1" x14ac:dyDescent="0.25">
      <c r="A745" t="s">
        <v>2526</v>
      </c>
      <c r="B745" t="str">
        <f>IF(COUNTIF(A:A,A745)&gt;1,_xlfn.CONCAT(A745," (",N745,")"),A745)</f>
        <v>Nánshānlù Jiēdào</v>
      </c>
      <c r="C745" t="str">
        <f>IF(COUNTIF(B:B,B745)&gt;1,_xlfn.CONCAT(A745," (",M745,")"),B745)</f>
        <v>Nánshānlù Jiēdào</v>
      </c>
      <c r="D745" t="s">
        <v>2527</v>
      </c>
      <c r="E745" t="s">
        <v>31</v>
      </c>
      <c r="F745" t="str">
        <f>_xlfn.CONCAT(D745,", ",H745,", ",I745,", ","山西省")</f>
        <v>南山路街道, 城区, 晋城市, 山西省</v>
      </c>
      <c r="G745">
        <v>64821</v>
      </c>
      <c r="H745" t="s">
        <v>814</v>
      </c>
      <c r="I745" t="s">
        <v>2906</v>
      </c>
      <c r="J745" t="e">
        <f>VLOOKUP(F745,[1]!china_towns_second__2[[Column1]:[Y]],3,FALSE)</f>
        <v>#N/A</v>
      </c>
      <c r="K745" t="e">
        <f>VLOOKUP(F745,[1]!china_towns_second__2[[Column1]:[Y]],2,FALSE)</f>
        <v>#N/A</v>
      </c>
      <c r="L745" t="s">
        <v>4321</v>
      </c>
      <c r="M745" t="str">
        <f>VLOOKUP(H745,CHOOSE({1,2},Table12[Native],Table12[Name]),2,0)</f>
        <v>Chéng Qū</v>
      </c>
      <c r="N745" s="13" t="str">
        <f>VLOOKUP(I745,CHOOSE({1,2},Table12[Native],Table12[Name]),2,0)</f>
        <v>Jìnchéng Shì</v>
      </c>
      <c r="O745" s="13" t="str">
        <f t="shared" si="22"/>
        <v>Nanshanlu Jiedao (Jìnchéng Shì)</v>
      </c>
      <c r="P745" s="13" t="str">
        <f t="shared" si="23"/>
        <v>Nanshanlu Jiedao (Jìnchéng Shì)</v>
      </c>
    </row>
    <row r="746" spans="1:16" hidden="1" x14ac:dyDescent="0.25">
      <c r="A746" t="s">
        <v>191</v>
      </c>
      <c r="B746" t="str">
        <f>IF(COUNTIF(A:A,A746)&gt;1,_xlfn.CONCAT(A746," (",N746,")"),A746)</f>
        <v>Nánsòng Xiāng</v>
      </c>
      <c r="C746" t="str">
        <f>IF(COUNTIF(B:B,B746)&gt;1,_xlfn.CONCAT(A746," (",M746,")"),B746)</f>
        <v>Nánsòng Xiāng</v>
      </c>
      <c r="D746" t="s">
        <v>192</v>
      </c>
      <c r="E746" t="s">
        <v>17</v>
      </c>
      <c r="F746" t="str">
        <f>_xlfn.CONCAT(D746,", ",H746,", ",I746,", ","山西省")</f>
        <v>南宋乡, 上党区, 长治市, 山西省</v>
      </c>
      <c r="G746">
        <v>17619</v>
      </c>
      <c r="H746" t="s">
        <v>2889</v>
      </c>
      <c r="I746" t="s">
        <v>2878</v>
      </c>
      <c r="J746" t="e">
        <f>VLOOKUP(F746,[1]!china_towns_second__2[[Column1]:[Y]],3,FALSE)</f>
        <v>#N/A</v>
      </c>
      <c r="K746" t="e">
        <f>VLOOKUP(F746,[1]!china_towns_second__2[[Column1]:[Y]],2,FALSE)</f>
        <v>#N/A</v>
      </c>
      <c r="L746" t="s">
        <v>4322</v>
      </c>
      <c r="M746" t="str">
        <f>VLOOKUP(H746,CHOOSE({1,2},Table12[Native],Table12[Name]),2,0)</f>
        <v>Shàngdăng Qū</v>
      </c>
      <c r="N746" s="13" t="str">
        <f>VLOOKUP(I746,CHOOSE({1,2},Table12[Native],Table12[Name]),2,0)</f>
        <v>Chángzhì Shì</v>
      </c>
      <c r="O746" s="13" t="str">
        <f t="shared" si="22"/>
        <v>Nansong Xiang (Chángzhì Shì)</v>
      </c>
      <c r="P746" s="13" t="str">
        <f t="shared" si="23"/>
        <v>Nansong Xiang (Chángzhì Shì)</v>
      </c>
    </row>
    <row r="747" spans="1:16" hidden="1" x14ac:dyDescent="0.25">
      <c r="A747" t="s">
        <v>1236</v>
      </c>
      <c r="B747" t="str">
        <f>IF(COUNTIF(A:A,A747)&gt;1,_xlfn.CONCAT(A747," (",N747,")"),A747)</f>
        <v>Nántáng Xiāng</v>
      </c>
      <c r="C747" t="str">
        <f>IF(COUNTIF(B:B,B747)&gt;1,_xlfn.CONCAT(A747," (",M747,")"),B747)</f>
        <v>Nántáng Xiāng</v>
      </c>
      <c r="D747" t="s">
        <v>1237</v>
      </c>
      <c r="E747" t="s">
        <v>17</v>
      </c>
      <c r="F747" t="str">
        <f>_xlfn.CONCAT(D747,", ",H747,", ",I747,", ","山西省")</f>
        <v>南唐乡, 翼城县, 临汾市, 山西省</v>
      </c>
      <c r="G747">
        <v>27260</v>
      </c>
      <c r="H747" t="s">
        <v>2943</v>
      </c>
      <c r="I747" t="s">
        <v>2927</v>
      </c>
      <c r="J747" t="e">
        <f>VLOOKUP(F747,[1]!china_towns_second__2[[Column1]:[Y]],3,FALSE)</f>
        <v>#N/A</v>
      </c>
      <c r="K747" t="e">
        <f>VLOOKUP(F747,[1]!china_towns_second__2[[Column1]:[Y]],2,FALSE)</f>
        <v>#N/A</v>
      </c>
      <c r="L747" t="s">
        <v>4323</v>
      </c>
      <c r="M747" t="str">
        <f>VLOOKUP(H747,CHOOSE({1,2},Table12[Native],Table12[Name]),2,0)</f>
        <v>Yìchéng Xiàn</v>
      </c>
      <c r="N747" s="13" t="str">
        <f>VLOOKUP(I747,CHOOSE({1,2},Table12[Native],Table12[Name]),2,0)</f>
        <v>Línfén Shì</v>
      </c>
      <c r="O747" s="13" t="str">
        <f t="shared" si="22"/>
        <v>Nantang Xiang (Línfén Shì)</v>
      </c>
      <c r="P747" s="13" t="str">
        <f t="shared" si="23"/>
        <v>Nantang Xiang (Línfén Shì)</v>
      </c>
    </row>
    <row r="748" spans="1:16" hidden="1" x14ac:dyDescent="0.25">
      <c r="A748" t="s">
        <v>2296</v>
      </c>
      <c r="B748" t="str">
        <f>IF(COUNTIF(A:A,A748)&gt;1,_xlfn.CONCAT(A748," (",N748,")"),A748)</f>
        <v>Nánwáng Xiāng</v>
      </c>
      <c r="C748" t="str">
        <f>IF(COUNTIF(B:B,B748)&gt;1,_xlfn.CONCAT(A748," (",M748,")"),B748)</f>
        <v>Nánwáng Xiāng</v>
      </c>
      <c r="D748" t="s">
        <v>2297</v>
      </c>
      <c r="E748" t="s">
        <v>17</v>
      </c>
      <c r="F748" t="str">
        <f>_xlfn.CONCAT(D748,", ",H748,", ",I748,", ","山西省")</f>
        <v>南王乡, 定襄县, 忻州市, 山西省</v>
      </c>
      <c r="G748">
        <v>25964</v>
      </c>
      <c r="H748" t="s">
        <v>2984</v>
      </c>
      <c r="I748" t="s">
        <v>2981</v>
      </c>
      <c r="J748" t="e">
        <f>VLOOKUP(F748,[1]!china_towns_second__2[[Column1]:[Y]],3,FALSE)</f>
        <v>#N/A</v>
      </c>
      <c r="K748" t="e">
        <f>VLOOKUP(F748,[1]!china_towns_second__2[[Column1]:[Y]],2,FALSE)</f>
        <v>#N/A</v>
      </c>
      <c r="L748" t="s">
        <v>4324</v>
      </c>
      <c r="M748" t="str">
        <f>VLOOKUP(H748,CHOOSE({1,2},Table12[Native],Table12[Name]),2,0)</f>
        <v>Dìngxiāng Xiàn</v>
      </c>
      <c r="N748" s="13" t="str">
        <f>VLOOKUP(I748,CHOOSE({1,2},Table12[Native],Table12[Name]),2,0)</f>
        <v>Xīnzhōu Shì</v>
      </c>
      <c r="O748" s="13" t="str">
        <f t="shared" si="22"/>
        <v>Nanwang Xiang (Xīnzhōu Shì)</v>
      </c>
      <c r="P748" s="13" t="str">
        <f t="shared" si="23"/>
        <v>Nanwang Xiang (Xīnzhōu Shì)</v>
      </c>
    </row>
    <row r="749" spans="1:16" hidden="1" x14ac:dyDescent="0.25">
      <c r="A749" t="s">
        <v>2732</v>
      </c>
      <c r="B749" t="str">
        <f>IF(COUNTIF(A:A,A749)&gt;1,_xlfn.CONCAT(A749," (",N749,")"),A749)</f>
        <v>Nánwèi Zhèn</v>
      </c>
      <c r="C749" t="str">
        <f>IF(COUNTIF(B:B,B749)&gt;1,_xlfn.CONCAT(A749," (",M749,")"),B749)</f>
        <v>Nánwèi Zhèn</v>
      </c>
      <c r="D749" t="s">
        <v>2733</v>
      </c>
      <c r="E749" t="s">
        <v>7</v>
      </c>
      <c r="F749" t="str">
        <f>_xlfn.CONCAT(D749,", ",H749,", ",I749,", ","山西省")</f>
        <v>南磑镇, 芮城县, 运城市, 山西省</v>
      </c>
      <c r="G749">
        <v>30615</v>
      </c>
      <c r="H749" t="s">
        <v>3009</v>
      </c>
      <c r="I749" t="s">
        <v>3003</v>
      </c>
      <c r="J749">
        <f>VLOOKUP(F749,[1]!china_towns_second__2[[Column1]:[Y]],3,FALSE)</f>
        <v>34.700457999999998</v>
      </c>
      <c r="K749">
        <f>VLOOKUP(F749,[1]!china_towns_second__2[[Column1]:[Y]],2,FALSE)</f>
        <v>110.71730460000001</v>
      </c>
      <c r="L749" t="s">
        <v>4325</v>
      </c>
      <c r="M749" t="str">
        <f>VLOOKUP(H749,CHOOSE({1,2},Table12[Native],Table12[Name]),2,0)</f>
        <v>Ruìchéng Xiàn</v>
      </c>
      <c r="N749" s="13" t="str">
        <f>VLOOKUP(I749,CHOOSE({1,2},Table12[Native],Table12[Name]),2,0)</f>
        <v>Yùnchéng Shì</v>
      </c>
      <c r="O749" s="13" t="str">
        <f t="shared" si="22"/>
        <v>Nanwei Zhen (Yùnchéng Shì)</v>
      </c>
      <c r="P749" s="13" t="str">
        <f t="shared" si="23"/>
        <v>Nanwei Zhen (Yùnchéng Shì)</v>
      </c>
    </row>
    <row r="750" spans="1:16" hidden="1" x14ac:dyDescent="0.25">
      <c r="A750" t="s">
        <v>1580</v>
      </c>
      <c r="B750" t="str">
        <f>IF(COUNTIF(A:A,A750)&gt;1,_xlfn.CONCAT(A750," (",N750,")"),A750)</f>
        <v>Nánwŭ Xiāng</v>
      </c>
      <c r="C750" t="str">
        <f>IF(COUNTIF(B:B,B750)&gt;1,_xlfn.CONCAT(A750," (",M750,")"),B750)</f>
        <v>Nánwŭ Xiāng</v>
      </c>
      <c r="D750" t="s">
        <v>1581</v>
      </c>
      <c r="E750" t="s">
        <v>17</v>
      </c>
      <c r="F750" t="str">
        <f>_xlfn.CONCAT(D750,", ",H750,", ",I750,", ","山西省")</f>
        <v>南武乡, 文水县, 吕梁市, 山西省</v>
      </c>
      <c r="G750">
        <v>21765</v>
      </c>
      <c r="H750" t="s">
        <v>2956</v>
      </c>
      <c r="I750" t="s">
        <v>2946</v>
      </c>
      <c r="J750" t="e">
        <f>VLOOKUP(F750,[1]!china_towns_second__2[[Column1]:[Y]],3,FALSE)</f>
        <v>#N/A</v>
      </c>
      <c r="K750" t="e">
        <f>VLOOKUP(F750,[1]!china_towns_second__2[[Column1]:[Y]],2,FALSE)</f>
        <v>#N/A</v>
      </c>
      <c r="L750" t="s">
        <v>4326</v>
      </c>
      <c r="M750" t="str">
        <f>VLOOKUP(H750,CHOOSE({1,2},Table12[Native],Table12[Name]),2,0)</f>
        <v>Wénshuĭ Xiàn</v>
      </c>
      <c r="N750" s="13" t="str">
        <f>VLOOKUP(I750,CHOOSE({1,2},Table12[Native],Table12[Name]),2,0)</f>
        <v>Lǚliáng Shì</v>
      </c>
      <c r="O750" s="13" t="str">
        <f t="shared" si="22"/>
        <v>Nanwu Xiang (Lǚliáng Shì)</v>
      </c>
      <c r="P750" s="13" t="str">
        <f t="shared" si="23"/>
        <v>Nanwu Xiang (Lǚliáng Shì)</v>
      </c>
    </row>
    <row r="751" spans="1:16" hidden="1" x14ac:dyDescent="0.25">
      <c r="A751" t="s">
        <v>1238</v>
      </c>
      <c r="B751" t="str">
        <f>IF(COUNTIF(A:A,A751)&gt;1,_xlfn.CONCAT(A751," (",N751,")"),A751)</f>
        <v>Nánxīndiàn Xiāng</v>
      </c>
      <c r="C751" t="str">
        <f>IF(COUNTIF(B:B,B751)&gt;1,_xlfn.CONCAT(A751," (",M751,")"),B751)</f>
        <v>Nánxīndiàn Xiāng</v>
      </c>
      <c r="D751" t="s">
        <v>1239</v>
      </c>
      <c r="E751" t="s">
        <v>17</v>
      </c>
      <c r="F751" t="str">
        <f>_xlfn.CONCAT(D751,", ",H751,", ",I751,", ","山西省")</f>
        <v>南辛店乡, 襄汾县, 临汾市, 山西省</v>
      </c>
      <c r="G751">
        <v>42937</v>
      </c>
      <c r="H751" t="s">
        <v>2939</v>
      </c>
      <c r="I751" t="s">
        <v>2927</v>
      </c>
      <c r="J751" t="e">
        <f>VLOOKUP(F751,[1]!china_towns_second__2[[Column1]:[Y]],3,FALSE)</f>
        <v>#N/A</v>
      </c>
      <c r="K751" t="e">
        <f>VLOOKUP(F751,[1]!china_towns_second__2[[Column1]:[Y]],2,FALSE)</f>
        <v>#N/A</v>
      </c>
      <c r="L751" t="s">
        <v>4327</v>
      </c>
      <c r="M751" t="str">
        <f>VLOOKUP(H751,CHOOSE({1,2},Table12[Native],Table12[Name]),2,0)</f>
        <v>Xiāngfén Xiàn</v>
      </c>
      <c r="N751" s="13" t="str">
        <f>VLOOKUP(I751,CHOOSE({1,2},Table12[Native],Table12[Name]),2,0)</f>
        <v>Línfén Shì</v>
      </c>
      <c r="O751" s="13" t="str">
        <f t="shared" si="22"/>
        <v>Nanxindian Xiang (Línfén Shì)</v>
      </c>
      <c r="P751" s="13" t="str">
        <f t="shared" si="23"/>
        <v>Nanxindian Xiang (Línfén Shì)</v>
      </c>
    </row>
    <row r="752" spans="1:16" hidden="1" x14ac:dyDescent="0.25">
      <c r="A752" t="s">
        <v>1582</v>
      </c>
      <c r="B752" t="str">
        <f>IF(COUNTIF(A:A,A752)&gt;1,_xlfn.CONCAT(A752," (",N752,")"),A752)</f>
        <v>Nányáng Xiāng</v>
      </c>
      <c r="C752" t="str">
        <f>IF(COUNTIF(B:B,B752)&gt;1,_xlfn.CONCAT(A752," (",M752,")"),B752)</f>
        <v>Nányáng Xiāng</v>
      </c>
      <c r="D752" t="s">
        <v>1583</v>
      </c>
      <c r="E752" t="s">
        <v>17</v>
      </c>
      <c r="F752" t="str">
        <f>_xlfn.CONCAT(D752,", ",H752,", ",I752,", ","山西省")</f>
        <v>南阳乡, 孝义市, 吕梁市, 山西省</v>
      </c>
      <c r="G752">
        <v>6402</v>
      </c>
      <c r="H752" t="s">
        <v>2957</v>
      </c>
      <c r="I752" t="s">
        <v>2946</v>
      </c>
      <c r="J752" t="e">
        <f>VLOOKUP(F752,[1]!china_towns_second__2[[Column1]:[Y]],3,FALSE)</f>
        <v>#N/A</v>
      </c>
      <c r="K752" t="e">
        <f>VLOOKUP(F752,[1]!china_towns_second__2[[Column1]:[Y]],2,FALSE)</f>
        <v>#N/A</v>
      </c>
      <c r="L752" t="s">
        <v>4328</v>
      </c>
      <c r="M752" t="str">
        <f>VLOOKUP(H752,CHOOSE({1,2},Table12[Native],Table12[Name]),2,0)</f>
        <v>Xiàoyì Shì</v>
      </c>
      <c r="N752" s="13" t="str">
        <f>VLOOKUP(I752,CHOOSE({1,2},Table12[Native],Table12[Name]),2,0)</f>
        <v>Lǚliáng Shì</v>
      </c>
      <c r="O752" s="13" t="str">
        <f t="shared" si="22"/>
        <v>Nanyang Xiang (Lǚliáng Shì)</v>
      </c>
      <c r="P752" s="13" t="str">
        <f t="shared" si="23"/>
        <v>Nanyang Xiang (Lǚliáng Shì)</v>
      </c>
    </row>
    <row r="753" spans="1:16" hidden="1" x14ac:dyDescent="0.25">
      <c r="A753" t="s">
        <v>938</v>
      </c>
      <c r="B753" t="str">
        <f>IF(COUNTIF(A:A,A753)&gt;1,_xlfn.CONCAT(A753," (",N753,")"),A753)</f>
        <v>Nányànzhú Zhèn</v>
      </c>
      <c r="C753" t="str">
        <f>IF(COUNTIF(B:B,B753)&gt;1,_xlfn.CONCAT(A753," (",M753,")"),B753)</f>
        <v>Nányànzhú Zhèn</v>
      </c>
      <c r="D753" t="s">
        <v>939</v>
      </c>
      <c r="E753" t="s">
        <v>7</v>
      </c>
      <c r="F753" t="str">
        <f>_xlfn.CONCAT(D753,", ",H753,", ",I753,", ","山西省")</f>
        <v>南燕竹镇, 寿阳县, 晋中市, 山西省</v>
      </c>
      <c r="G753">
        <v>13691</v>
      </c>
      <c r="H753" t="s">
        <v>2920</v>
      </c>
      <c r="I753" t="s">
        <v>2914</v>
      </c>
      <c r="J753">
        <f>VLOOKUP(F753,[1]!china_towns_second__2[[Column1]:[Y]],3,FALSE)</f>
        <v>37.884937964157899</v>
      </c>
      <c r="K753">
        <f>VLOOKUP(F753,[1]!china_towns_second__2[[Column1]:[Y]],2,FALSE)</f>
        <v>112.99370209999999</v>
      </c>
      <c r="L753" t="s">
        <v>4329</v>
      </c>
      <c r="M753" t="str">
        <f>VLOOKUP(H753,CHOOSE({1,2},Table12[Native],Table12[Name]),2,0)</f>
        <v>Shòuyáng Xiàn</v>
      </c>
      <c r="N753" s="13" t="str">
        <f>VLOOKUP(I753,CHOOSE({1,2},Table12[Native],Table12[Name]),2,0)</f>
        <v>Jìnzhōng Shì</v>
      </c>
      <c r="O753" s="13" t="str">
        <f t="shared" si="22"/>
        <v>Nanyanzhu Zhen (Jìnzhōng Shì)</v>
      </c>
      <c r="P753" s="13" t="str">
        <f t="shared" si="23"/>
        <v>Nanyanzhu Zhen (Jìnzhōng Shì)</v>
      </c>
    </row>
    <row r="754" spans="1:16" hidden="1" x14ac:dyDescent="0.25">
      <c r="A754" t="s">
        <v>1240</v>
      </c>
      <c r="B754" t="str">
        <f>IF(COUNTIF(A:A,A754)&gt;1,_xlfn.CONCAT(A754," (",N754,")"),A754)</f>
        <v>Nányuán Xiāng</v>
      </c>
      <c r="C754" t="str">
        <f>IF(COUNTIF(B:B,B754)&gt;1,_xlfn.CONCAT(A754," (",M754,")"),B754)</f>
        <v>Nányuán Xiāng</v>
      </c>
      <c r="D754" t="s">
        <v>1241</v>
      </c>
      <c r="E754" t="s">
        <v>17</v>
      </c>
      <c r="F754" t="str">
        <f>_xlfn.CONCAT(D754,", ",H754,", ",I754,", ","山西省")</f>
        <v>南垣乡, 古县, 临汾市, 山西省</v>
      </c>
      <c r="G754">
        <v>9004</v>
      </c>
      <c r="H754" t="s">
        <v>2932</v>
      </c>
      <c r="I754" t="s">
        <v>2927</v>
      </c>
      <c r="J754" t="e">
        <f>VLOOKUP(F754,[1]!china_towns_second__2[[Column1]:[Y]],3,FALSE)</f>
        <v>#N/A</v>
      </c>
      <c r="K754" t="e">
        <f>VLOOKUP(F754,[1]!china_towns_second__2[[Column1]:[Y]],2,FALSE)</f>
        <v>#N/A</v>
      </c>
      <c r="L754" t="s">
        <v>4330</v>
      </c>
      <c r="M754" t="str">
        <f>VLOOKUP(H754,CHOOSE({1,2},Table12[Native],Table12[Name]),2,0)</f>
        <v>Gŭ Xiàn</v>
      </c>
      <c r="N754" s="13" t="str">
        <f>VLOOKUP(I754,CHOOSE({1,2},Table12[Native],Table12[Name]),2,0)</f>
        <v>Línfén Shì</v>
      </c>
      <c r="O754" s="13" t="str">
        <f t="shared" si="22"/>
        <v>Nanyuan Xiang (Línfén Shì)</v>
      </c>
      <c r="P754" s="13" t="str">
        <f t="shared" si="23"/>
        <v>Nanyuan Xiang (Línfén Shì)</v>
      </c>
    </row>
    <row r="755" spans="1:16" hidden="1" x14ac:dyDescent="0.25">
      <c r="A755" t="s">
        <v>469</v>
      </c>
      <c r="B755" t="str">
        <f>IF(COUNTIF(A:A,A755)&gt;1,_xlfn.CONCAT(A755," (",N755,")"),A755)</f>
        <v>Nányúlín Xiāng (Dàtóng Shì)</v>
      </c>
      <c r="C755" t="str">
        <f>IF(COUNTIF(B:B,B755)&gt;1,_xlfn.CONCAT(A755," (",M755,")"),B755)</f>
        <v>Nányúlín Xiāng (Dàtóng Shì)</v>
      </c>
      <c r="D755" t="s">
        <v>470</v>
      </c>
      <c r="E755" t="s">
        <v>17</v>
      </c>
      <c r="F755" t="str">
        <f>_xlfn.CONCAT(D755,", ",H755,", ",I755,", ","山西省")</f>
        <v>南榆林乡, 浑源县, 大同市, 山西省</v>
      </c>
      <c r="G755">
        <v>9444</v>
      </c>
      <c r="H755" t="s">
        <v>2896</v>
      </c>
      <c r="I755" t="s">
        <v>2894</v>
      </c>
      <c r="J755" t="e">
        <f>VLOOKUP(F755,[1]!china_towns_second__2[[Column1]:[Y]],3,FALSE)</f>
        <v>#N/A</v>
      </c>
      <c r="K755" t="e">
        <f>VLOOKUP(F755,[1]!china_towns_second__2[[Column1]:[Y]],2,FALSE)</f>
        <v>#N/A</v>
      </c>
      <c r="L755" t="s">
        <v>4331</v>
      </c>
      <c r="M755" t="str">
        <f>VLOOKUP(H755,CHOOSE({1,2},Table12[Native],Table12[Name]),2,0)</f>
        <v>Húnyuán Xiàn</v>
      </c>
      <c r="N755" s="13" t="str">
        <f>VLOOKUP(I755,CHOOSE({1,2},Table12[Native],Table12[Name]),2,0)</f>
        <v>Dàtóng Shì</v>
      </c>
      <c r="O755" s="13" t="str">
        <f t="shared" si="22"/>
        <v>Nanyulin Xiang (Datong Shi) (Dàtóng Shì)</v>
      </c>
      <c r="P755" s="13" t="str">
        <f t="shared" si="23"/>
        <v>Nanyulin Xiang (Datong Shi) (Dàtóng Shì)</v>
      </c>
    </row>
    <row r="756" spans="1:16" hidden="1" x14ac:dyDescent="0.25">
      <c r="A756" t="s">
        <v>469</v>
      </c>
      <c r="B756" t="str">
        <f>IF(COUNTIF(A:A,A756)&gt;1,_xlfn.CONCAT(A756," (",N756,")"),A756)</f>
        <v>Nányúlín Xiāng (Shuòzhōu Shì)</v>
      </c>
      <c r="C756" t="str">
        <f>IF(COUNTIF(B:B,B756)&gt;1,_xlfn.CONCAT(A756," (",M756,")"),B756)</f>
        <v>Nányúlín Xiāng (Shuòzhōu Shì)</v>
      </c>
      <c r="D756" t="s">
        <v>470</v>
      </c>
      <c r="E756" t="s">
        <v>17</v>
      </c>
      <c r="F756" t="str">
        <f>_xlfn.CONCAT(D756,", ",H756,", ",I756,", ","山西省")</f>
        <v>南榆林乡, 朔城区, 朔州市, 山西省</v>
      </c>
      <c r="G756">
        <v>8013</v>
      </c>
      <c r="H756" t="s">
        <v>2965</v>
      </c>
      <c r="I756" t="s">
        <v>2961</v>
      </c>
      <c r="J756" t="e">
        <f>VLOOKUP(F756,[1]!china_towns_second__2[[Column1]:[Y]],3,FALSE)</f>
        <v>#N/A</v>
      </c>
      <c r="K756" t="e">
        <f>VLOOKUP(F756,[1]!china_towns_second__2[[Column1]:[Y]],2,FALSE)</f>
        <v>#N/A</v>
      </c>
      <c r="L756" t="s">
        <v>4332</v>
      </c>
      <c r="M756" t="str">
        <f>VLOOKUP(H756,CHOOSE({1,2},Table12[Native],Table12[Name]),2,0)</f>
        <v>Shuòchéng Qū</v>
      </c>
      <c r="N756" s="13" t="str">
        <f>VLOOKUP(I756,CHOOSE({1,2},Table12[Native],Table12[Name]),2,0)</f>
        <v>Shuòzhōu Shì</v>
      </c>
      <c r="O756" s="13" t="str">
        <f t="shared" si="22"/>
        <v>Nanyulin Xiang (Shuozhou Shi) (Shuòzhōu Shì)</v>
      </c>
      <c r="P756" s="13" t="str">
        <f t="shared" si="23"/>
        <v>Nanyulin Xiang (Shuozhou Shi) (Shuòzhōu Shì)</v>
      </c>
    </row>
    <row r="757" spans="1:16" hidden="1" x14ac:dyDescent="0.25">
      <c r="A757" t="s">
        <v>2006</v>
      </c>
      <c r="B757" t="str">
        <f>IF(COUNTIF(A:A,A757)&gt;1,_xlfn.CONCAT(A757," (",N757,")"),A757)</f>
        <v>Nánzhài Jiēdào</v>
      </c>
      <c r="C757" t="str">
        <f>IF(COUNTIF(B:B,B757)&gt;1,_xlfn.CONCAT(A757," (",M757,")"),B757)</f>
        <v>Nánzhài Jiēdào</v>
      </c>
      <c r="D757" t="s">
        <v>2007</v>
      </c>
      <c r="E757" t="s">
        <v>31</v>
      </c>
      <c r="F757" t="str">
        <f>_xlfn.CONCAT(D757,", ",H757,", ",I757,", ","山西省")</f>
        <v>南寨街道, 尖草坪区, 太原市, 山西省</v>
      </c>
      <c r="G757">
        <v>63692</v>
      </c>
      <c r="H757" t="s">
        <v>2971</v>
      </c>
      <c r="I757" t="s">
        <v>2969</v>
      </c>
      <c r="J757">
        <f>VLOOKUP(F757,[1]!china_towns_second__2[[Column1]:[Y]],3,FALSE)</f>
        <v>37.9874240418699</v>
      </c>
      <c r="K757">
        <f>VLOOKUP(F757,[1]!china_towns_second__2[[Column1]:[Y]],2,FALSE)</f>
        <v>112.53105600000001</v>
      </c>
      <c r="L757" t="s">
        <v>4333</v>
      </c>
      <c r="M757" t="str">
        <f>VLOOKUP(H757,CHOOSE({1,2},Table12[Native],Table12[Name]),2,0)</f>
        <v>Jiāncăopíng Qū</v>
      </c>
      <c r="N757" s="13" t="str">
        <f>VLOOKUP(I757,CHOOSE({1,2},Table12[Native],Table12[Name]),2,0)</f>
        <v>Tàiyuán Shì</v>
      </c>
      <c r="O757" s="13" t="str">
        <f t="shared" si="22"/>
        <v>Nanzhai Jiedao (Tàiyuán Shì)</v>
      </c>
      <c r="P757" s="13" t="str">
        <f t="shared" si="23"/>
        <v>Nanzhai Jiedao (Tàiyuán Shì)</v>
      </c>
    </row>
    <row r="758" spans="1:16" hidden="1" x14ac:dyDescent="0.25">
      <c r="A758" t="s">
        <v>2734</v>
      </c>
      <c r="B758" t="str">
        <f>IF(COUNTIF(A:A,A758)&gt;1,_xlfn.CONCAT(A758," (",N758,")"),A758)</f>
        <v>Nánzhāng Xiāng</v>
      </c>
      <c r="C758" t="str">
        <f>IF(COUNTIF(B:B,B758)&gt;1,_xlfn.CONCAT(A758," (",M758,")"),B758)</f>
        <v>Nánzhāng Xiāng</v>
      </c>
      <c r="D758" t="s">
        <v>2735</v>
      </c>
      <c r="E758" t="s">
        <v>17</v>
      </c>
      <c r="F758" t="str">
        <f>_xlfn.CONCAT(D758,", ",H758,", ",I758,", ","山西省")</f>
        <v>南张乡, 万荣县, 运城市, 山西省</v>
      </c>
      <c r="G758">
        <v>31471</v>
      </c>
      <c r="H758" t="s">
        <v>3010</v>
      </c>
      <c r="I758" t="s">
        <v>3003</v>
      </c>
      <c r="J758" t="e">
        <f>VLOOKUP(F758,[1]!china_towns_second__2[[Column1]:[Y]],3,FALSE)</f>
        <v>#N/A</v>
      </c>
      <c r="K758" t="e">
        <f>VLOOKUP(F758,[1]!china_towns_second__2[[Column1]:[Y]],2,FALSE)</f>
        <v>#N/A</v>
      </c>
      <c r="L758" t="s">
        <v>4334</v>
      </c>
      <c r="M758" t="str">
        <f>VLOOKUP(H758,CHOOSE({1,2},Table12[Native],Table12[Name]),2,0)</f>
        <v>Wànróng Xiàn</v>
      </c>
      <c r="N758" s="13" t="str">
        <f>VLOOKUP(I758,CHOOSE({1,2},Table12[Native],Table12[Name]),2,0)</f>
        <v>Yùnchéng Shì</v>
      </c>
      <c r="O758" s="13" t="str">
        <f t="shared" si="22"/>
        <v>Nanzhang Xiang (Yùnchéng Shì)</v>
      </c>
      <c r="P758" s="13" t="str">
        <f t="shared" si="23"/>
        <v>Nanzhang Xiang (Yùnchéng Shì)</v>
      </c>
    </row>
    <row r="759" spans="1:16" hidden="1" x14ac:dyDescent="0.25">
      <c r="A759" t="s">
        <v>193</v>
      </c>
      <c r="B759" t="str">
        <f>IF(COUNTIF(A:A,A759)&gt;1,_xlfn.CONCAT(A759," (",N759,")"),A759)</f>
        <v>Nánzhāng Zhèn</v>
      </c>
      <c r="C759" t="str">
        <f>IF(COUNTIF(B:B,B759)&gt;1,_xlfn.CONCAT(A759," (",M759,")"),B759)</f>
        <v>Nánzhāng Zhèn</v>
      </c>
      <c r="D759" t="s">
        <v>194</v>
      </c>
      <c r="E759" t="s">
        <v>7</v>
      </c>
      <c r="F759" t="str">
        <f>_xlfn.CONCAT(D759,", ",H759,", ",I759,", ","山西省")</f>
        <v>南漳镇, 长子县, 长治市, 山西省</v>
      </c>
      <c r="G759">
        <v>24760</v>
      </c>
      <c r="H759" t="s">
        <v>2880</v>
      </c>
      <c r="I759" t="s">
        <v>2878</v>
      </c>
      <c r="J759">
        <f>VLOOKUP(F759,[1]!china_towns_second__2[[Column1]:[Y]],3,FALSE)</f>
        <v>36.088118068080497</v>
      </c>
      <c r="K759">
        <f>VLOOKUP(F759,[1]!china_towns_second__2[[Column1]:[Y]],2,FALSE)</f>
        <v>112.9692792</v>
      </c>
      <c r="L759" t="s">
        <v>4335</v>
      </c>
      <c r="M759" t="str">
        <f>VLOOKUP(H759,CHOOSE({1,2},Table12[Native],Table12[Name]),2,0)</f>
        <v>Chángzi Xiàn</v>
      </c>
      <c r="N759" s="13" t="str">
        <f>VLOOKUP(I759,CHOOSE({1,2},Table12[Native],Table12[Name]),2,0)</f>
        <v>Chángzhì Shì</v>
      </c>
      <c r="O759" s="13" t="str">
        <f t="shared" si="22"/>
        <v>Nanzhang Zhen (Chángzhì Shì)</v>
      </c>
      <c r="P759" s="13" t="str">
        <f t="shared" si="23"/>
        <v>Nanzhang Zhen (Chángzhì Shì)</v>
      </c>
    </row>
    <row r="760" spans="1:16" hidden="1" x14ac:dyDescent="0.25">
      <c r="A760" t="s">
        <v>940</v>
      </c>
      <c r="B760" t="str">
        <f>IF(COUNTIF(A:A,A760)&gt;1,_xlfn.CONCAT(A760," (",N760,")"),A760)</f>
        <v>Nánzhèng Xiāng</v>
      </c>
      <c r="C760" t="str">
        <f>IF(COUNTIF(B:B,B760)&gt;1,_xlfn.CONCAT(A760," (",M760,")"),B760)</f>
        <v>Nánzhèng Xiāng</v>
      </c>
      <c r="D760" t="s">
        <v>941</v>
      </c>
      <c r="E760" t="s">
        <v>17</v>
      </c>
      <c r="F760" t="str">
        <f>_xlfn.CONCAT(D760,", ",H760,", ",I760,", ","山西省")</f>
        <v>南政乡, 平遥县, 晋中市, 山西省</v>
      </c>
      <c r="G760">
        <v>38365</v>
      </c>
      <c r="H760" t="s">
        <v>2918</v>
      </c>
      <c r="I760" t="s">
        <v>2914</v>
      </c>
      <c r="J760" t="e">
        <f>VLOOKUP(F760,[1]!china_towns_second__2[[Column1]:[Y]],3,FALSE)</f>
        <v>#N/A</v>
      </c>
      <c r="K760" t="e">
        <f>VLOOKUP(F760,[1]!china_towns_second__2[[Column1]:[Y]],2,FALSE)</f>
        <v>#N/A</v>
      </c>
      <c r="L760" t="s">
        <v>4336</v>
      </c>
      <c r="M760" t="str">
        <f>VLOOKUP(H760,CHOOSE({1,2},Table12[Native],Table12[Name]),2,0)</f>
        <v>Píngyáo Xiàn</v>
      </c>
      <c r="N760" s="13" t="str">
        <f>VLOOKUP(I760,CHOOSE({1,2},Table12[Native],Table12[Name]),2,0)</f>
        <v>Jìnzhōng Shì</v>
      </c>
      <c r="O760" s="13" t="str">
        <f t="shared" si="22"/>
        <v>Nanzheng Xiang (Jìnzhōng Shì)</v>
      </c>
      <c r="P760" s="13" t="str">
        <f t="shared" si="23"/>
        <v>Nanzheng Xiang (Jìnzhōng Shì)</v>
      </c>
    </row>
    <row r="761" spans="1:16" hidden="1" x14ac:dyDescent="0.25">
      <c r="A761" t="s">
        <v>1242</v>
      </c>
      <c r="B761" t="str">
        <f>IF(COUNTIF(A:A,A761)&gt;1,_xlfn.CONCAT(A761," (",N761,")"),A761)</f>
        <v>Nánzhuāng Xiāng</v>
      </c>
      <c r="C761" t="str">
        <f>IF(COUNTIF(B:B,B761)&gt;1,_xlfn.CONCAT(A761," (",M761,")"),B761)</f>
        <v>Nánzhuāng Xiāng</v>
      </c>
      <c r="D761" t="s">
        <v>1243</v>
      </c>
      <c r="E761" t="s">
        <v>17</v>
      </c>
      <c r="F761" t="str">
        <f>_xlfn.CONCAT(D761,", ",H761,", ",I761,", ","山西省")</f>
        <v>南庄乡, 永和县, 临汾市, 山西省</v>
      </c>
      <c r="G761">
        <v>5500</v>
      </c>
      <c r="H761" t="s">
        <v>2944</v>
      </c>
      <c r="I761" t="s">
        <v>2927</v>
      </c>
      <c r="J761" t="e">
        <f>VLOOKUP(F761,[1]!china_towns_second__2[[Column1]:[Y]],3,FALSE)</f>
        <v>#N/A</v>
      </c>
      <c r="K761" t="e">
        <f>VLOOKUP(F761,[1]!china_towns_second__2[[Column1]:[Y]],2,FALSE)</f>
        <v>#N/A</v>
      </c>
      <c r="L761" t="s">
        <v>4337</v>
      </c>
      <c r="M761" t="str">
        <f>VLOOKUP(H761,CHOOSE({1,2},Table12[Native],Table12[Name]),2,0)</f>
        <v>Yŏnghé Xiàn</v>
      </c>
      <c r="N761" s="13" t="str">
        <f>VLOOKUP(I761,CHOOSE({1,2},Table12[Native],Table12[Name]),2,0)</f>
        <v>Línfén Shì</v>
      </c>
      <c r="O761" s="13" t="str">
        <f t="shared" si="22"/>
        <v>Nanzhuang Xiang (Línfén Shì)</v>
      </c>
      <c r="P761" s="13" t="str">
        <f t="shared" si="23"/>
        <v>Nanzhuang Xiang (Línfén Shì)</v>
      </c>
    </row>
    <row r="762" spans="1:16" hidden="1" x14ac:dyDescent="0.25">
      <c r="A762" t="s">
        <v>1584</v>
      </c>
      <c r="B762" t="str">
        <f>IF(COUNTIF(A:A,A762)&gt;1,_xlfn.CONCAT(A762," (",N762,")"),A762)</f>
        <v>Nánzhuāng Zhèn</v>
      </c>
      <c r="C762" t="str">
        <f>IF(COUNTIF(B:B,B762)&gt;1,_xlfn.CONCAT(A762," (",M762,")"),B762)</f>
        <v>Nánzhuāng Zhèn</v>
      </c>
      <c r="D762" t="s">
        <v>1585</v>
      </c>
      <c r="E762" t="s">
        <v>7</v>
      </c>
      <c r="F762" t="str">
        <f>_xlfn.CONCAT(D762,", ",H762,", ",I762,", ","山西省")</f>
        <v>南庄镇, 文水县, 吕梁市, 山西省</v>
      </c>
      <c r="G762">
        <v>20195</v>
      </c>
      <c r="H762" t="s">
        <v>2956</v>
      </c>
      <c r="I762" t="s">
        <v>2946</v>
      </c>
      <c r="J762">
        <f>VLOOKUP(F762,[1]!china_towns_second__2[[Column1]:[Y]],3,FALSE)</f>
        <v>37.455483509376599</v>
      </c>
      <c r="K762">
        <f>VLOOKUP(F762,[1]!china_towns_second__2[[Column1]:[Y]],2,FALSE)</f>
        <v>112.2085683</v>
      </c>
      <c r="L762" t="s">
        <v>4338</v>
      </c>
      <c r="M762" t="str">
        <f>VLOOKUP(H762,CHOOSE({1,2},Table12[Native],Table12[Name]),2,0)</f>
        <v>Wénshuĭ Xiàn</v>
      </c>
      <c r="N762" s="13" t="str">
        <f>VLOOKUP(I762,CHOOSE({1,2},Table12[Native],Table12[Name]),2,0)</f>
        <v>Lǚliáng Shì</v>
      </c>
      <c r="O762" s="13" t="str">
        <f t="shared" si="22"/>
        <v>Nanzhuang Zhen (Lǚliáng Shì)</v>
      </c>
      <c r="P762" s="13" t="str">
        <f t="shared" si="23"/>
        <v>Nanzhuang Zhen (Lǚliáng Shì)</v>
      </c>
    </row>
    <row r="763" spans="1:16" hidden="1" x14ac:dyDescent="0.25">
      <c r="A763" t="s">
        <v>2528</v>
      </c>
      <c r="B763" t="str">
        <f>IF(COUNTIF(A:A,A763)&gt;1,_xlfn.CONCAT(A763," (",N763,")"),A763)</f>
        <v>Niángziguān Zhèn</v>
      </c>
      <c r="C763" t="str">
        <f>IF(COUNTIF(B:B,B763)&gt;1,_xlfn.CONCAT(A763," (",M763,")"),B763)</f>
        <v>Niángziguān Zhèn</v>
      </c>
      <c r="D763" t="s">
        <v>2529</v>
      </c>
      <c r="E763" t="s">
        <v>7</v>
      </c>
      <c r="F763" t="str">
        <f>_xlfn.CONCAT(D763,", ",H763,", ",I763,", ","山西省")</f>
        <v>娘子关镇, 平定县, 阳泉市, 山西省</v>
      </c>
      <c r="G763">
        <v>16561</v>
      </c>
      <c r="H763" t="s">
        <v>3000</v>
      </c>
      <c r="I763" t="s">
        <v>2997</v>
      </c>
      <c r="J763">
        <f>VLOOKUP(F763,[1]!china_towns_second__2[[Column1]:[Y]],3,FALSE)</f>
        <v>37.955184699838803</v>
      </c>
      <c r="K763">
        <f>VLOOKUP(F763,[1]!china_towns_second__2[[Column1]:[Y]],2,FALSE)</f>
        <v>113.8467134</v>
      </c>
      <c r="L763" t="s">
        <v>4339</v>
      </c>
      <c r="M763" t="str">
        <f>VLOOKUP(H763,CHOOSE({1,2},Table12[Native],Table12[Name]),2,0)</f>
        <v>Píngdìng Xiàn</v>
      </c>
      <c r="N763" s="13" t="str">
        <f>VLOOKUP(I763,CHOOSE({1,2},Table12[Native],Table12[Name]),2,0)</f>
        <v>Yángquán Shì</v>
      </c>
      <c r="O763" s="13" t="str">
        <f t="shared" si="22"/>
        <v>Niangziguan Zhen (Yángquán Shì)</v>
      </c>
      <c r="P763" s="13" t="str">
        <f t="shared" si="23"/>
        <v>Niangziguan Zhen (Yángquán Shì)</v>
      </c>
    </row>
    <row r="764" spans="1:16" hidden="1" x14ac:dyDescent="0.25">
      <c r="A764" t="s">
        <v>2298</v>
      </c>
      <c r="B764" t="str">
        <f>IF(COUNTIF(A:A,A764)&gt;1,_xlfn.CONCAT(A764," (",N764,")"),A764)</f>
        <v>Niángzishén Xiāng</v>
      </c>
      <c r="C764" t="str">
        <f>IF(COUNTIF(B:B,B764)&gt;1,_xlfn.CONCAT(A764," (",M764,")"),B764)</f>
        <v>Niángzishén Xiāng</v>
      </c>
      <c r="D764" t="s">
        <v>2299</v>
      </c>
      <c r="E764" t="s">
        <v>17</v>
      </c>
      <c r="F764" t="str">
        <f>_xlfn.CONCAT(D764,", ",H764,", ",I764,", ","山西省")</f>
        <v>娘子神乡, 静乐县, 忻州市, 山西省</v>
      </c>
      <c r="G764">
        <v>8514</v>
      </c>
      <c r="H764" t="s">
        <v>2987</v>
      </c>
      <c r="I764" t="s">
        <v>2981</v>
      </c>
      <c r="J764" t="e">
        <f>VLOOKUP(F764,[1]!china_towns_second__2[[Column1]:[Y]],3,FALSE)</f>
        <v>#N/A</v>
      </c>
      <c r="K764" t="e">
        <f>VLOOKUP(F764,[1]!china_towns_second__2[[Column1]:[Y]],2,FALSE)</f>
        <v>#N/A</v>
      </c>
      <c r="L764" t="s">
        <v>4340</v>
      </c>
      <c r="M764" t="str">
        <f>VLOOKUP(H764,CHOOSE({1,2},Table12[Native],Table12[Name]),2,0)</f>
        <v>Jìnglè Xiàn</v>
      </c>
      <c r="N764" s="13" t="str">
        <f>VLOOKUP(I764,CHOOSE({1,2},Table12[Native],Table12[Name]),2,0)</f>
        <v>Xīnzhōu Shì</v>
      </c>
      <c r="O764" s="13" t="str">
        <f t="shared" si="22"/>
        <v>Niangzishen Xiang (Xīnzhōu Shì)</v>
      </c>
      <c r="P764" s="13" t="str">
        <f t="shared" si="23"/>
        <v>Niangzishen Xiang (Xīnzhōu Shì)</v>
      </c>
    </row>
    <row r="765" spans="1:16" hidden="1" x14ac:dyDescent="0.25">
      <c r="A765" t="s">
        <v>195</v>
      </c>
      <c r="B765" t="str">
        <f>IF(COUNTIF(A:A,A765)&gt;1,_xlfn.CONCAT(A765," (",N765,")"),A765)</f>
        <v>Niănzhāng Xiāng</v>
      </c>
      <c r="C765" t="str">
        <f>IF(COUNTIF(B:B,B765)&gt;1,_xlfn.CONCAT(A765," (",M765,")"),B765)</f>
        <v>Niănzhāng Xiāng</v>
      </c>
      <c r="D765" t="s">
        <v>196</v>
      </c>
      <c r="E765" t="s">
        <v>17</v>
      </c>
      <c r="F765" t="str">
        <f>_xlfn.CONCAT(D765,", ",H765,", ",I765,", ","山西省")</f>
        <v>碾张乡, 长子县, 长治市, 山西省</v>
      </c>
      <c r="G765">
        <v>13666</v>
      </c>
      <c r="H765" t="s">
        <v>2880</v>
      </c>
      <c r="I765" t="s">
        <v>2878</v>
      </c>
      <c r="J765" t="e">
        <f>VLOOKUP(F765,[1]!china_towns_second__2[[Column1]:[Y]],3,FALSE)</f>
        <v>#N/A</v>
      </c>
      <c r="K765" t="e">
        <f>VLOOKUP(F765,[1]!china_towns_second__2[[Column1]:[Y]],2,FALSE)</f>
        <v>#N/A</v>
      </c>
      <c r="L765" t="s">
        <v>4341</v>
      </c>
      <c r="M765" t="str">
        <f>VLOOKUP(H765,CHOOSE({1,2},Table12[Native],Table12[Name]),2,0)</f>
        <v>Chángzi Xiàn</v>
      </c>
      <c r="N765" s="13" t="str">
        <f>VLOOKUP(I765,CHOOSE({1,2},Table12[Native],Table12[Name]),2,0)</f>
        <v>Chángzhì Shì</v>
      </c>
      <c r="O765" s="13" t="str">
        <f t="shared" si="22"/>
        <v>Nianzhang Xiang (Chángzhì Shì)</v>
      </c>
      <c r="P765" s="13" t="str">
        <f t="shared" si="23"/>
        <v>Nianzhang Xiang (Chángzhì Shì)</v>
      </c>
    </row>
    <row r="766" spans="1:16" hidden="1" x14ac:dyDescent="0.25">
      <c r="A766" t="s">
        <v>2736</v>
      </c>
      <c r="B766" t="str">
        <f>IF(COUNTIF(A:A,A766)&gt;1,_xlfn.CONCAT(A766," (",N766,")"),A766)</f>
        <v>Niànzhăng Zhèn</v>
      </c>
      <c r="C766" t="str">
        <f>IF(COUNTIF(B:B,B766)&gt;1,_xlfn.CONCAT(A766," (",M766,")"),B766)</f>
        <v>Niànzhăng Zhèn</v>
      </c>
      <c r="D766" t="s">
        <v>2737</v>
      </c>
      <c r="E766" t="s">
        <v>7</v>
      </c>
      <c r="F766" t="str">
        <f>_xlfn.CONCAT(D766,", ",H766,", ",I766,", ","山西省")</f>
        <v>埝掌镇, 夏县, 运城市, 山西省</v>
      </c>
      <c r="G766">
        <v>12263</v>
      </c>
      <c r="H766" t="s">
        <v>3012</v>
      </c>
      <c r="I766" t="s">
        <v>3003</v>
      </c>
      <c r="J766">
        <f>VLOOKUP(F766,[1]!china_towns_second__2[[Column1]:[Y]],3,FALSE)</f>
        <v>35.240968659701601</v>
      </c>
      <c r="K766">
        <f>VLOOKUP(F766,[1]!china_towns_second__2[[Column1]:[Y]],2,FALSE)</f>
        <v>111.34252410000001</v>
      </c>
      <c r="L766" t="s">
        <v>4342</v>
      </c>
      <c r="M766" t="str">
        <f>VLOOKUP(H766,CHOOSE({1,2},Table12[Native],Table12[Name]),2,0)</f>
        <v>Xià Xiàn</v>
      </c>
      <c r="N766" s="13" t="str">
        <f>VLOOKUP(I766,CHOOSE({1,2},Table12[Native],Table12[Name]),2,0)</f>
        <v>Yùnchéng Shì</v>
      </c>
      <c r="O766" s="13" t="str">
        <f t="shared" si="22"/>
        <v>Nianzhang Zhen (Yùnchéng Shì)</v>
      </c>
      <c r="P766" s="13" t="str">
        <f t="shared" si="23"/>
        <v>Nianzhang Zhen (Yùnchéng Shì)</v>
      </c>
    </row>
    <row r="767" spans="1:16" hidden="1" x14ac:dyDescent="0.25">
      <c r="A767" t="s">
        <v>2300</v>
      </c>
      <c r="B767" t="str">
        <f>IF(COUNTIF(A:A,A767)&gt;1,_xlfn.CONCAT(A767," (",N767,")"),A767)</f>
        <v>Nièyíng Zhèn</v>
      </c>
      <c r="C767" t="str">
        <f>IF(COUNTIF(B:B,B767)&gt;1,_xlfn.CONCAT(A767," (",M767,")"),B767)</f>
        <v>Nièyíng Zhèn</v>
      </c>
      <c r="D767" t="s">
        <v>2301</v>
      </c>
      <c r="E767" t="s">
        <v>7</v>
      </c>
      <c r="F767" t="str">
        <f>_xlfn.CONCAT(D767,", ",H767,", ",I767,", ","山西省")</f>
        <v>聂营镇, 代县, 忻州市, 山西省</v>
      </c>
      <c r="G767">
        <v>11628</v>
      </c>
      <c r="H767" t="s">
        <v>2983</v>
      </c>
      <c r="I767" t="s">
        <v>2981</v>
      </c>
      <c r="J767">
        <f>VLOOKUP(F767,[1]!china_towns_second__2[[Column1]:[Y]],3,FALSE)</f>
        <v>39.055756203588302</v>
      </c>
      <c r="K767">
        <f>VLOOKUP(F767,[1]!china_towns_second__2[[Column1]:[Y]],2,FALSE)</f>
        <v>113.1995356</v>
      </c>
      <c r="L767" t="s">
        <v>4343</v>
      </c>
      <c r="M767" t="str">
        <f>VLOOKUP(H767,CHOOSE({1,2},Table12[Native],Table12[Name]),2,0)</f>
        <v>Dài Xiàn</v>
      </c>
      <c r="N767" s="13" t="str">
        <f>VLOOKUP(I767,CHOOSE({1,2},Table12[Native],Table12[Name]),2,0)</f>
        <v>Xīnzhōu Shì</v>
      </c>
      <c r="O767" s="13" t="str">
        <f t="shared" si="22"/>
        <v>Nieying Zhen (Xīnzhōu Shì)</v>
      </c>
      <c r="P767" s="13" t="str">
        <f t="shared" si="23"/>
        <v>Nieying Zhen (Xīnzhōu Shì)</v>
      </c>
    </row>
    <row r="768" spans="1:16" hidden="1" x14ac:dyDescent="0.25">
      <c r="A768" t="s">
        <v>942</v>
      </c>
      <c r="B768" t="str">
        <f>IF(COUNTIF(A:A,A768)&gt;1,_xlfn.CONCAT(A768," (",N768,")"),A768)</f>
        <v>Nínggù Zhèn</v>
      </c>
      <c r="C768" t="str">
        <f>IF(COUNTIF(B:B,B768)&gt;1,_xlfn.CONCAT(A768," (",M768,")"),B768)</f>
        <v>Nínggù Zhèn</v>
      </c>
      <c r="D768" t="s">
        <v>943</v>
      </c>
      <c r="E768" t="s">
        <v>7</v>
      </c>
      <c r="F768" t="str">
        <f>_xlfn.CONCAT(D768,", ",H768,", ",I768,", ","山西省")</f>
        <v>宁固镇, 平遥县, 晋中市, 山西省</v>
      </c>
      <c r="G768">
        <v>36708</v>
      </c>
      <c r="H768" t="s">
        <v>2918</v>
      </c>
      <c r="I768" t="s">
        <v>2914</v>
      </c>
      <c r="J768">
        <f>VLOOKUP(F768,[1]!china_towns_second__2[[Column1]:[Y]],3,FALSE)</f>
        <v>37.203948031731102</v>
      </c>
      <c r="K768">
        <f>VLOOKUP(F768,[1]!china_towns_second__2[[Column1]:[Y]],2,FALSE)</f>
        <v>112.04973440000001</v>
      </c>
      <c r="L768" t="s">
        <v>4344</v>
      </c>
      <c r="M768" t="str">
        <f>VLOOKUP(H768,CHOOSE({1,2},Table12[Native],Table12[Name]),2,0)</f>
        <v>Píngyáo Xiàn</v>
      </c>
      <c r="N768" s="13" t="str">
        <f>VLOOKUP(I768,CHOOSE({1,2},Table12[Native],Table12[Name]),2,0)</f>
        <v>Jìnzhōng Shì</v>
      </c>
      <c r="O768" s="13" t="str">
        <f t="shared" si="22"/>
        <v>Ninggu Zhen (Jìnzhōng Shì)</v>
      </c>
      <c r="P768" s="13" t="str">
        <f t="shared" si="23"/>
        <v>Ninggu Zhen (Jìnzhōng Shì)</v>
      </c>
    </row>
    <row r="769" spans="1:16" hidden="1" x14ac:dyDescent="0.25">
      <c r="A769" t="s">
        <v>1586</v>
      </c>
      <c r="B769" t="str">
        <f>IF(COUNTIF(A:A,A769)&gt;1,_xlfn.CONCAT(A769," (",N769,")"),A769)</f>
        <v>Níngxiāng Zhèn</v>
      </c>
      <c r="C769" t="str">
        <f>IF(COUNTIF(B:B,B769)&gt;1,_xlfn.CONCAT(A769," (",M769,")"),B769)</f>
        <v>Níngxiāng Zhèn</v>
      </c>
      <c r="D769" t="s">
        <v>1587</v>
      </c>
      <c r="E769" t="s">
        <v>7</v>
      </c>
      <c r="F769" t="str">
        <f>_xlfn.CONCAT(D769,", ",H769,", ",I769,", ","山西省")</f>
        <v>宁乡镇, 中阳县, 吕梁市, 山西省</v>
      </c>
      <c r="G769">
        <v>76490</v>
      </c>
      <c r="H769" t="s">
        <v>2959</v>
      </c>
      <c r="I769" t="s">
        <v>2946</v>
      </c>
      <c r="J769">
        <f>VLOOKUP(F769,[1]!china_towns_second__2[[Column1]:[Y]],3,FALSE)</f>
        <v>37.209760517324398</v>
      </c>
      <c r="K769">
        <f>VLOOKUP(F769,[1]!china_towns_second__2[[Column1]:[Y]],2,FALSE)</f>
        <v>111.2186822</v>
      </c>
      <c r="L769" t="s">
        <v>4345</v>
      </c>
      <c r="M769" t="str">
        <f>VLOOKUP(H769,CHOOSE({1,2},Table12[Native],Table12[Name]),2,0)</f>
        <v>Zhōngyáng Xiàn</v>
      </c>
      <c r="N769" s="13" t="str">
        <f>VLOOKUP(I769,CHOOSE({1,2},Table12[Native],Table12[Name]),2,0)</f>
        <v>Lǚliáng Shì</v>
      </c>
      <c r="O769" s="13" t="str">
        <f t="shared" si="22"/>
        <v>Ningxiang Zhen (Lǚliáng Shì)</v>
      </c>
      <c r="P769" s="13" t="str">
        <f t="shared" si="23"/>
        <v>Ningxiang Zhen (Lǚliáng Shì)</v>
      </c>
    </row>
    <row r="770" spans="1:16" hidden="1" x14ac:dyDescent="0.25">
      <c r="A770" t="s">
        <v>2008</v>
      </c>
      <c r="B770" t="str">
        <f>IF(COUNTIF(A:A,A770)&gt;1,_xlfn.CONCAT(A770," (",N770,")"),A770)</f>
        <v>Nítún Zhèn</v>
      </c>
      <c r="C770" t="str">
        <f>IF(COUNTIF(B:B,B770)&gt;1,_xlfn.CONCAT(A770," (",M770,")"),B770)</f>
        <v>Nítún Zhèn</v>
      </c>
      <c r="D770" t="s">
        <v>2009</v>
      </c>
      <c r="E770" t="s">
        <v>7</v>
      </c>
      <c r="F770" t="str">
        <f>_xlfn.CONCAT(D770,", ",H770,", ",I770,", ","山西省")</f>
        <v>泥屯镇, 阳曲县, 太原市, 山西省</v>
      </c>
      <c r="G770">
        <v>16854</v>
      </c>
      <c r="H770" t="s">
        <v>2978</v>
      </c>
      <c r="I770" t="s">
        <v>2969</v>
      </c>
      <c r="J770">
        <f>VLOOKUP(F770,[1]!china_towns_second__2[[Column1]:[Y]],3,FALSE)</f>
        <v>38.163186234779303</v>
      </c>
      <c r="K770">
        <f>VLOOKUP(F770,[1]!china_towns_second__2[[Column1]:[Y]],2,FALSE)</f>
        <v>112.4990603</v>
      </c>
      <c r="L770" t="s">
        <v>4346</v>
      </c>
      <c r="M770" t="str">
        <f>VLOOKUP(H770,CHOOSE({1,2},Table12[Native],Table12[Name]),2,0)</f>
        <v>Yángqŭ Xiàn</v>
      </c>
      <c r="N770" s="13" t="str">
        <f>VLOOKUP(I770,CHOOSE({1,2},Table12[Native],Table12[Name]),2,0)</f>
        <v>Tàiyuán Shì</v>
      </c>
      <c r="O770" s="13" t="str">
        <f t="shared" ref="O770:O833" si="24">_xlfn.CONCAT(L770," (",N770,")")</f>
        <v>Nitun Zhen (Tàiyuán Shì)</v>
      </c>
      <c r="P770" s="13" t="str">
        <f t="shared" ref="P770:P833" si="25">IF(COUNTIF(O:O,O770)&gt;1,_xlfn.CONCAT(L770," (",M770,")"),O770)</f>
        <v>Nitun Zhen (Tàiyuán Shì)</v>
      </c>
    </row>
    <row r="771" spans="1:16" hidden="1" x14ac:dyDescent="0.25">
      <c r="A771" t="s">
        <v>944</v>
      </c>
      <c r="B771" t="str">
        <f>IF(COUNTIF(A:A,A771)&gt;1,_xlfn.CONCAT(A771," (",N771,")"),A771)</f>
        <v>Niúchuān Xiāng</v>
      </c>
      <c r="C771" t="str">
        <f>IF(COUNTIF(B:B,B771)&gt;1,_xlfn.CONCAT(A771," (",M771,")"),B771)</f>
        <v>Niúchuān Xiāng</v>
      </c>
      <c r="D771" t="s">
        <v>945</v>
      </c>
      <c r="E771" t="s">
        <v>17</v>
      </c>
      <c r="F771" t="str">
        <f>_xlfn.CONCAT(D771,", ",H771,", ",I771,", ","山西省")</f>
        <v>牛川乡, 和顺县, 晋中市, 山西省</v>
      </c>
      <c r="G771">
        <v>7360</v>
      </c>
      <c r="H771" t="s">
        <v>2915</v>
      </c>
      <c r="I771" t="s">
        <v>2914</v>
      </c>
      <c r="J771" t="e">
        <f>VLOOKUP(F771,[1]!china_towns_second__2[[Column1]:[Y]],3,FALSE)</f>
        <v>#N/A</v>
      </c>
      <c r="K771" t="e">
        <f>VLOOKUP(F771,[1]!china_towns_second__2[[Column1]:[Y]],2,FALSE)</f>
        <v>#N/A</v>
      </c>
      <c r="L771" t="s">
        <v>4347</v>
      </c>
      <c r="M771" t="str">
        <f>VLOOKUP(H771,CHOOSE({1,2},Table12[Native],Table12[Name]),2,0)</f>
        <v>Héshùn Xiàn</v>
      </c>
      <c r="N771" s="13" t="str">
        <f>VLOOKUP(I771,CHOOSE({1,2},Table12[Native],Table12[Name]),2,0)</f>
        <v>Jìnzhōng Shì</v>
      </c>
      <c r="O771" s="13" t="str">
        <f t="shared" si="24"/>
        <v>Niuchuan Xiang (Jìnzhōng Shì)</v>
      </c>
      <c r="P771" s="13" t="str">
        <f t="shared" si="25"/>
        <v>Niuchuan Xiang (Jìnzhōng Shì)</v>
      </c>
    </row>
    <row r="772" spans="1:16" hidden="1" x14ac:dyDescent="0.25">
      <c r="A772" t="s">
        <v>2530</v>
      </c>
      <c r="B772" t="str">
        <f>IF(COUNTIF(A:A,A772)&gt;1,_xlfn.CONCAT(A772," (",N772,")"),A772)</f>
        <v>Niúcūn Zhèn</v>
      </c>
      <c r="C772" t="str">
        <f>IF(COUNTIF(B:B,B772)&gt;1,_xlfn.CONCAT(A772," (",M772,")"),B772)</f>
        <v>Niúcūn Zhèn</v>
      </c>
      <c r="D772" t="s">
        <v>2531</v>
      </c>
      <c r="E772" t="s">
        <v>7</v>
      </c>
      <c r="F772" t="str">
        <f>_xlfn.CONCAT(D772,", ",H772,", ",I772,", ","山西省")</f>
        <v>牛村镇, 盂县, 阳泉市, 山西省</v>
      </c>
      <c r="G772">
        <v>19280</v>
      </c>
      <c r="H772" t="s">
        <v>3001</v>
      </c>
      <c r="I772" t="s">
        <v>2997</v>
      </c>
      <c r="J772">
        <f>VLOOKUP(F772,[1]!china_towns_second__2[[Column1]:[Y]],3,FALSE)</f>
        <v>38.092923295552701</v>
      </c>
      <c r="K772">
        <f>VLOOKUP(F772,[1]!china_towns_second__2[[Column1]:[Y]],2,FALSE)</f>
        <v>113.53095519999999</v>
      </c>
      <c r="L772" t="s">
        <v>4348</v>
      </c>
      <c r="M772" t="str">
        <f>VLOOKUP(H772,CHOOSE({1,2},Table12[Native],Table12[Name]),2,0)</f>
        <v>Yú Xiàn</v>
      </c>
      <c r="N772" s="13" t="str">
        <f>VLOOKUP(I772,CHOOSE({1,2},Table12[Native],Table12[Name]),2,0)</f>
        <v>Yángquán Shì</v>
      </c>
      <c r="O772" s="13" t="str">
        <f t="shared" si="24"/>
        <v>Niucun Zhen (Yángquán Shì)</v>
      </c>
      <c r="P772" s="13" t="str">
        <f t="shared" si="25"/>
        <v>Niucun Zhen (Yángquán Shì)</v>
      </c>
    </row>
    <row r="773" spans="1:16" hidden="1" x14ac:dyDescent="0.25">
      <c r="A773" t="s">
        <v>2738</v>
      </c>
      <c r="B773" t="str">
        <f>IF(COUNTIF(A:A,A773)&gt;1,_xlfn.CONCAT(A773," (",N773,")"),A773)</f>
        <v>Niúdù Zhèn</v>
      </c>
      <c r="C773" t="str">
        <f>IF(COUNTIF(B:B,B773)&gt;1,_xlfn.CONCAT(A773," (",M773,")"),B773)</f>
        <v>Niúdù Zhèn</v>
      </c>
      <c r="D773" t="s">
        <v>2739</v>
      </c>
      <c r="E773" t="s">
        <v>7</v>
      </c>
      <c r="F773" t="str">
        <f>_xlfn.CONCAT(D773,", ",H773,", ",I773,", ","山西省")</f>
        <v>牛杜镇, 临猗县, 运城市, 山西省</v>
      </c>
      <c r="G773">
        <v>34970</v>
      </c>
      <c r="H773" t="s">
        <v>3007</v>
      </c>
      <c r="I773" t="s">
        <v>3003</v>
      </c>
      <c r="J773">
        <f>VLOOKUP(F773,[1]!china_towns_second__2[[Column1]:[Y]],3,FALSE)</f>
        <v>35.077276741153497</v>
      </c>
      <c r="K773">
        <f>VLOOKUP(F773,[1]!china_towns_second__2[[Column1]:[Y]],2,FALSE)</f>
        <v>110.78011309999999</v>
      </c>
      <c r="L773" t="s">
        <v>4349</v>
      </c>
      <c r="M773" t="str">
        <f>VLOOKUP(H773,CHOOSE({1,2},Table12[Native],Table12[Name]),2,0)</f>
        <v>Línyī Xiàn</v>
      </c>
      <c r="N773" s="13" t="str">
        <f>VLOOKUP(I773,CHOOSE({1,2},Table12[Native],Table12[Name]),2,0)</f>
        <v>Yùnchéng Shì</v>
      </c>
      <c r="O773" s="13" t="str">
        <f t="shared" si="24"/>
        <v>Niudu Zhen (Yùnchéng Shì)</v>
      </c>
      <c r="P773" s="13" t="str">
        <f t="shared" si="25"/>
        <v>Niudu Zhen (Yùnchéng Shì)</v>
      </c>
    </row>
    <row r="774" spans="1:16" hidden="1" x14ac:dyDescent="0.25">
      <c r="A774" t="s">
        <v>197</v>
      </c>
      <c r="B774" t="str">
        <f>IF(COUNTIF(A:A,A774)&gt;1,_xlfn.CONCAT(A774," (",N774,")"),A774)</f>
        <v>Niúsì Xiāng</v>
      </c>
      <c r="C774" t="str">
        <f>IF(COUNTIF(B:B,B774)&gt;1,_xlfn.CONCAT(A774," (",M774,")"),B774)</f>
        <v>Niúsì Xiāng</v>
      </c>
      <c r="D774" t="s">
        <v>198</v>
      </c>
      <c r="E774" t="s">
        <v>17</v>
      </c>
      <c r="F774" t="str">
        <f>_xlfn.CONCAT(D774,", ",H774,", ",I774,", ","山西省")</f>
        <v>牛寺乡, 沁县, 长治市, 山西省</v>
      </c>
      <c r="G774">
        <v>6064</v>
      </c>
      <c r="H774" t="s">
        <v>2887</v>
      </c>
      <c r="I774" t="s">
        <v>2878</v>
      </c>
      <c r="J774" t="e">
        <f>VLOOKUP(F774,[1]!china_towns_second__2[[Column1]:[Y]],3,FALSE)</f>
        <v>#N/A</v>
      </c>
      <c r="K774" t="e">
        <f>VLOOKUP(F774,[1]!china_towns_second__2[[Column1]:[Y]],2,FALSE)</f>
        <v>#N/A</v>
      </c>
      <c r="L774" t="s">
        <v>4350</v>
      </c>
      <c r="M774" t="str">
        <f>VLOOKUP(H774,CHOOSE({1,2},Table12[Native],Table12[Name]),2,0)</f>
        <v>Qìn Xiàn</v>
      </c>
      <c r="N774" s="13" t="str">
        <f>VLOOKUP(I774,CHOOSE({1,2},Table12[Native],Table12[Name]),2,0)</f>
        <v>Chángzhì Shì</v>
      </c>
      <c r="O774" s="13" t="str">
        <f t="shared" si="24"/>
        <v>Niusi Xiang (Chángzhì Shì)</v>
      </c>
      <c r="P774" s="13" t="str">
        <f t="shared" si="25"/>
        <v>Niusi Xiang (Chángzhì Shì)</v>
      </c>
    </row>
    <row r="775" spans="1:16" hidden="1" x14ac:dyDescent="0.25">
      <c r="A775" t="s">
        <v>1802</v>
      </c>
      <c r="B775" t="str">
        <f>IF(COUNTIF(A:A,A775)&gt;1,_xlfn.CONCAT(A775," (",N775,")"),A775)</f>
        <v>Niúxīnbăo Xiāng</v>
      </c>
      <c r="C775" t="str">
        <f>IF(COUNTIF(B:B,B775)&gt;1,_xlfn.CONCAT(A775," (",M775,")"),B775)</f>
        <v>Niúxīnbăo Xiāng</v>
      </c>
      <c r="D775" t="s">
        <v>1803</v>
      </c>
      <c r="E775" t="s">
        <v>17</v>
      </c>
      <c r="F775" t="str">
        <f>_xlfn.CONCAT(D775,", ",H775,", ",I775,", ","山西省")</f>
        <v>牛心堡乡, 右玉县, 朔州市, 山西省</v>
      </c>
      <c r="G775">
        <v>4455</v>
      </c>
      <c r="H775" t="s">
        <v>2967</v>
      </c>
      <c r="I775" t="s">
        <v>2961</v>
      </c>
      <c r="J775" t="e">
        <f>VLOOKUP(F775,[1]!china_towns_second__2[[Column1]:[Y]],3,FALSE)</f>
        <v>#N/A</v>
      </c>
      <c r="K775" t="e">
        <f>VLOOKUP(F775,[1]!china_towns_second__2[[Column1]:[Y]],2,FALSE)</f>
        <v>#N/A</v>
      </c>
      <c r="L775" t="s">
        <v>4351</v>
      </c>
      <c r="M775" t="str">
        <f>VLOOKUP(H775,CHOOSE({1,2},Table12[Native],Table12[Name]),2,0)</f>
        <v>Yòuyù Xiàn</v>
      </c>
      <c r="N775" s="13" t="str">
        <f>VLOOKUP(I775,CHOOSE({1,2},Table12[Native],Table12[Name]),2,0)</f>
        <v>Shuòzhōu Shì</v>
      </c>
      <c r="O775" s="13" t="str">
        <f t="shared" si="24"/>
        <v>Niuxinbao Xiang (Shuòzhōu Shì)</v>
      </c>
      <c r="P775" s="13" t="str">
        <f t="shared" si="25"/>
        <v>Niuxinbao Xiang (Shuòzhōu Shì)</v>
      </c>
    </row>
    <row r="776" spans="1:16" hidden="1" x14ac:dyDescent="0.25">
      <c r="A776" t="s">
        <v>1588</v>
      </c>
      <c r="B776" t="str">
        <f>IF(COUNTIF(A:A,A776)&gt;1,_xlfn.CONCAT(A776," (",N776,")"),A776)</f>
        <v>Nuănquán Zhèn</v>
      </c>
      <c r="C776" t="str">
        <f>IF(COUNTIF(B:B,B776)&gt;1,_xlfn.CONCAT(A776," (",M776,")"),B776)</f>
        <v>Nuănquán Zhèn</v>
      </c>
      <c r="D776" t="s">
        <v>1589</v>
      </c>
      <c r="E776" t="s">
        <v>7</v>
      </c>
      <c r="F776" t="str">
        <f>_xlfn.CONCAT(D776,", ",H776,", ",I776,", ","山西省")</f>
        <v>暖泉镇, 中阳县, 吕梁市, 山西省</v>
      </c>
      <c r="G776">
        <v>10728</v>
      </c>
      <c r="H776" t="s">
        <v>2959</v>
      </c>
      <c r="I776" t="s">
        <v>2946</v>
      </c>
      <c r="J776">
        <f>VLOOKUP(F776,[1]!china_towns_second__2[[Column1]:[Y]],3,FALSE)</f>
        <v>37.1350412464136</v>
      </c>
      <c r="K776">
        <f>VLOOKUP(F776,[1]!china_towns_second__2[[Column1]:[Y]],2,FALSE)</f>
        <v>111.00219060000001</v>
      </c>
      <c r="L776" t="s">
        <v>4352</v>
      </c>
      <c r="M776" t="str">
        <f>VLOOKUP(H776,CHOOSE({1,2},Table12[Native],Table12[Name]),2,0)</f>
        <v>Zhōngyáng Xiàn</v>
      </c>
      <c r="N776" s="13" t="str">
        <f>VLOOKUP(I776,CHOOSE({1,2},Table12[Native],Table12[Name]),2,0)</f>
        <v>Lǚliáng Shì</v>
      </c>
      <c r="O776" s="13" t="str">
        <f t="shared" si="24"/>
        <v>Nuanquan Zhen (Lǚliáng Shì)</v>
      </c>
      <c r="P776" s="13" t="str">
        <f t="shared" si="25"/>
        <v>Nuanquan Zhen (Lǚliáng Shì)</v>
      </c>
    </row>
    <row r="777" spans="1:16" hidden="1" x14ac:dyDescent="0.25">
      <c r="A777" t="s">
        <v>1590</v>
      </c>
      <c r="B777" t="str">
        <f>IF(COUNTIF(A:A,A777)&gt;1,_xlfn.CONCAT(A777," (",N777,")"),A777)</f>
        <v>Pángquángōu Zhèn</v>
      </c>
      <c r="C777" t="str">
        <f>IF(COUNTIF(B:B,B777)&gt;1,_xlfn.CONCAT(A777," (",M777,")"),B777)</f>
        <v>Pángquángōu Zhèn</v>
      </c>
      <c r="D777" t="s">
        <v>1591</v>
      </c>
      <c r="E777" t="s">
        <v>7</v>
      </c>
      <c r="F777" t="str">
        <f>_xlfn.CONCAT(D777,", ",H777,", ",I777,", ","山西省")</f>
        <v>庞泉沟镇, 交城县, 吕梁市, 山西省</v>
      </c>
      <c r="G777">
        <v>1706</v>
      </c>
      <c r="H777" t="s">
        <v>2949</v>
      </c>
      <c r="I777" t="s">
        <v>2946</v>
      </c>
      <c r="J777">
        <f>VLOOKUP(F777,[1]!china_towns_second__2[[Column1]:[Y]],3,FALSE)</f>
        <v>37.798885959277101</v>
      </c>
      <c r="K777">
        <f>VLOOKUP(F777,[1]!china_towns_second__2[[Column1]:[Y]],2,FALSE)</f>
        <v>111.50102339999999</v>
      </c>
      <c r="L777" t="s">
        <v>4353</v>
      </c>
      <c r="M777" t="str">
        <f>VLOOKUP(H777,CHOOSE({1,2},Table12[Native],Table12[Name]),2,0)</f>
        <v>Jiāochéng Xiàn</v>
      </c>
      <c r="N777" s="13" t="str">
        <f>VLOOKUP(I777,CHOOSE({1,2},Table12[Native],Table12[Name]),2,0)</f>
        <v>Lǚliáng Shì</v>
      </c>
      <c r="O777" s="13" t="str">
        <f t="shared" si="24"/>
        <v>Pangquangou Zhen (Lǚliáng Shì)</v>
      </c>
      <c r="P777" s="13" t="str">
        <f t="shared" si="25"/>
        <v>Pangquangou Zhen (Lǚliáng Shì)</v>
      </c>
    </row>
    <row r="778" spans="1:16" hidden="1" x14ac:dyDescent="0.25">
      <c r="A778" t="s">
        <v>199</v>
      </c>
      <c r="B778" t="str">
        <f>IF(COUNTIF(A:A,A778)&gt;1,_xlfn.CONCAT(A778," (",N778,")"),A778)</f>
        <v>Pánlóng Zhèn</v>
      </c>
      <c r="C778" t="str">
        <f>IF(COUNTIF(B:B,B778)&gt;1,_xlfn.CONCAT(A778," (",M778,")"),B778)</f>
        <v>Pánlóng Zhèn</v>
      </c>
      <c r="D778" t="s">
        <v>200</v>
      </c>
      <c r="E778" t="s">
        <v>7</v>
      </c>
      <c r="F778" t="str">
        <f>_xlfn.CONCAT(D778,", ",H778,", ",I778,", ","山西省")</f>
        <v>蟠龙镇, 武乡县, 长治市, 山西省</v>
      </c>
      <c r="G778">
        <v>21228</v>
      </c>
      <c r="H778" t="s">
        <v>2891</v>
      </c>
      <c r="I778" t="s">
        <v>2878</v>
      </c>
      <c r="J778">
        <f>VLOOKUP(F778,[1]!china_towns_second__2[[Column1]:[Y]],3,FALSE)</f>
        <v>36.7953992189085</v>
      </c>
      <c r="K778">
        <f>VLOOKUP(F778,[1]!china_towns_second__2[[Column1]:[Y]],2,FALSE)</f>
        <v>113.1737315</v>
      </c>
      <c r="L778" t="s">
        <v>4354</v>
      </c>
      <c r="M778" t="str">
        <f>VLOOKUP(H778,CHOOSE({1,2},Table12[Native],Table12[Name]),2,0)</f>
        <v>Wŭxiāng Xiàn</v>
      </c>
      <c r="N778" s="13" t="str">
        <f>VLOOKUP(I778,CHOOSE({1,2},Table12[Native],Table12[Name]),2,0)</f>
        <v>Chángzhì Shì</v>
      </c>
      <c r="O778" s="13" t="str">
        <f t="shared" si="24"/>
        <v>Panlong Zhen (Chángzhì Shì)</v>
      </c>
      <c r="P778" s="13" t="str">
        <f t="shared" si="25"/>
        <v>Panlong Zhen (Chángzhì Shì)</v>
      </c>
    </row>
    <row r="779" spans="1:16" hidden="1" x14ac:dyDescent="0.25">
      <c r="A779" t="s">
        <v>471</v>
      </c>
      <c r="B779" t="str">
        <f>IF(COUNTIF(A:A,A779)&gt;1,_xlfn.CONCAT(A779," (",N779,")"),A779)</f>
        <v>Péicūn Xiāng</v>
      </c>
      <c r="C779" t="str">
        <f>IF(COUNTIF(B:B,B779)&gt;1,_xlfn.CONCAT(A779," (",M779,")"),B779)</f>
        <v>Péicūn Xiāng</v>
      </c>
      <c r="D779" t="s">
        <v>472</v>
      </c>
      <c r="E779" t="s">
        <v>17</v>
      </c>
      <c r="F779" t="str">
        <f>_xlfn.CONCAT(D779,", ",H779,", ",I779,", ","山西省")</f>
        <v>裴村乡, 浑源县, 大同市, 山西省</v>
      </c>
      <c r="G779">
        <v>15729</v>
      </c>
      <c r="H779" t="s">
        <v>2896</v>
      </c>
      <c r="I779" t="s">
        <v>2894</v>
      </c>
      <c r="J779" t="e">
        <f>VLOOKUP(F779,[1]!china_towns_second__2[[Column1]:[Y]],3,FALSE)</f>
        <v>#N/A</v>
      </c>
      <c r="K779" t="e">
        <f>VLOOKUP(F779,[1]!china_towns_second__2[[Column1]:[Y]],2,FALSE)</f>
        <v>#N/A</v>
      </c>
      <c r="L779" t="s">
        <v>4355</v>
      </c>
      <c r="M779" t="str">
        <f>VLOOKUP(H779,CHOOSE({1,2},Table12[Native],Table12[Name]),2,0)</f>
        <v>Húnyuán Xiàn</v>
      </c>
      <c r="N779" s="13" t="str">
        <f>VLOOKUP(I779,CHOOSE({1,2},Table12[Native],Table12[Name]),2,0)</f>
        <v>Dàtóng Shì</v>
      </c>
      <c r="O779" s="13" t="str">
        <f t="shared" si="24"/>
        <v>Peicun Xiang (Dàtóng Shì)</v>
      </c>
      <c r="P779" s="13" t="str">
        <f t="shared" si="25"/>
        <v>Peicun Xiang (Dàtóng Shì)</v>
      </c>
    </row>
    <row r="780" spans="1:16" hidden="1" x14ac:dyDescent="0.25">
      <c r="A780" t="s">
        <v>1592</v>
      </c>
      <c r="B780" t="str">
        <f>IF(COUNTIF(A:A,A780)&gt;1,_xlfn.CONCAT(A780," (",N780,")"),A780)</f>
        <v>Péigōu Xiāng</v>
      </c>
      <c r="C780" t="str">
        <f>IF(COUNTIF(B:B,B780)&gt;1,_xlfn.CONCAT(A780," (",M780,")"),B780)</f>
        <v>Péigōu Xiāng</v>
      </c>
      <c r="D780" t="s">
        <v>1593</v>
      </c>
      <c r="E780" t="s">
        <v>17</v>
      </c>
      <c r="F780" t="str">
        <f>_xlfn.CONCAT(D780,", ",H780,", ",I780,", ","山西省")</f>
        <v>裴沟乡, 石楼县, 吕梁市, 山西省</v>
      </c>
      <c r="G780">
        <v>7410</v>
      </c>
      <c r="H780" t="s">
        <v>2955</v>
      </c>
      <c r="I780" t="s">
        <v>2946</v>
      </c>
      <c r="J780" t="e">
        <f>VLOOKUP(F780,[1]!china_towns_second__2[[Column1]:[Y]],3,FALSE)</f>
        <v>#N/A</v>
      </c>
      <c r="K780" t="e">
        <f>VLOOKUP(F780,[1]!china_towns_second__2[[Column1]:[Y]],2,FALSE)</f>
        <v>#N/A</v>
      </c>
      <c r="L780" t="s">
        <v>4356</v>
      </c>
      <c r="M780" t="str">
        <f>VLOOKUP(H780,CHOOSE({1,2},Table12[Native],Table12[Name]),2,0)</f>
        <v>Shílóu Xiàn</v>
      </c>
      <c r="N780" s="13" t="str">
        <f>VLOOKUP(I780,CHOOSE({1,2},Table12[Native],Table12[Name]),2,0)</f>
        <v>Lǚliáng Shì</v>
      </c>
      <c r="O780" s="13" t="str">
        <f t="shared" si="24"/>
        <v>Peigou Xiang (Lǚliáng Shì)</v>
      </c>
      <c r="P780" s="13" t="str">
        <f t="shared" si="25"/>
        <v>Peigou Xiang (Lǚliáng Shì)</v>
      </c>
    </row>
    <row r="781" spans="1:16" hidden="1" x14ac:dyDescent="0.25">
      <c r="A781" t="s">
        <v>2740</v>
      </c>
      <c r="B781" t="str">
        <f>IF(COUNTIF(A:A,A781)&gt;1,_xlfn.CONCAT(A781," (",N781,")"),A781)</f>
        <v>Péijiè Zhèn</v>
      </c>
      <c r="C781" t="str">
        <f>IF(COUNTIF(B:B,B781)&gt;1,_xlfn.CONCAT(A781," (",M781,")"),B781)</f>
        <v>Péijiè Zhèn</v>
      </c>
      <c r="D781" t="s">
        <v>2741</v>
      </c>
      <c r="E781" t="s">
        <v>7</v>
      </c>
      <c r="F781" t="str">
        <f>_xlfn.CONCAT(D781,", ",H781,", ",I781,", ","山西省")</f>
        <v>裴介镇, 夏县, 运城市, 山西省</v>
      </c>
      <c r="G781">
        <v>49502</v>
      </c>
      <c r="H781" t="s">
        <v>3012</v>
      </c>
      <c r="I781" t="s">
        <v>3003</v>
      </c>
      <c r="J781">
        <f>VLOOKUP(F781,[1]!china_towns_second__2[[Column1]:[Y]],3,FALSE)</f>
        <v>35.115133648164097</v>
      </c>
      <c r="K781">
        <f>VLOOKUP(F781,[1]!china_towns_second__2[[Column1]:[Y]],2,FALSE)</f>
        <v>111.14567340000001</v>
      </c>
      <c r="L781" t="s">
        <v>4357</v>
      </c>
      <c r="M781" t="str">
        <f>VLOOKUP(H781,CHOOSE({1,2},Table12[Native],Table12[Name]),2,0)</f>
        <v>Xià Xiàn</v>
      </c>
      <c r="N781" s="13" t="str">
        <f>VLOOKUP(I781,CHOOSE({1,2},Table12[Native],Table12[Name]),2,0)</f>
        <v>Yùnchéng Shì</v>
      </c>
      <c r="O781" s="13" t="str">
        <f t="shared" si="24"/>
        <v>Peijie Zhen (Yùnchéng Shì)</v>
      </c>
      <c r="P781" s="13" t="str">
        <f t="shared" si="25"/>
        <v>Peijie Zhen (Yùnchéng Shì)</v>
      </c>
    </row>
    <row r="782" spans="1:16" hidden="1" x14ac:dyDescent="0.25">
      <c r="A782" t="s">
        <v>2742</v>
      </c>
      <c r="B782" t="str">
        <f>IF(COUNTIF(A:A,A782)&gt;1,_xlfn.CONCAT(A782," (",N782,")"),A782)</f>
        <v>Péishè Xiāng</v>
      </c>
      <c r="C782" t="str">
        <f>IF(COUNTIF(B:B,B782)&gt;1,_xlfn.CONCAT(A782," (",M782,")"),B782)</f>
        <v>Péishè Xiāng</v>
      </c>
      <c r="D782" t="s">
        <v>2743</v>
      </c>
      <c r="E782" t="s">
        <v>17</v>
      </c>
      <c r="F782" t="str">
        <f>_xlfn.CONCAT(D782,", ",H782,", ",I782,", ","山西省")</f>
        <v>裴社乡, 闻喜县, 运城市, 山西省</v>
      </c>
      <c r="G782">
        <v>17637</v>
      </c>
      <c r="H782" t="s">
        <v>3011</v>
      </c>
      <c r="I782" t="s">
        <v>3003</v>
      </c>
      <c r="J782" t="e">
        <f>VLOOKUP(F782,[1]!china_towns_second__2[[Column1]:[Y]],3,FALSE)</f>
        <v>#N/A</v>
      </c>
      <c r="K782" t="e">
        <f>VLOOKUP(F782,[1]!china_towns_second__2[[Column1]:[Y]],2,FALSE)</f>
        <v>#N/A</v>
      </c>
      <c r="L782" t="s">
        <v>4358</v>
      </c>
      <c r="M782" t="str">
        <f>VLOOKUP(H782,CHOOSE({1,2},Table12[Native],Table12[Name]),2,0)</f>
        <v>Wénxĭ Xiàn</v>
      </c>
      <c r="N782" s="13" t="str">
        <f>VLOOKUP(I782,CHOOSE({1,2},Table12[Native],Table12[Name]),2,0)</f>
        <v>Yùnchéng Shì</v>
      </c>
      <c r="O782" s="13" t="str">
        <f t="shared" si="24"/>
        <v>Peishe Xiang (Yùnchéng Shì)</v>
      </c>
      <c r="P782" s="13" t="str">
        <f t="shared" si="25"/>
        <v>Peishe Xiang (Yùnchéng Shì)</v>
      </c>
    </row>
    <row r="783" spans="1:16" hidden="1" x14ac:dyDescent="0.25">
      <c r="A783" t="s">
        <v>2744</v>
      </c>
      <c r="B783" t="str">
        <f>IF(COUNTIF(A:A,A783)&gt;1,_xlfn.CONCAT(A783," (",N783,")"),A783)</f>
        <v>Péizhuāng Zhèn</v>
      </c>
      <c r="C783" t="str">
        <f>IF(COUNTIF(B:B,B783)&gt;1,_xlfn.CONCAT(A783," (",M783,")"),B783)</f>
        <v>Péizhuāng Zhèn</v>
      </c>
      <c r="D783" t="s">
        <v>2745</v>
      </c>
      <c r="E783" t="s">
        <v>7</v>
      </c>
      <c r="F783" t="str">
        <f>_xlfn.CONCAT(D783,", ",H783,", ",I783,", ","山西省")</f>
        <v>裴庄镇, 万荣县, 运城市, 山西省</v>
      </c>
      <c r="G783">
        <v>27453</v>
      </c>
      <c r="H783" t="s">
        <v>3010</v>
      </c>
      <c r="I783" t="s">
        <v>3003</v>
      </c>
      <c r="J783">
        <f>VLOOKUP(F783,[1]!china_towns_second__2[[Column1]:[Y]],3,FALSE)</f>
        <v>35.468058678484297</v>
      </c>
      <c r="K783">
        <f>VLOOKUP(F783,[1]!china_towns_second__2[[Column1]:[Y]],2,FALSE)</f>
        <v>110.60009239999999</v>
      </c>
      <c r="L783" t="s">
        <v>4359</v>
      </c>
      <c r="M783" t="str">
        <f>VLOOKUP(H783,CHOOSE({1,2},Table12[Native],Table12[Name]),2,0)</f>
        <v>Wànróng Xiàn</v>
      </c>
      <c r="N783" s="13" t="str">
        <f>VLOOKUP(I783,CHOOSE({1,2},Table12[Native],Table12[Name]),2,0)</f>
        <v>Yùnchéng Shì</v>
      </c>
      <c r="O783" s="13" t="str">
        <f t="shared" si="24"/>
        <v>Peizhuang Zhen (Yùnchéng Shì)</v>
      </c>
      <c r="P783" s="13" t="str">
        <f t="shared" si="25"/>
        <v>Peizhuang Zhen (Yùnchéng Shì)</v>
      </c>
    </row>
    <row r="784" spans="1:16" hidden="1" x14ac:dyDescent="0.25">
      <c r="A784" t="s">
        <v>725</v>
      </c>
      <c r="B784" t="str">
        <f>IF(COUNTIF(A:A,A784)&gt;1,_xlfn.CONCAT(A784," (",N784,")"),A784)</f>
        <v>Píngchéng Zhèn</v>
      </c>
      <c r="C784" t="str">
        <f>IF(COUNTIF(B:B,B784)&gt;1,_xlfn.CONCAT(A784," (",M784,")"),B784)</f>
        <v>Píngchéng Zhèn</v>
      </c>
      <c r="D784" t="s">
        <v>726</v>
      </c>
      <c r="E784" t="s">
        <v>7</v>
      </c>
      <c r="F784" t="str">
        <f>_xlfn.CONCAT(D784,", ",H784,", ",I784,", ","山西省")</f>
        <v>平城镇, 陵川县, 晋城市, 山西省</v>
      </c>
      <c r="G784">
        <v>21742</v>
      </c>
      <c r="H784" t="s">
        <v>2909</v>
      </c>
      <c r="I784" t="s">
        <v>2906</v>
      </c>
      <c r="J784">
        <f>VLOOKUP(F784,[1]!china_towns_second__2[[Column1]:[Y]],3,FALSE)</f>
        <v>35.846025813641099</v>
      </c>
      <c r="K784">
        <f>VLOOKUP(F784,[1]!china_towns_second__2[[Column1]:[Y]],2,FALSE)</f>
        <v>113.3108299</v>
      </c>
      <c r="L784" t="s">
        <v>4360</v>
      </c>
      <c r="M784" t="str">
        <f>VLOOKUP(H784,CHOOSE({1,2},Table12[Native],Table12[Name]),2,0)</f>
        <v>Língchuān Xiàn</v>
      </c>
      <c r="N784" s="13" t="str">
        <f>VLOOKUP(I784,CHOOSE({1,2},Table12[Native],Table12[Name]),2,0)</f>
        <v>Jìnchéng Shì</v>
      </c>
      <c r="O784" s="13" t="str">
        <f t="shared" si="24"/>
        <v>Pingcheng Zhen (Jìnchéng Shì)</v>
      </c>
      <c r="P784" s="13" t="str">
        <f t="shared" si="25"/>
        <v>Pingcheng Zhen (Jìnchéng Shì)</v>
      </c>
    </row>
    <row r="785" spans="1:16" hidden="1" x14ac:dyDescent="0.25">
      <c r="A785" t="s">
        <v>473</v>
      </c>
      <c r="B785" t="str">
        <f>IF(COUNTIF(A:A,A785)&gt;1,_xlfn.CONCAT(A785," (",N785,")"),A785)</f>
        <v>Píngquánlù Jiēdào</v>
      </c>
      <c r="C785" t="str">
        <f>IF(COUNTIF(B:B,B785)&gt;1,_xlfn.CONCAT(A785," (",M785,")"),B785)</f>
        <v>Píngquánlù Jiēdào</v>
      </c>
      <c r="D785" t="s">
        <v>474</v>
      </c>
      <c r="E785" t="s">
        <v>31</v>
      </c>
      <c r="F785" t="str">
        <f>_xlfn.CONCAT(D785,", ",H785,", ",I785,", ","山西省")</f>
        <v>平泉路街道, 云冈区, 大同市, 山西省</v>
      </c>
      <c r="G785">
        <v>63918</v>
      </c>
      <c r="H785" t="s">
        <v>2902</v>
      </c>
      <c r="I785" t="s">
        <v>2894</v>
      </c>
      <c r="J785" t="e">
        <f>VLOOKUP(F785,[1]!china_towns_second__2[[Column1]:[Y]],3,FALSE)</f>
        <v>#N/A</v>
      </c>
      <c r="K785" t="e">
        <f>VLOOKUP(F785,[1]!china_towns_second__2[[Column1]:[Y]],2,FALSE)</f>
        <v>#N/A</v>
      </c>
      <c r="L785" t="s">
        <v>4361</v>
      </c>
      <c r="M785" t="str">
        <f>VLOOKUP(H785,CHOOSE({1,2},Table12[Native],Table12[Name]),2,0)</f>
        <v>Yúngāng Qū</v>
      </c>
      <c r="N785" s="13" t="str">
        <f>VLOOKUP(I785,CHOOSE({1,2},Table12[Native],Table12[Name]),2,0)</f>
        <v>Dàtóng Shì</v>
      </c>
      <c r="O785" s="13" t="str">
        <f t="shared" si="24"/>
        <v>Pingquanlu Jiedao (Dàtóng Shì)</v>
      </c>
      <c r="P785" s="13" t="str">
        <f t="shared" si="25"/>
        <v>Pingquanlu Jiedao (Dàtóng Shì)</v>
      </c>
    </row>
    <row r="786" spans="1:16" hidden="1" x14ac:dyDescent="0.25">
      <c r="A786" t="s">
        <v>946</v>
      </c>
      <c r="B786" t="str">
        <f>IF(COUNTIF(A:A,A786)&gt;1,_xlfn.CONCAT(A786," (",N786,")"),A786)</f>
        <v>Píngshū Xiāng</v>
      </c>
      <c r="C786" t="str">
        <f>IF(COUNTIF(B:B,B786)&gt;1,_xlfn.CONCAT(A786," (",M786,")"),B786)</f>
        <v>Píngshū Xiāng</v>
      </c>
      <c r="D786" t="s">
        <v>947</v>
      </c>
      <c r="E786" t="s">
        <v>17</v>
      </c>
      <c r="F786" t="str">
        <f>_xlfn.CONCAT(D786,", ",H786,", ",I786,", ","山西省")</f>
        <v>平舒乡, 寿阳县, 晋中市, 山西省</v>
      </c>
      <c r="G786">
        <v>14405</v>
      </c>
      <c r="H786" t="s">
        <v>2920</v>
      </c>
      <c r="I786" t="s">
        <v>2914</v>
      </c>
      <c r="J786" t="e">
        <f>VLOOKUP(F786,[1]!china_towns_second__2[[Column1]:[Y]],3,FALSE)</f>
        <v>#N/A</v>
      </c>
      <c r="K786" t="e">
        <f>VLOOKUP(F786,[1]!china_towns_second__2[[Column1]:[Y]],2,FALSE)</f>
        <v>#N/A</v>
      </c>
      <c r="L786" t="s">
        <v>4362</v>
      </c>
      <c r="M786" t="str">
        <f>VLOOKUP(H786,CHOOSE({1,2},Table12[Native],Table12[Name]),2,0)</f>
        <v>Shòuyáng Xiàn</v>
      </c>
      <c r="N786" s="13" t="str">
        <f>VLOOKUP(I786,CHOOSE({1,2},Table12[Native],Table12[Name]),2,0)</f>
        <v>Jìnzhōng Shì</v>
      </c>
      <c r="O786" s="13" t="str">
        <f t="shared" si="24"/>
        <v>Pingshu Xiang (Jìnzhōng Shì)</v>
      </c>
      <c r="P786" s="13" t="str">
        <f t="shared" si="25"/>
        <v>Pingshu Xiang (Jìnzhōng Shì)</v>
      </c>
    </row>
    <row r="787" spans="1:16" hidden="1" x14ac:dyDescent="0.25">
      <c r="A787" t="s">
        <v>948</v>
      </c>
      <c r="B787" t="str">
        <f>IF(COUNTIF(A:A,A787)&gt;1,_xlfn.CONCAT(A787," (",N787,")"),A787)</f>
        <v>Píngsōng Xiāng</v>
      </c>
      <c r="C787" t="str">
        <f>IF(COUNTIF(B:B,B787)&gt;1,_xlfn.CONCAT(A787," (",M787,")"),B787)</f>
        <v>Píngsōng Xiāng</v>
      </c>
      <c r="D787" t="s">
        <v>949</v>
      </c>
      <c r="E787" t="s">
        <v>17</v>
      </c>
      <c r="F787" t="str">
        <f>_xlfn.CONCAT(D787,", ",H787,", ",I787,", ","山西省")</f>
        <v>平松乡, 和顺县, 晋中市, 山西省</v>
      </c>
      <c r="G787">
        <v>7406</v>
      </c>
      <c r="H787" t="s">
        <v>2915</v>
      </c>
      <c r="I787" t="s">
        <v>2914</v>
      </c>
      <c r="J787" t="e">
        <f>VLOOKUP(F787,[1]!china_towns_second__2[[Column1]:[Y]],3,FALSE)</f>
        <v>#N/A</v>
      </c>
      <c r="K787" t="e">
        <f>VLOOKUP(F787,[1]!china_towns_second__2[[Column1]:[Y]],2,FALSE)</f>
        <v>#N/A</v>
      </c>
      <c r="L787" t="s">
        <v>4363</v>
      </c>
      <c r="M787" t="str">
        <f>VLOOKUP(H787,CHOOSE({1,2},Table12[Native],Table12[Name]),2,0)</f>
        <v>Héshùn Xiàn</v>
      </c>
      <c r="N787" s="13" t="str">
        <f>VLOOKUP(I787,CHOOSE({1,2},Table12[Native],Table12[Name]),2,0)</f>
        <v>Jìnzhōng Shì</v>
      </c>
      <c r="O787" s="13" t="str">
        <f t="shared" si="24"/>
        <v>Pingsong Xiang (Jìnzhōng Shì)</v>
      </c>
      <c r="P787" s="13" t="str">
        <f t="shared" si="25"/>
        <v>Pingsong Xiang (Jìnzhōng Shì)</v>
      </c>
    </row>
    <row r="788" spans="1:16" hidden="1" x14ac:dyDescent="0.25">
      <c r="A788" t="s">
        <v>2534</v>
      </c>
      <c r="B788" t="str">
        <f>IF(COUNTIF(A:A,A788)&gt;1,_xlfn.CONCAT(A788," (",N788,")"),A788)</f>
        <v>Píngtăn Zhèn</v>
      </c>
      <c r="C788" t="str">
        <f>IF(COUNTIF(B:B,B788)&gt;1,_xlfn.CONCAT(A788," (",M788,")"),B788)</f>
        <v>Píngtăn Zhèn</v>
      </c>
      <c r="D788" t="s">
        <v>2535</v>
      </c>
      <c r="E788" t="s">
        <v>7</v>
      </c>
      <c r="F788" t="str">
        <f>_xlfn.CONCAT(D788,", ",H788,", ",I788,", ","山西省")</f>
        <v>平坦镇, 郊区, 阳泉市, 山西省</v>
      </c>
      <c r="G788">
        <v>30240</v>
      </c>
      <c r="H788" t="s">
        <v>2998</v>
      </c>
      <c r="I788" t="s">
        <v>2997</v>
      </c>
      <c r="J788">
        <f>VLOOKUP(F788,[1]!china_towns_second__2[[Column1]:[Y]],3,FALSE)</f>
        <v>37.876894894890903</v>
      </c>
      <c r="K788">
        <f>VLOOKUP(F788,[1]!china_towns_second__2[[Column1]:[Y]],2,FALSE)</f>
        <v>113.4643396</v>
      </c>
      <c r="L788" t="s">
        <v>4364</v>
      </c>
      <c r="M788" t="str">
        <f>VLOOKUP(H788,CHOOSE({1,2},Table12[Native],Table12[Name]),2,0)</f>
        <v>Jiāo Qū</v>
      </c>
      <c r="N788" s="13" t="str">
        <f>VLOOKUP(I788,CHOOSE({1,2},Table12[Native],Table12[Name]),2,0)</f>
        <v>Yángquán Shì</v>
      </c>
      <c r="O788" s="13" t="str">
        <f t="shared" si="24"/>
        <v>Pingtan Zhen (Yángquán Shì)</v>
      </c>
      <c r="P788" s="13" t="str">
        <f t="shared" si="25"/>
        <v>Pingtan Zhen (Yángquán Shì)</v>
      </c>
    </row>
    <row r="789" spans="1:16" hidden="1" x14ac:dyDescent="0.25">
      <c r="A789" t="s">
        <v>2532</v>
      </c>
      <c r="B789" t="str">
        <f>IF(COUNTIF(A:A,A789)&gt;1,_xlfn.CONCAT(A789," (",N789,")"),A789)</f>
        <v>Píngtánjiē Jiēdào</v>
      </c>
      <c r="C789" t="str">
        <f>IF(COUNTIF(B:B,B789)&gt;1,_xlfn.CONCAT(A789," (",M789,")"),B789)</f>
        <v>Píngtánjiē Jiēdào</v>
      </c>
      <c r="D789" t="s">
        <v>2533</v>
      </c>
      <c r="E789" t="s">
        <v>31</v>
      </c>
      <c r="F789" t="str">
        <f>_xlfn.CONCAT(D789,", ",H789,", ",I789,", ","山西省")</f>
        <v>平潭街街道, 矿区, 阳泉市, 山西省</v>
      </c>
      <c r="G789">
        <v>52182</v>
      </c>
      <c r="H789" t="s">
        <v>2999</v>
      </c>
      <c r="I789" t="s">
        <v>2997</v>
      </c>
      <c r="J789">
        <f>VLOOKUP(F789,[1]!china_towns_second__2[[Column1]:[Y]],3,FALSE)</f>
        <v>37.871115336556002</v>
      </c>
      <c r="K789">
        <f>VLOOKUP(F789,[1]!china_towns_second__2[[Column1]:[Y]],2,FALSE)</f>
        <v>113.5574079</v>
      </c>
      <c r="L789" t="s">
        <v>4365</v>
      </c>
      <c r="M789" t="str">
        <f>VLOOKUP(H789,CHOOSE({1,2},Table12[Native],Table12[Name]),2,0)</f>
        <v>Kuàng Qū</v>
      </c>
      <c r="N789" s="13" t="str">
        <f>VLOOKUP(I789,CHOOSE({1,2},Table12[Native],Table12[Name]),2,0)</f>
        <v>Yángquán Shì</v>
      </c>
      <c r="O789" s="13" t="str">
        <f t="shared" si="24"/>
        <v>Pingtanjie Jiedao (Yángquán Shì)</v>
      </c>
      <c r="P789" s="13" t="str">
        <f t="shared" si="25"/>
        <v>Pingtanjie Jiedao (Yángquán Shì)</v>
      </c>
    </row>
    <row r="790" spans="1:16" hidden="1" x14ac:dyDescent="0.25">
      <c r="A790" t="s">
        <v>1594</v>
      </c>
      <c r="B790" t="str">
        <f>IF(COUNTIF(A:A,A790)&gt;1,_xlfn.CONCAT(A790," (",N790,")"),A790)</f>
        <v>Píngtóu Xiāng</v>
      </c>
      <c r="C790" t="str">
        <f>IF(COUNTIF(B:B,B790)&gt;1,_xlfn.CONCAT(A790," (",M790,")"),B790)</f>
        <v>Píngtóu Xiāng</v>
      </c>
      <c r="D790" t="s">
        <v>1595</v>
      </c>
      <c r="E790" t="s">
        <v>17</v>
      </c>
      <c r="F790" t="str">
        <f>_xlfn.CONCAT(D790,", ",H790,", ",I790,", ","山西省")</f>
        <v>坪头乡, 离石区, 吕梁市, 山西省</v>
      </c>
      <c r="G790">
        <v>8647</v>
      </c>
      <c r="H790" t="s">
        <v>2953</v>
      </c>
      <c r="I790" t="s">
        <v>2946</v>
      </c>
      <c r="J790" t="e">
        <f>VLOOKUP(F790,[1]!china_towns_second__2[[Column1]:[Y]],3,FALSE)</f>
        <v>#N/A</v>
      </c>
      <c r="K790" t="e">
        <f>VLOOKUP(F790,[1]!china_towns_second__2[[Column1]:[Y]],2,FALSE)</f>
        <v>#N/A</v>
      </c>
      <c r="L790" t="s">
        <v>4366</v>
      </c>
      <c r="M790" t="str">
        <f>VLOOKUP(H790,CHOOSE({1,2},Table12[Native],Table12[Name]),2,0)</f>
        <v>Líshí Qū</v>
      </c>
      <c r="N790" s="13" t="str">
        <f>VLOOKUP(I790,CHOOSE({1,2},Table12[Native],Table12[Name]),2,0)</f>
        <v>Lǚliáng Shì</v>
      </c>
      <c r="O790" s="13" t="str">
        <f t="shared" si="24"/>
        <v>Pingtou Xiang (Lǚliáng Shì)</v>
      </c>
      <c r="P790" s="13" t="str">
        <f t="shared" si="25"/>
        <v>Pingtou Xiang (Lǚliáng Shì)</v>
      </c>
    </row>
    <row r="791" spans="1:16" hidden="1" x14ac:dyDescent="0.25">
      <c r="A791" t="s">
        <v>950</v>
      </c>
      <c r="B791" t="str">
        <f>IF(COUNTIF(A:A,A791)&gt;1,_xlfn.CONCAT(A791," (",N791,")"),A791)</f>
        <v>Píngtóu Zhèn</v>
      </c>
      <c r="C791" t="str">
        <f>IF(COUNTIF(B:B,B791)&gt;1,_xlfn.CONCAT(A791," (",M791,")"),B791)</f>
        <v>Píngtóu Zhèn</v>
      </c>
      <c r="D791" t="s">
        <v>951</v>
      </c>
      <c r="E791" t="s">
        <v>7</v>
      </c>
      <c r="F791" t="str">
        <f>_xlfn.CONCAT(D791,", ",H791,", ",I791,", ","山西省")</f>
        <v>平头镇, 寿阳县, 晋中市, 山西省</v>
      </c>
      <c r="G791">
        <v>21273</v>
      </c>
      <c r="H791" t="s">
        <v>2920</v>
      </c>
      <c r="I791" t="s">
        <v>2914</v>
      </c>
      <c r="J791">
        <f>VLOOKUP(F791,[1]!china_towns_second__2[[Column1]:[Y]],3,FALSE)</f>
        <v>37.935334727072998</v>
      </c>
      <c r="K791">
        <f>VLOOKUP(F791,[1]!china_towns_second__2[[Column1]:[Y]],2,FALSE)</f>
        <v>112.8627125</v>
      </c>
      <c r="L791" t="s">
        <v>4367</v>
      </c>
      <c r="M791" t="str">
        <f>VLOOKUP(H791,CHOOSE({1,2},Table12[Native],Table12[Name]),2,0)</f>
        <v>Shòuyáng Xiàn</v>
      </c>
      <c r="N791" s="13" t="str">
        <f>VLOOKUP(I791,CHOOSE({1,2},Table12[Native],Table12[Name]),2,0)</f>
        <v>Jìnzhōng Shì</v>
      </c>
      <c r="O791" s="13" t="str">
        <f t="shared" si="24"/>
        <v>Pingtou Zhen (Jìnzhōng Shì)</v>
      </c>
      <c r="P791" s="13" t="str">
        <f t="shared" si="25"/>
        <v>Pingtou Zhen (Jìnzhōng Shì)</v>
      </c>
    </row>
    <row r="792" spans="1:16" hidden="1" x14ac:dyDescent="0.25">
      <c r="A792" t="s">
        <v>475</v>
      </c>
      <c r="B792" t="str">
        <f>IF(COUNTIF(A:A,A792)&gt;1,_xlfn.CONCAT(A792," (",N792,")"),A792)</f>
        <v>Píngwàng Xiāng</v>
      </c>
      <c r="C792" t="str">
        <f>IF(COUNTIF(B:B,B792)&gt;1,_xlfn.CONCAT(A792," (",M792,")"),B792)</f>
        <v>Píngwàng Xiāng</v>
      </c>
      <c r="D792" t="s">
        <v>476</v>
      </c>
      <c r="E792" t="s">
        <v>17</v>
      </c>
      <c r="F792" t="str">
        <f>_xlfn.CONCAT(D792,", ",H792,", ",I792,", ","山西省")</f>
        <v>平旺乡, 云冈区, 大同市, 山西省</v>
      </c>
      <c r="G792">
        <v>42220</v>
      </c>
      <c r="H792" t="s">
        <v>2902</v>
      </c>
      <c r="I792" t="s">
        <v>2894</v>
      </c>
      <c r="J792" t="e">
        <f>VLOOKUP(F792,[1]!china_towns_second__2[[Column1]:[Y]],3,FALSE)</f>
        <v>#N/A</v>
      </c>
      <c r="K792" t="e">
        <f>VLOOKUP(F792,[1]!china_towns_second__2[[Column1]:[Y]],2,FALSE)</f>
        <v>#N/A</v>
      </c>
      <c r="L792" t="s">
        <v>4368</v>
      </c>
      <c r="M792" t="str">
        <f>VLOOKUP(H792,CHOOSE({1,2},Table12[Native],Table12[Name]),2,0)</f>
        <v>Yúngāng Qū</v>
      </c>
      <c r="N792" s="13" t="str">
        <f>VLOOKUP(I792,CHOOSE({1,2},Table12[Native],Table12[Name]),2,0)</f>
        <v>Dàtóng Shì</v>
      </c>
      <c r="O792" s="13" t="str">
        <f t="shared" si="24"/>
        <v>Pingwang Xiang (Dàtóng Shì)</v>
      </c>
      <c r="P792" s="13" t="str">
        <f t="shared" si="25"/>
        <v>Pingwang Xiang (Dàtóng Shì)</v>
      </c>
    </row>
    <row r="793" spans="1:16" hidden="1" x14ac:dyDescent="0.25">
      <c r="A793" t="s">
        <v>2302</v>
      </c>
      <c r="B793" t="str">
        <f>IF(COUNTIF(A:A,A793)&gt;1,_xlfn.CONCAT(A793," (",N793,")"),A793)</f>
        <v>Píngxíngguān Zhèn [Héngjiàn Xiāng]</v>
      </c>
      <c r="C793" t="str">
        <f>IF(COUNTIF(B:B,B793)&gt;1,_xlfn.CONCAT(A793," (",M793,")"),B793)</f>
        <v>Píngxíngguān Zhèn [Héngjiàn Xiāng]</v>
      </c>
      <c r="D793" t="s">
        <v>2303</v>
      </c>
      <c r="E793" t="s">
        <v>7</v>
      </c>
      <c r="F793" t="str">
        <f>_xlfn.CONCAT(D793,", ",H793,", ",I793,", ","山西省")</f>
        <v>平型关镇, 繁峙县, 忻州市, 山西省</v>
      </c>
      <c r="G793">
        <v>12053</v>
      </c>
      <c r="H793" t="s">
        <v>2985</v>
      </c>
      <c r="I793" t="s">
        <v>2981</v>
      </c>
      <c r="J793">
        <f>VLOOKUP(F793,[1]!china_towns_second__2[[Column1]:[Y]],3,FALSE)</f>
        <v>39.264440826136202</v>
      </c>
      <c r="K793">
        <f>VLOOKUP(F793,[1]!china_towns_second__2[[Column1]:[Y]],2,FALSE)</f>
        <v>113.86921510000001</v>
      </c>
      <c r="L793" t="s">
        <v>4369</v>
      </c>
      <c r="M793" t="str">
        <f>VLOOKUP(H793,CHOOSE({1,2},Table12[Native],Table12[Name]),2,0)</f>
        <v>Fánshì Xiàn</v>
      </c>
      <c r="N793" s="13" t="str">
        <f>VLOOKUP(I793,CHOOSE({1,2},Table12[Native],Table12[Name]),2,0)</f>
        <v>Xīnzhōu Shì</v>
      </c>
      <c r="O793" s="13" t="str">
        <f t="shared" si="24"/>
        <v>Pingxingguan Zhen [Hengjian Xiang] (Xīnzhōu Shì)</v>
      </c>
      <c r="P793" s="13" t="str">
        <f t="shared" si="25"/>
        <v>Pingxingguan Zhen [Hengjian Xiang] (Xīnzhōu Shì)</v>
      </c>
    </row>
    <row r="794" spans="1:16" hidden="1" x14ac:dyDescent="0.25">
      <c r="A794" t="s">
        <v>2010</v>
      </c>
      <c r="B794" t="str">
        <f>IF(COUNTIF(A:A,A794)&gt;1,_xlfn.CONCAT(A794," (",N794,")"),A794)</f>
        <v>Píngyánglù Jiēdào</v>
      </c>
      <c r="C794" t="str">
        <f>IF(COUNTIF(B:B,B794)&gt;1,_xlfn.CONCAT(A794," (",M794,")"),B794)</f>
        <v>Píngyánglù Jiēdào</v>
      </c>
      <c r="D794" t="s">
        <v>2011</v>
      </c>
      <c r="E794" t="s">
        <v>31</v>
      </c>
      <c r="F794" t="str">
        <f>_xlfn.CONCAT(D794,", ",H794,", ",I794,", ","山西省")</f>
        <v>平阳路街道, 小店区, 太原市, 山西省</v>
      </c>
      <c r="G794">
        <v>145142</v>
      </c>
      <c r="H794" t="s">
        <v>2976</v>
      </c>
      <c r="I794" t="s">
        <v>2969</v>
      </c>
      <c r="J794">
        <f>VLOOKUP(F794,[1]!china_towns_second__2[[Column1]:[Y]],3,FALSE)</f>
        <v>37.804365636456303</v>
      </c>
      <c r="K794">
        <f>VLOOKUP(F794,[1]!china_towns_second__2[[Column1]:[Y]],2,FALSE)</f>
        <v>112.5451772</v>
      </c>
      <c r="L794" t="s">
        <v>4370</v>
      </c>
      <c r="M794" t="str">
        <f>VLOOKUP(H794,CHOOSE({1,2},Table12[Native],Table12[Name]),2,0)</f>
        <v>Xiăodiàn Qū</v>
      </c>
      <c r="N794" s="13" t="str">
        <f>VLOOKUP(I794,CHOOSE({1,2},Table12[Native],Table12[Name]),2,0)</f>
        <v>Tàiyuán Shì</v>
      </c>
      <c r="O794" s="13" t="str">
        <f t="shared" si="24"/>
        <v>Pingyanglu Jiedao (Tàiyuán Shì)</v>
      </c>
      <c r="P794" s="13" t="str">
        <f t="shared" si="25"/>
        <v>Pingyanglu Jiedao (Tàiyuán Shì)</v>
      </c>
    </row>
    <row r="795" spans="1:16" hidden="1" x14ac:dyDescent="0.25">
      <c r="A795" t="s">
        <v>2536</v>
      </c>
      <c r="B795" t="str">
        <f>IF(COUNTIF(A:A,A795)&gt;1,_xlfn.CONCAT(A795," (",N795,")"),A795)</f>
        <v>Pōdĭ Jiēdào</v>
      </c>
      <c r="C795" t="str">
        <f>IF(COUNTIF(B:B,B795)&gt;1,_xlfn.CONCAT(A795," (",M795,")"),B795)</f>
        <v>Pōdĭ Jiēdào</v>
      </c>
      <c r="D795" t="s">
        <v>2537</v>
      </c>
      <c r="E795" t="s">
        <v>31</v>
      </c>
      <c r="F795" t="str">
        <f>_xlfn.CONCAT(D795,", ",H795,", ",I795,", ","山西省")</f>
        <v>坡底街道, 城区, 晋城市, 山西省</v>
      </c>
      <c r="G795">
        <v>2695</v>
      </c>
      <c r="H795" t="s">
        <v>814</v>
      </c>
      <c r="I795" t="s">
        <v>2906</v>
      </c>
      <c r="J795" t="e">
        <f>VLOOKUP(F795,[1]!china_towns_second__2[[Column1]:[Y]],3,FALSE)</f>
        <v>#N/A</v>
      </c>
      <c r="K795" t="e">
        <f>VLOOKUP(F795,[1]!china_towns_second__2[[Column1]:[Y]],2,FALSE)</f>
        <v>#N/A</v>
      </c>
      <c r="L795" t="s">
        <v>4371</v>
      </c>
      <c r="M795" t="str">
        <f>VLOOKUP(H795,CHOOSE({1,2},Table12[Native],Table12[Name]),2,0)</f>
        <v>Chéng Qū</v>
      </c>
      <c r="N795" s="13" t="str">
        <f>VLOOKUP(I795,CHOOSE({1,2},Table12[Native],Table12[Name]),2,0)</f>
        <v>Jìnchéng Shì</v>
      </c>
      <c r="O795" s="13" t="str">
        <f t="shared" si="24"/>
        <v>Podi Jiedao (Jìnchéng Shì)</v>
      </c>
      <c r="P795" s="13" t="str">
        <f t="shared" si="25"/>
        <v>Podi Jiedao (Jìnchéng Shì)</v>
      </c>
    </row>
    <row r="796" spans="1:16" hidden="1" x14ac:dyDescent="0.25">
      <c r="A796" t="s">
        <v>2746</v>
      </c>
      <c r="B796" t="str">
        <f>IF(COUNTIF(A:A,A796)&gt;1,_xlfn.CONCAT(A796," (",N796,")"),A796)</f>
        <v>Pōdĭ Xiāng</v>
      </c>
      <c r="C796" t="str">
        <f>IF(COUNTIF(B:B,B796)&gt;1,_xlfn.CONCAT(A796," (",M796,")"),B796)</f>
        <v>Pōdĭ Xiāng</v>
      </c>
      <c r="D796" t="s">
        <v>2747</v>
      </c>
      <c r="E796" t="s">
        <v>17</v>
      </c>
      <c r="F796" t="str">
        <f>_xlfn.CONCAT(D796,", ",H796,", ",I796,", ","山西省")</f>
        <v>坡底乡, 平陆县, 运城市, 山西省</v>
      </c>
      <c r="G796">
        <v>9642</v>
      </c>
      <c r="H796" t="s">
        <v>3008</v>
      </c>
      <c r="I796" t="s">
        <v>3003</v>
      </c>
      <c r="J796" t="e">
        <f>VLOOKUP(F796,[1]!china_towns_second__2[[Column1]:[Y]],3,FALSE)</f>
        <v>#N/A</v>
      </c>
      <c r="K796" t="e">
        <f>VLOOKUP(F796,[1]!china_towns_second__2[[Column1]:[Y]],2,FALSE)</f>
        <v>#N/A</v>
      </c>
      <c r="L796" t="s">
        <v>4372</v>
      </c>
      <c r="M796" t="str">
        <f>VLOOKUP(H796,CHOOSE({1,2},Table12[Native],Table12[Name]),2,0)</f>
        <v>Pínglù Xiàn</v>
      </c>
      <c r="N796" s="13" t="str">
        <f>VLOOKUP(I796,CHOOSE({1,2},Table12[Native],Table12[Name]),2,0)</f>
        <v>Yùnchéng Shì</v>
      </c>
      <c r="O796" s="13" t="str">
        <f t="shared" si="24"/>
        <v>Podi Xiang (Yùnchéng Shì)</v>
      </c>
      <c r="P796" s="13" t="str">
        <f t="shared" si="25"/>
        <v>Podi Xiang (Yùnchéng Shì)</v>
      </c>
    </row>
    <row r="797" spans="1:16" hidden="1" x14ac:dyDescent="0.25">
      <c r="A797" t="s">
        <v>477</v>
      </c>
      <c r="B797" t="str">
        <f>IF(COUNTIF(A:A,A797)&gt;1,_xlfn.CONCAT(A797," (",N797,")"),A797)</f>
        <v>Pòlŭbăo Xiāng</v>
      </c>
      <c r="C797" t="str">
        <f>IF(COUNTIF(B:B,B797)&gt;1,_xlfn.CONCAT(A797," (",M797,")"),B797)</f>
        <v>Pòlŭbăo Xiāng</v>
      </c>
      <c r="D797" t="s">
        <v>478</v>
      </c>
      <c r="E797" t="s">
        <v>17</v>
      </c>
      <c r="F797" t="str">
        <f>_xlfn.CONCAT(D797,", ",H797,", ",I797,", ","山西省")</f>
        <v>破鲁堡乡, 新荣区, 大同市, 山西省</v>
      </c>
      <c r="G797">
        <v>9255</v>
      </c>
      <c r="H797" t="s">
        <v>2900</v>
      </c>
      <c r="I797" t="s">
        <v>2894</v>
      </c>
      <c r="J797" t="e">
        <f>VLOOKUP(F797,[1]!china_towns_second__2[[Column1]:[Y]],3,FALSE)</f>
        <v>#N/A</v>
      </c>
      <c r="K797" t="e">
        <f>VLOOKUP(F797,[1]!china_towns_second__2[[Column1]:[Y]],2,FALSE)</f>
        <v>#N/A</v>
      </c>
      <c r="L797" t="s">
        <v>4373</v>
      </c>
      <c r="M797" t="str">
        <f>VLOOKUP(H797,CHOOSE({1,2},Table12[Native],Table12[Name]),2,0)</f>
        <v>Xīnróng Qū</v>
      </c>
      <c r="N797" s="13" t="str">
        <f>VLOOKUP(I797,CHOOSE({1,2},Table12[Native],Table12[Name]),2,0)</f>
        <v>Dàtóng Shì</v>
      </c>
      <c r="O797" s="13" t="str">
        <f t="shared" si="24"/>
        <v>Polubao Xiang (Dàtóng Shì)</v>
      </c>
      <c r="P797" s="13" t="str">
        <f t="shared" si="25"/>
        <v>Polubao Xiang (Dàtóng Shì)</v>
      </c>
    </row>
    <row r="798" spans="1:16" hidden="1" x14ac:dyDescent="0.25">
      <c r="A798" t="s">
        <v>1244</v>
      </c>
      <c r="B798" t="str">
        <f>IF(COUNTIF(A:A,A798)&gt;1,_xlfn.CONCAT(A798," (",N798,")"),A798)</f>
        <v>Pōtóu Xiāng</v>
      </c>
      <c r="C798" t="str">
        <f>IF(COUNTIF(B:B,B798)&gt;1,_xlfn.CONCAT(A798," (",M798,")"),B798)</f>
        <v>Pōtóu Xiāng</v>
      </c>
      <c r="D798" t="s">
        <v>1245</v>
      </c>
      <c r="E798" t="s">
        <v>17</v>
      </c>
      <c r="F798" t="str">
        <f>_xlfn.CONCAT(D798,", ",H798,", ",I798,", ","山西省")</f>
        <v>坡头乡, 永和县, 临汾市, 山西省</v>
      </c>
      <c r="G798">
        <v>4223</v>
      </c>
      <c r="H798" t="s">
        <v>2944</v>
      </c>
      <c r="I798" t="s">
        <v>2927</v>
      </c>
      <c r="J798" t="e">
        <f>VLOOKUP(F798,[1]!china_towns_second__2[[Column1]:[Y]],3,FALSE)</f>
        <v>#N/A</v>
      </c>
      <c r="K798" t="e">
        <f>VLOOKUP(F798,[1]!china_towns_second__2[[Column1]:[Y]],2,FALSE)</f>
        <v>#N/A</v>
      </c>
      <c r="L798" t="s">
        <v>4374</v>
      </c>
      <c r="M798" t="str">
        <f>VLOOKUP(H798,CHOOSE({1,2},Table12[Native],Table12[Name]),2,0)</f>
        <v>Yŏnghé Xiàn</v>
      </c>
      <c r="N798" s="13" t="str">
        <f>VLOOKUP(I798,CHOOSE({1,2},Table12[Native],Table12[Name]),2,0)</f>
        <v>Línfén Shì</v>
      </c>
      <c r="O798" s="13" t="str">
        <f t="shared" si="24"/>
        <v>Potou Xiang (Línfén Shì)</v>
      </c>
      <c r="P798" s="13" t="str">
        <f t="shared" si="25"/>
        <v>Potou Xiang (Línfén Shì)</v>
      </c>
    </row>
    <row r="799" spans="1:16" hidden="1" x14ac:dyDescent="0.25">
      <c r="A799" t="s">
        <v>1246</v>
      </c>
      <c r="B799" t="str">
        <f>IF(COUNTIF(A:A,A799)&gt;1,_xlfn.CONCAT(A799," (",N799,")"),A799)</f>
        <v>Púchéng Zhèn</v>
      </c>
      <c r="C799" t="str">
        <f>IF(COUNTIF(B:B,B799)&gt;1,_xlfn.CONCAT(A799," (",M799,")"),B799)</f>
        <v>Púchéng Zhèn</v>
      </c>
      <c r="D799" t="s">
        <v>1247</v>
      </c>
      <c r="E799" t="s">
        <v>7</v>
      </c>
      <c r="F799" t="str">
        <f>_xlfn.CONCAT(D799,", ",H799,", ",I799,", ","山西省")</f>
        <v>蒲城镇, 蒲县, 临汾市, 山西省</v>
      </c>
      <c r="G799">
        <v>32240</v>
      </c>
      <c r="H799" t="s">
        <v>2937</v>
      </c>
      <c r="I799" t="s">
        <v>2927</v>
      </c>
      <c r="J799">
        <f>VLOOKUP(F799,[1]!china_towns_second__2[[Column1]:[Y]],3,FALSE)</f>
        <v>36.319980891132403</v>
      </c>
      <c r="K799">
        <f>VLOOKUP(F799,[1]!china_towns_second__2[[Column1]:[Y]],2,FALSE)</f>
        <v>111.10649359999999</v>
      </c>
      <c r="L799" t="s">
        <v>4375</v>
      </c>
      <c r="M799" t="str">
        <f>VLOOKUP(H799,CHOOSE({1,2},Table12[Native],Table12[Name]),2,0)</f>
        <v>Pú Xiàn</v>
      </c>
      <c r="N799" s="13" t="str">
        <f>VLOOKUP(I799,CHOOSE({1,2},Table12[Native],Table12[Name]),2,0)</f>
        <v>Línfén Shì</v>
      </c>
      <c r="O799" s="13" t="str">
        <f t="shared" si="24"/>
        <v>Pucheng Zhen (Línfén Shì)</v>
      </c>
      <c r="P799" s="13" t="str">
        <f t="shared" si="25"/>
        <v>Pucheng Zhen (Línfén Shì)</v>
      </c>
    </row>
    <row r="800" spans="1:16" hidden="1" x14ac:dyDescent="0.25">
      <c r="A800" t="s">
        <v>1596</v>
      </c>
      <c r="B800" t="str">
        <f>IF(COUNTIF(A:A,A800)&gt;1,_xlfn.CONCAT(A800," (",N800,")"),A800)</f>
        <v>Pŭmíng Zhèn</v>
      </c>
      <c r="C800" t="str">
        <f>IF(COUNTIF(B:B,B800)&gt;1,_xlfn.CONCAT(A800," (",M800,")"),B800)</f>
        <v>Pŭmíng Zhèn</v>
      </c>
      <c r="D800" t="s">
        <v>1597</v>
      </c>
      <c r="E800" t="s">
        <v>7</v>
      </c>
      <c r="F800" t="str">
        <f>_xlfn.CONCAT(D800,", ",H800,", ",I800,", ","山西省")</f>
        <v>普明镇, 岚县, 吕梁市, 山西省</v>
      </c>
      <c r="G800">
        <v>20875</v>
      </c>
      <c r="H800" t="s">
        <v>2951</v>
      </c>
      <c r="I800" t="s">
        <v>2946</v>
      </c>
      <c r="J800">
        <f>VLOOKUP(F800,[1]!china_towns_second__2[[Column1]:[Y]],3,FALSE)</f>
        <v>38.260195160370202</v>
      </c>
      <c r="K800">
        <f>VLOOKUP(F800,[1]!china_towns_second__2[[Column1]:[Y]],2,FALSE)</f>
        <v>111.5496771</v>
      </c>
      <c r="L800" t="s">
        <v>4376</v>
      </c>
      <c r="M800" t="str">
        <f>VLOOKUP(H800,CHOOSE({1,2},Table12[Native],Table12[Name]),2,0)</f>
        <v>Lán Xiàn</v>
      </c>
      <c r="N800" s="13" t="str">
        <f>VLOOKUP(I800,CHOOSE({1,2},Table12[Native],Table12[Name]),2,0)</f>
        <v>Lǚliáng Shì</v>
      </c>
      <c r="O800" s="13" t="str">
        <f t="shared" si="24"/>
        <v>Puming Zhen (Lǚliáng Shì)</v>
      </c>
      <c r="P800" s="13" t="str">
        <f t="shared" si="25"/>
        <v>Puming Zhen (Lǚliáng Shì)</v>
      </c>
    </row>
    <row r="801" spans="1:16" hidden="1" x14ac:dyDescent="0.25">
      <c r="A801" t="s">
        <v>2748</v>
      </c>
      <c r="B801" t="str">
        <f>IF(COUNTIF(A:A,A801)&gt;1,_xlfn.CONCAT(A801," (",N801,")"),A801)</f>
        <v>Púzhăng Xiāng</v>
      </c>
      <c r="C801" t="str">
        <f>IF(COUNTIF(B:B,B801)&gt;1,_xlfn.CONCAT(A801," (",M801,")"),B801)</f>
        <v>Púzhăng Xiāng</v>
      </c>
      <c r="D801" t="s">
        <v>2749</v>
      </c>
      <c r="E801" t="s">
        <v>17</v>
      </c>
      <c r="F801" t="str">
        <f>_xlfn.CONCAT(D801,", ",H801,", ",I801,", ","山西省")</f>
        <v>蒲掌乡, 垣曲县, 运城市, 山西省</v>
      </c>
      <c r="G801">
        <v>16699</v>
      </c>
      <c r="H801" t="s">
        <v>3016</v>
      </c>
      <c r="I801" t="s">
        <v>3003</v>
      </c>
      <c r="J801" t="e">
        <f>VLOOKUP(F801,[1]!china_towns_second__2[[Column1]:[Y]],3,FALSE)</f>
        <v>#N/A</v>
      </c>
      <c r="K801" t="e">
        <f>VLOOKUP(F801,[1]!china_towns_second__2[[Column1]:[Y]],2,FALSE)</f>
        <v>#N/A</v>
      </c>
      <c r="L801" t="s">
        <v>4377</v>
      </c>
      <c r="M801" t="str">
        <f>VLOOKUP(H801,CHOOSE({1,2},Table12[Native],Table12[Name]),2,0)</f>
        <v>Yuánqŭ Xiàn</v>
      </c>
      <c r="N801" s="13" t="str">
        <f>VLOOKUP(I801,CHOOSE({1,2},Table12[Native],Table12[Name]),2,0)</f>
        <v>Yùnchéng Shì</v>
      </c>
      <c r="O801" s="13" t="str">
        <f t="shared" si="24"/>
        <v>Puzhang Xiang (Yùnchéng Shì)</v>
      </c>
      <c r="P801" s="13" t="str">
        <f t="shared" si="25"/>
        <v>Puzhang Xiang (Yùnchéng Shì)</v>
      </c>
    </row>
    <row r="802" spans="1:16" hidden="1" x14ac:dyDescent="0.25">
      <c r="A802" t="s">
        <v>2750</v>
      </c>
      <c r="B802" t="str">
        <f>IF(COUNTIF(A:A,A802)&gt;1,_xlfn.CONCAT(A802," (",N802,")"),A802)</f>
        <v>Púzhōu Zhèn</v>
      </c>
      <c r="C802" t="str">
        <f>IF(COUNTIF(B:B,B802)&gt;1,_xlfn.CONCAT(A802," (",M802,")"),B802)</f>
        <v>Púzhōu Zhèn</v>
      </c>
      <c r="D802" t="s">
        <v>2751</v>
      </c>
      <c r="E802" t="s">
        <v>7</v>
      </c>
      <c r="F802" t="str">
        <f>_xlfn.CONCAT(D802,", ",H802,", ",I802,", ","山西省")</f>
        <v>蒲州镇, 永济市, 运城市, 山西省</v>
      </c>
      <c r="G802">
        <v>40817</v>
      </c>
      <c r="H802" t="s">
        <v>3015</v>
      </c>
      <c r="I802" t="s">
        <v>3003</v>
      </c>
      <c r="J802">
        <f>VLOOKUP(F802,[1]!china_towns_second__2[[Column1]:[Y]],3,FALSE)</f>
        <v>34.8578567254403</v>
      </c>
      <c r="K802">
        <f>VLOOKUP(F802,[1]!china_towns_second__2[[Column1]:[Y]],2,FALSE)</f>
        <v>110.3076512</v>
      </c>
      <c r="L802" t="s">
        <v>4378</v>
      </c>
      <c r="M802" t="str">
        <f>VLOOKUP(H802,CHOOSE({1,2},Table12[Native],Table12[Name]),2,0)</f>
        <v>Yŏngjì Shì</v>
      </c>
      <c r="N802" s="13" t="str">
        <f>VLOOKUP(I802,CHOOSE({1,2},Table12[Native],Table12[Name]),2,0)</f>
        <v>Yùnchéng Shì</v>
      </c>
      <c r="O802" s="13" t="str">
        <f t="shared" si="24"/>
        <v>Puzhou Zhen (Yùnchéng Shì)</v>
      </c>
      <c r="P802" s="13" t="str">
        <f t="shared" si="25"/>
        <v>Puzhou Zhen (Yùnchéng Shì)</v>
      </c>
    </row>
    <row r="803" spans="1:16" hidden="1" x14ac:dyDescent="0.25">
      <c r="A803" t="s">
        <v>2304</v>
      </c>
      <c r="B803" t="str">
        <f>IF(COUNTIF(A:A,A803)&gt;1,_xlfn.CONCAT(A803," (",N803,")"),A803)</f>
        <v>Qiánchuān Xiāng</v>
      </c>
      <c r="C803" t="str">
        <f>IF(COUNTIF(B:B,B803)&gt;1,_xlfn.CONCAT(A803," (",M803,")"),B803)</f>
        <v>Qiánchuān Xiāng</v>
      </c>
      <c r="D803" t="s">
        <v>2305</v>
      </c>
      <c r="E803" t="s">
        <v>17</v>
      </c>
      <c r="F803" t="str">
        <f>_xlfn.CONCAT(D803,", ",H803,", ",I803,", ","山西省")</f>
        <v>前川乡, 河曲县, 忻州市, 山西省</v>
      </c>
      <c r="G803">
        <v>3173</v>
      </c>
      <c r="H803" t="s">
        <v>2986</v>
      </c>
      <c r="I803" t="s">
        <v>2981</v>
      </c>
      <c r="J803" t="e">
        <f>VLOOKUP(F803,[1]!china_towns_second__2[[Column1]:[Y]],3,FALSE)</f>
        <v>#N/A</v>
      </c>
      <c r="K803" t="e">
        <f>VLOOKUP(F803,[1]!china_towns_second__2[[Column1]:[Y]],2,FALSE)</f>
        <v>#N/A</v>
      </c>
      <c r="L803" t="s">
        <v>4379</v>
      </c>
      <c r="M803" t="str">
        <f>VLOOKUP(H803,CHOOSE({1,2},Table12[Native],Table12[Name]),2,0)</f>
        <v>Héqŭ Xiàn</v>
      </c>
      <c r="N803" s="13" t="str">
        <f>VLOOKUP(I803,CHOOSE({1,2},Table12[Native],Table12[Name]),2,0)</f>
        <v>Xīnzhōu Shì</v>
      </c>
      <c r="O803" s="13" t="str">
        <f t="shared" si="24"/>
        <v>Qianchuan Xiang (Xīnzhōu Shì)</v>
      </c>
      <c r="P803" s="13" t="str">
        <f t="shared" si="25"/>
        <v>Qianchuan Xiang (Xīnzhōu Shì)</v>
      </c>
    </row>
    <row r="804" spans="1:16" hidden="1" x14ac:dyDescent="0.25">
      <c r="A804" t="s">
        <v>2012</v>
      </c>
      <c r="B804" t="str">
        <f>IF(COUNTIF(A:A,A804)&gt;1,_xlfn.CONCAT(A804," (",N804,")"),A804)</f>
        <v>Qiānfēng Jiēdào</v>
      </c>
      <c r="C804" t="str">
        <f>IF(COUNTIF(B:B,B804)&gt;1,_xlfn.CONCAT(A804," (",M804,")"),B804)</f>
        <v>Qiānfēng Jiēdào</v>
      </c>
      <c r="D804" t="s">
        <v>2013</v>
      </c>
      <c r="E804" t="s">
        <v>31</v>
      </c>
      <c r="F804" t="str">
        <f>_xlfn.CONCAT(D804,", ",H804,", ",I804,", ","山西省")</f>
        <v>千峰街道, 万柏林区, 太原市, 山西省</v>
      </c>
      <c r="G804">
        <v>58727</v>
      </c>
      <c r="H804" t="s">
        <v>2975</v>
      </c>
      <c r="I804" t="s">
        <v>2969</v>
      </c>
      <c r="J804">
        <f>VLOOKUP(F804,[1]!china_towns_second__2[[Column1]:[Y]],3,FALSE)</f>
        <v>37.860233526382402</v>
      </c>
      <c r="K804">
        <f>VLOOKUP(F804,[1]!china_towns_second__2[[Column1]:[Y]],2,FALSE)</f>
        <v>112.5160606</v>
      </c>
      <c r="L804" t="s">
        <v>4380</v>
      </c>
      <c r="M804" t="str">
        <f>VLOOKUP(H804,CHOOSE({1,2},Table12[Native],Table12[Name]),2,0)</f>
        <v>Wànbǎilín Qū</v>
      </c>
      <c r="N804" s="13" t="str">
        <f>VLOOKUP(I804,CHOOSE({1,2},Table12[Native],Table12[Name]),2,0)</f>
        <v>Tàiyuán Shì</v>
      </c>
      <c r="O804" s="13" t="str">
        <f t="shared" si="24"/>
        <v>Qianfeng Jiedao (Tàiyuán Shì)</v>
      </c>
      <c r="P804" s="13" t="str">
        <f t="shared" si="25"/>
        <v>Qianfeng Jiedao (Tàiyuán Shì)</v>
      </c>
    </row>
    <row r="805" spans="1:16" hidden="1" x14ac:dyDescent="0.25">
      <c r="A805" t="s">
        <v>479</v>
      </c>
      <c r="B805" t="str">
        <f>IF(COUNTIF(A:A,A805)&gt;1,_xlfn.CONCAT(A805," (",N805,")"),A805)</f>
        <v>Qiānfólĭng Xiāng</v>
      </c>
      <c r="C805" t="str">
        <f>IF(COUNTIF(B:B,B805)&gt;1,_xlfn.CONCAT(A805," (",M805,")"),B805)</f>
        <v>Qiānfólĭng Xiāng</v>
      </c>
      <c r="D805" t="s">
        <v>480</v>
      </c>
      <c r="E805" t="s">
        <v>17</v>
      </c>
      <c r="F805" t="str">
        <f>_xlfn.CONCAT(D805,", ",H805,", ",I805,", ","山西省")</f>
        <v>千佛岭乡, 浑源县, 大同市, 山西省</v>
      </c>
      <c r="G805">
        <v>16614</v>
      </c>
      <c r="H805" t="s">
        <v>2896</v>
      </c>
      <c r="I805" t="s">
        <v>2894</v>
      </c>
      <c r="J805" t="e">
        <f>VLOOKUP(F805,[1]!china_towns_second__2[[Column1]:[Y]],3,FALSE)</f>
        <v>#N/A</v>
      </c>
      <c r="K805" t="e">
        <f>VLOOKUP(F805,[1]!china_towns_second__2[[Column1]:[Y]],2,FALSE)</f>
        <v>#N/A</v>
      </c>
      <c r="L805" t="s">
        <v>4381</v>
      </c>
      <c r="M805" t="str">
        <f>VLOOKUP(H805,CHOOSE({1,2},Table12[Native],Table12[Name]),2,0)</f>
        <v>Húnyuán Xiàn</v>
      </c>
      <c r="N805" s="13" t="str">
        <f>VLOOKUP(I805,CHOOSE({1,2},Table12[Native],Table12[Name]),2,0)</f>
        <v>Dàtóng Shì</v>
      </c>
      <c r="O805" s="13" t="str">
        <f t="shared" si="24"/>
        <v>Qianfoling Xiang (Dàtóng Shì)</v>
      </c>
      <c r="P805" s="13" t="str">
        <f t="shared" si="25"/>
        <v>Qianfoling Xiang (Dàtóng Shì)</v>
      </c>
    </row>
    <row r="806" spans="1:16" hidden="1" x14ac:dyDescent="0.25">
      <c r="A806" t="s">
        <v>2306</v>
      </c>
      <c r="B806" t="str">
        <f>IF(COUNTIF(A:A,A806)&gt;1,_xlfn.CONCAT(A806," (",N806,")"),A806)</f>
        <v>Qiánsuŏ Xiāng</v>
      </c>
      <c r="C806" t="str">
        <f>IF(COUNTIF(B:B,B806)&gt;1,_xlfn.CONCAT(A806," (",M806,")"),B806)</f>
        <v>Qiánsuŏ Xiāng</v>
      </c>
      <c r="D806" t="s">
        <v>2307</v>
      </c>
      <c r="E806" t="s">
        <v>17</v>
      </c>
      <c r="F806" t="str">
        <f>_xlfn.CONCAT(D806,", ",H806,", ",I806,", ","山西省")</f>
        <v>前所乡, 五寨县, 忻州市, 山西省</v>
      </c>
      <c r="G806">
        <v>10362</v>
      </c>
      <c r="H806" t="s">
        <v>2993</v>
      </c>
      <c r="I806" t="s">
        <v>2981</v>
      </c>
      <c r="J806" t="e">
        <f>VLOOKUP(F806,[1]!china_towns_second__2[[Column1]:[Y]],3,FALSE)</f>
        <v>#N/A</v>
      </c>
      <c r="K806" t="e">
        <f>VLOOKUP(F806,[1]!china_towns_second__2[[Column1]:[Y]],2,FALSE)</f>
        <v>#N/A</v>
      </c>
      <c r="L806" t="s">
        <v>4382</v>
      </c>
      <c r="M806" t="str">
        <f>VLOOKUP(H806,CHOOSE({1,2},Table12[Native],Table12[Name]),2,0)</f>
        <v>Wŭzhài Xiàn</v>
      </c>
      <c r="N806" s="13" t="str">
        <f>VLOOKUP(I806,CHOOSE({1,2},Table12[Native],Table12[Name]),2,0)</f>
        <v>Xīnzhōu Shì</v>
      </c>
      <c r="O806" s="13" t="str">
        <f t="shared" si="24"/>
        <v>Qiansuo Xiang (Xīnzhōu Shì)</v>
      </c>
      <c r="P806" s="13" t="str">
        <f t="shared" si="25"/>
        <v>Qiansuo Xiang (Xīnzhōu Shì)</v>
      </c>
    </row>
    <row r="807" spans="1:16" hidden="1" x14ac:dyDescent="0.25">
      <c r="A807" t="s">
        <v>2014</v>
      </c>
      <c r="B807" t="str">
        <f>IF(COUNTIF(A:A,A807)&gt;1,_xlfn.CONCAT(A807," (",N807,")"),A807)</f>
        <v>Qiáodōng Jiēdào</v>
      </c>
      <c r="C807" t="str">
        <f>IF(COUNTIF(B:B,B807)&gt;1,_xlfn.CONCAT(A807," (",M807,")"),B807)</f>
        <v>Qiáodōng Jiēdào</v>
      </c>
      <c r="D807" t="s">
        <v>2015</v>
      </c>
      <c r="E807" t="s">
        <v>31</v>
      </c>
      <c r="F807" t="str">
        <f>_xlfn.CONCAT(D807,", ",H807,", ",I807,", ","山西省")</f>
        <v>桥东街道, 迎泽区, 太原市, 山西省</v>
      </c>
      <c r="G807">
        <v>129422</v>
      </c>
      <c r="H807" t="s">
        <v>2979</v>
      </c>
      <c r="I807" t="s">
        <v>2969</v>
      </c>
      <c r="J807">
        <f>VLOOKUP(F807,[1]!china_towns_second__2[[Column1]:[Y]],3,FALSE)</f>
        <v>37.841873751259001</v>
      </c>
      <c r="K807">
        <f>VLOOKUP(F807,[1]!china_towns_second__2[[Column1]:[Y]],2,FALSE)</f>
        <v>112.577493</v>
      </c>
      <c r="L807" t="s">
        <v>4383</v>
      </c>
      <c r="M807" t="str">
        <f>VLOOKUP(H807,CHOOSE({1,2},Table12[Native],Table12[Name]),2,0)</f>
        <v>Yíngzé Qū</v>
      </c>
      <c r="N807" s="13" t="str">
        <f>VLOOKUP(I807,CHOOSE({1,2},Table12[Native],Table12[Name]),2,0)</f>
        <v>Tàiyuán Shì</v>
      </c>
      <c r="O807" s="13" t="str">
        <f t="shared" si="24"/>
        <v>Qiaodong Jiedao (Tàiyuán Shì)</v>
      </c>
      <c r="P807" s="13" t="str">
        <f t="shared" si="25"/>
        <v>Qiaodong Jiedao (Tàiyuán Shì)</v>
      </c>
    </row>
    <row r="808" spans="1:16" hidden="1" x14ac:dyDescent="0.25">
      <c r="A808" t="s">
        <v>1248</v>
      </c>
      <c r="B808" t="str">
        <f>IF(COUNTIF(A:A,A808)&gt;1,_xlfn.CONCAT(A808," (",N808,")"),A808)</f>
        <v>Qiáojiāwān Xiāng</v>
      </c>
      <c r="C808" t="str">
        <f>IF(COUNTIF(B:B,B808)&gt;1,_xlfn.CONCAT(A808," (",M808,")"),B808)</f>
        <v>Qiáojiāwān Xiāng</v>
      </c>
      <c r="D808" t="s">
        <v>1249</v>
      </c>
      <c r="E808" t="s">
        <v>17</v>
      </c>
      <c r="F808" t="str">
        <f>_xlfn.CONCAT(D808,", ",H808,", ",I808,", ","山西省")</f>
        <v>乔家湾乡, 蒲县, 临汾市, 山西省</v>
      </c>
      <c r="G808">
        <v>13398</v>
      </c>
      <c r="H808" t="s">
        <v>2937</v>
      </c>
      <c r="I808" t="s">
        <v>2927</v>
      </c>
      <c r="J808" t="e">
        <f>VLOOKUP(F808,[1]!china_towns_second__2[[Column1]:[Y]],3,FALSE)</f>
        <v>#N/A</v>
      </c>
      <c r="K808" t="e">
        <f>VLOOKUP(F808,[1]!china_towns_second__2[[Column1]:[Y]],2,FALSE)</f>
        <v>#N/A</v>
      </c>
      <c r="L808" t="s">
        <v>4384</v>
      </c>
      <c r="M808" t="str">
        <f>VLOOKUP(H808,CHOOSE({1,2},Table12[Native],Table12[Name]),2,0)</f>
        <v>Pú Xiàn</v>
      </c>
      <c r="N808" s="13" t="str">
        <f>VLOOKUP(I808,CHOOSE({1,2},Table12[Native],Table12[Name]),2,0)</f>
        <v>Línfén Shì</v>
      </c>
      <c r="O808" s="13" t="str">
        <f t="shared" si="24"/>
        <v>Qiaojiawan Xiang (Línfén Shì)</v>
      </c>
      <c r="P808" s="13" t="str">
        <f t="shared" si="25"/>
        <v>Qiaojiawan Xiang (Línfén Shì)</v>
      </c>
    </row>
    <row r="809" spans="1:16" hidden="1" x14ac:dyDescent="0.25">
      <c r="A809" t="s">
        <v>1250</v>
      </c>
      <c r="B809" t="str">
        <f>IF(COUNTIF(A:A,A809)&gt;1,_xlfn.CONCAT(A809," (",N809,")"),A809)</f>
        <v>Qiáolĭ Zhèn</v>
      </c>
      <c r="C809" t="str">
        <f>IF(COUNTIF(B:B,B809)&gt;1,_xlfn.CONCAT(A809," (",M809,")"),B809)</f>
        <v>Qiáolĭ Zhèn</v>
      </c>
      <c r="D809" t="s">
        <v>1251</v>
      </c>
      <c r="E809" t="s">
        <v>7</v>
      </c>
      <c r="F809" t="str">
        <f>_xlfn.CONCAT(D809,", ",H809,", ",I809,", ","山西省")</f>
        <v>乔李镇, 尧都区, 临汾市, 山西省</v>
      </c>
      <c r="G809">
        <v>18105</v>
      </c>
      <c r="H809" t="s">
        <v>2942</v>
      </c>
      <c r="I809" t="s">
        <v>2927</v>
      </c>
      <c r="J809">
        <f>VLOOKUP(F809,[1]!china_towns_second__2[[Column1]:[Y]],3,FALSE)</f>
        <v>36.131864509456598</v>
      </c>
      <c r="K809">
        <f>VLOOKUP(F809,[1]!china_towns_second__2[[Column1]:[Y]],2,FALSE)</f>
        <v>111.60391970000001</v>
      </c>
      <c r="L809" t="s">
        <v>4385</v>
      </c>
      <c r="M809" t="str">
        <f>VLOOKUP(H809,CHOOSE({1,2},Table12[Native],Table12[Name]),2,0)</f>
        <v>Yáodū Qū</v>
      </c>
      <c r="N809" s="13" t="str">
        <f>VLOOKUP(I809,CHOOSE({1,2},Table12[Native],Table12[Name]),2,0)</f>
        <v>Línfén Shì</v>
      </c>
      <c r="O809" s="13" t="str">
        <f t="shared" si="24"/>
        <v>Qiaoli Zhen (Línfén Shì)</v>
      </c>
      <c r="P809" s="13" t="str">
        <f t="shared" si="25"/>
        <v>Qiaoli Zhen (Línfén Shì)</v>
      </c>
    </row>
    <row r="810" spans="1:16" hidden="1" x14ac:dyDescent="0.25">
      <c r="A810" t="s">
        <v>1252</v>
      </c>
      <c r="B810" t="str">
        <f>IF(COUNTIF(A:A,A810)&gt;1,_xlfn.CONCAT(A810," (",N810,")"),A810)</f>
        <v>Qiáoshàng Zhèn</v>
      </c>
      <c r="C810" t="str">
        <f>IF(COUNTIF(B:B,B810)&gt;1,_xlfn.CONCAT(A810," (",M810,")"),B810)</f>
        <v>Qiáoshàng Zhèn</v>
      </c>
      <c r="D810" t="s">
        <v>1253</v>
      </c>
      <c r="E810" t="s">
        <v>7</v>
      </c>
      <c r="F810" t="str">
        <f>_xlfn.CONCAT(D810,", ",H810,", ",I810,", ","山西省")</f>
        <v>桥上镇, 翼城县, 临汾市, 山西省</v>
      </c>
      <c r="G810">
        <v>9712</v>
      </c>
      <c r="H810" t="s">
        <v>2943</v>
      </c>
      <c r="I810" t="s">
        <v>2927</v>
      </c>
      <c r="J810">
        <f>VLOOKUP(F810,[1]!china_towns_second__2[[Column1]:[Y]],3,FALSE)</f>
        <v>35.703011630709597</v>
      </c>
      <c r="K810">
        <f>VLOOKUP(F810,[1]!china_towns_second__2[[Column1]:[Y]],2,FALSE)</f>
        <v>111.9658091</v>
      </c>
      <c r="L810" t="s">
        <v>4386</v>
      </c>
      <c r="M810" t="str">
        <f>VLOOKUP(H810,CHOOSE({1,2},Table12[Native],Table12[Name]),2,0)</f>
        <v>Yìchéng Xiàn</v>
      </c>
      <c r="N810" s="13" t="str">
        <f>VLOOKUP(I810,CHOOSE({1,2},Table12[Native],Table12[Name]),2,0)</f>
        <v>Línfén Shì</v>
      </c>
      <c r="O810" s="13" t="str">
        <f t="shared" si="24"/>
        <v>Qiaoshang Zhen (Línfén Shì)</v>
      </c>
      <c r="P810" s="13" t="str">
        <f t="shared" si="25"/>
        <v>Qiaoshang Zhen (Línfén Shì)</v>
      </c>
    </row>
    <row r="811" spans="1:16" hidden="1" x14ac:dyDescent="0.25">
      <c r="A811" t="s">
        <v>201</v>
      </c>
      <c r="B811" t="str">
        <f>IF(COUNTIF(A:A,A811)&gt;1,_xlfn.CONCAT(A811," (",N811,")"),A811)</f>
        <v>Qiáoshàng Zhèn [Qiáoshàng Xiāng]</v>
      </c>
      <c r="C811" t="str">
        <f>IF(COUNTIF(B:B,B811)&gt;1,_xlfn.CONCAT(A811," (",M811,")"),B811)</f>
        <v>Qiáoshàng Zhèn [Qiáoshàng Xiāng]</v>
      </c>
      <c r="D811" t="s">
        <v>202</v>
      </c>
      <c r="E811" t="s">
        <v>7</v>
      </c>
      <c r="F811" t="str">
        <f>_xlfn.CONCAT(D811,", ",H811,", ",I811,", ","山西省")</f>
        <v>大峡谷镇, 壶关县, 长治市, 山西省</v>
      </c>
      <c r="G811">
        <v>8621</v>
      </c>
      <c r="H811" t="s">
        <v>2881</v>
      </c>
      <c r="I811" t="s">
        <v>2878</v>
      </c>
      <c r="J811">
        <f>VLOOKUP(F811,[1]!china_towns_second__2[[Column1]:[Y]],3,FALSE)</f>
        <v>35.930838487790602</v>
      </c>
      <c r="K811">
        <f>VLOOKUP(F811,[1]!china_towns_second__2[[Column1]:[Y]],2,FALSE)</f>
        <v>113.55106979999999</v>
      </c>
      <c r="L811" t="s">
        <v>4387</v>
      </c>
      <c r="M811" t="str">
        <f>VLOOKUP(H811,CHOOSE({1,2},Table12[Native],Table12[Name]),2,0)</f>
        <v>Húguān Xiàn</v>
      </c>
      <c r="N811" s="13" t="str">
        <f>VLOOKUP(I811,CHOOSE({1,2},Table12[Native],Table12[Name]),2,0)</f>
        <v>Chángzhì Shì</v>
      </c>
      <c r="O811" s="13" t="str">
        <f t="shared" si="24"/>
        <v>Qiaoshang Zhen [Qiaoshang Xiang] (Chángzhì Shì)</v>
      </c>
      <c r="P811" s="13" t="str">
        <f t="shared" si="25"/>
        <v>Qiaoshang Zhen [Qiaoshang Xiang] (Chángzhì Shì)</v>
      </c>
    </row>
    <row r="812" spans="1:16" hidden="1" x14ac:dyDescent="0.25">
      <c r="A812" t="s">
        <v>2538</v>
      </c>
      <c r="B812" t="str">
        <f>IF(COUNTIF(A:A,A812)&gt;1,_xlfn.CONCAT(A812," (",N812,")"),A812)</f>
        <v>Qiáotóu Jiēdào</v>
      </c>
      <c r="C812" t="str">
        <f>IF(COUNTIF(B:B,B812)&gt;1,_xlfn.CONCAT(A812," (",M812,")"),B812)</f>
        <v>Qiáotóu Jiēdào</v>
      </c>
      <c r="D812" t="s">
        <v>2539</v>
      </c>
      <c r="E812" t="s">
        <v>31</v>
      </c>
      <c r="F812" t="str">
        <f>_xlfn.CONCAT(D812,", ",H812,", ",I812,", ","山西省")</f>
        <v>桥头街道, 矿区, 阳泉市, 山西省</v>
      </c>
      <c r="G812">
        <v>43752</v>
      </c>
      <c r="H812" t="s">
        <v>2999</v>
      </c>
      <c r="I812" t="s">
        <v>2997</v>
      </c>
      <c r="J812" t="e">
        <f>VLOOKUP(F812,[1]!china_towns_second__2[[Column1]:[Y]],3,FALSE)</f>
        <v>#N/A</v>
      </c>
      <c r="K812" t="e">
        <f>VLOOKUP(F812,[1]!china_towns_second__2[[Column1]:[Y]],2,FALSE)</f>
        <v>#N/A</v>
      </c>
      <c r="L812" t="s">
        <v>4388</v>
      </c>
      <c r="M812" t="str">
        <f>VLOOKUP(H812,CHOOSE({1,2},Table12[Native],Table12[Name]),2,0)</f>
        <v>Kuàng Qū</v>
      </c>
      <c r="N812" s="13" t="str">
        <f>VLOOKUP(I812,CHOOSE({1,2},Table12[Native],Table12[Name]),2,0)</f>
        <v>Yángquán Shì</v>
      </c>
      <c r="O812" s="13" t="str">
        <f t="shared" si="24"/>
        <v>Qiaotou Jiedao (Yángquán Shì)</v>
      </c>
      <c r="P812" s="13" t="str">
        <f t="shared" si="25"/>
        <v>Qiaotou Jiedao (Yángquán Shì)</v>
      </c>
    </row>
    <row r="813" spans="1:16" hidden="1" x14ac:dyDescent="0.25">
      <c r="A813" t="s">
        <v>2308</v>
      </c>
      <c r="B813" t="str">
        <f>IF(COUNTIF(A:A,A813)&gt;1,_xlfn.CONCAT(A813," (",N813,")"),A813)</f>
        <v>Qiáotóu Zhèn</v>
      </c>
      <c r="C813" t="str">
        <f>IF(COUNTIF(B:B,B813)&gt;1,_xlfn.CONCAT(A813," (",M813,")"),B813)</f>
        <v>Qiáotóu Zhèn</v>
      </c>
      <c r="D813" t="s">
        <v>2309</v>
      </c>
      <c r="E813" t="s">
        <v>7</v>
      </c>
      <c r="F813" t="str">
        <f>_xlfn.CONCAT(D813,", ",H813,", ",I813,", ","山西省")</f>
        <v>桥头镇, 保德县, 忻州市, 山西省</v>
      </c>
      <c r="G813">
        <v>17083</v>
      </c>
      <c r="H813" t="s">
        <v>2982</v>
      </c>
      <c r="I813" t="s">
        <v>2981</v>
      </c>
      <c r="J813">
        <f>VLOOKUP(F813,[1]!china_towns_second__2[[Column1]:[Y]],3,FALSE)</f>
        <v>38.928472038709899</v>
      </c>
      <c r="K813">
        <f>VLOOKUP(F813,[1]!china_towns_second__2[[Column1]:[Y]],2,FALSE)</f>
        <v>111.1353763</v>
      </c>
      <c r="L813" t="s">
        <v>4389</v>
      </c>
      <c r="M813" t="str">
        <f>VLOOKUP(H813,CHOOSE({1,2},Table12[Native],Table12[Name]),2,0)</f>
        <v>Băodé Xiàn</v>
      </c>
      <c r="N813" s="13" t="str">
        <f>VLOOKUP(I813,CHOOSE({1,2},Table12[Native],Table12[Name]),2,0)</f>
        <v>Xīnzhōu Shì</v>
      </c>
      <c r="O813" s="13" t="str">
        <f t="shared" si="24"/>
        <v>Qiaotou Zhen (Xīnzhōu Shì)</v>
      </c>
      <c r="P813" s="13" t="str">
        <f t="shared" si="25"/>
        <v>Qiaotou Zhen (Xīnzhōu Shì)</v>
      </c>
    </row>
    <row r="814" spans="1:16" hidden="1" x14ac:dyDescent="0.25">
      <c r="A814" t="s">
        <v>2310</v>
      </c>
      <c r="B814" t="str">
        <f>IF(COUNTIF(A:A,A814)&gt;1,_xlfn.CONCAT(A814," (",N814,")"),A814)</f>
        <v>Qícūn Zhèn</v>
      </c>
      <c r="C814" t="str">
        <f>IF(COUNTIF(B:B,B814)&gt;1,_xlfn.CONCAT(A814," (",M814,")"),B814)</f>
        <v>Qícūn Zhèn</v>
      </c>
      <c r="D814" t="s">
        <v>2311</v>
      </c>
      <c r="E814" t="s">
        <v>7</v>
      </c>
      <c r="F814" t="str">
        <f>_xlfn.CONCAT(D814,", ",H814,", ",I814,", ","山西省")</f>
        <v>奇村镇, 忻府区, 忻州市, 山西省</v>
      </c>
      <c r="G814">
        <v>28318</v>
      </c>
      <c r="H814" t="s">
        <v>2994</v>
      </c>
      <c r="I814" t="s">
        <v>2981</v>
      </c>
      <c r="J814">
        <f>VLOOKUP(F814,[1]!china_towns_second__2[[Column1]:[Y]],3,FALSE)</f>
        <v>38.587055293674297</v>
      </c>
      <c r="K814">
        <f>VLOOKUP(F814,[1]!china_towns_second__2[[Column1]:[Y]],2,FALSE)</f>
        <v>112.56586110000001</v>
      </c>
      <c r="L814" t="s">
        <v>4390</v>
      </c>
      <c r="M814" t="str">
        <f>VLOOKUP(H814,CHOOSE({1,2},Table12[Native],Table12[Name]),2,0)</f>
        <v>Xīnfŭ Qū</v>
      </c>
      <c r="N814" s="13" t="str">
        <f>VLOOKUP(I814,CHOOSE({1,2},Table12[Native],Table12[Name]),2,0)</f>
        <v>Xīnzhōu Shì</v>
      </c>
      <c r="O814" s="13" t="str">
        <f t="shared" si="24"/>
        <v>Qicun Zhen (Xīnzhōu Shì)</v>
      </c>
      <c r="P814" s="13" t="str">
        <f t="shared" si="25"/>
        <v>Qicun Zhen (Xīnzhōu Shì)</v>
      </c>
    </row>
    <row r="815" spans="1:16" hidden="1" x14ac:dyDescent="0.25">
      <c r="A815" t="s">
        <v>2754</v>
      </c>
      <c r="B815" t="str">
        <f>IF(COUNTIF(A:A,A815)&gt;1,_xlfn.CONCAT(A815," (",N815,")"),A815)</f>
        <v>Qījí Zhèn</v>
      </c>
      <c r="C815" t="str">
        <f>IF(COUNTIF(B:B,B815)&gt;1,_xlfn.CONCAT(A815," (",M815,")"),B815)</f>
        <v>Qījí Zhèn</v>
      </c>
      <c r="D815" t="s">
        <v>2755</v>
      </c>
      <c r="E815" t="s">
        <v>7</v>
      </c>
      <c r="F815" t="str">
        <f>_xlfn.CONCAT(D815,", ",H815,", ",I815,", ","山西省")</f>
        <v>七级镇, 临猗县, 运城市, 山西省</v>
      </c>
      <c r="G815">
        <v>28865</v>
      </c>
      <c r="H815" t="s">
        <v>3007</v>
      </c>
      <c r="I815" t="s">
        <v>3003</v>
      </c>
      <c r="J815">
        <f>VLOOKUP(F815,[1]!china_towns_second__2[[Column1]:[Y]],3,FALSE)</f>
        <v>35.018642521367198</v>
      </c>
      <c r="K815">
        <f>VLOOKUP(F815,[1]!china_towns_second__2[[Column1]:[Y]],2,FALSE)</f>
        <v>110.5447525</v>
      </c>
      <c r="L815" t="s">
        <v>4391</v>
      </c>
      <c r="M815" t="str">
        <f>VLOOKUP(H815,CHOOSE({1,2},Table12[Native],Table12[Name]),2,0)</f>
        <v>Línyī Xiàn</v>
      </c>
      <c r="N815" s="13" t="str">
        <f>VLOOKUP(I815,CHOOSE({1,2},Table12[Native],Table12[Name]),2,0)</f>
        <v>Yùnchéng Shì</v>
      </c>
      <c r="O815" s="13" t="str">
        <f t="shared" si="24"/>
        <v>Qiji Zhen (Yùnchéng Shì)</v>
      </c>
      <c r="P815" s="13" t="str">
        <f t="shared" si="25"/>
        <v>Qiji Zhen (Yùnchéng Shì)</v>
      </c>
    </row>
    <row r="816" spans="1:16" hidden="1" x14ac:dyDescent="0.25">
      <c r="A816" t="s">
        <v>2752</v>
      </c>
      <c r="B816" t="str">
        <f>IF(COUNTIF(A:A,A816)&gt;1,_xlfn.CONCAT(A816," (",N816,")"),A816)</f>
        <v>Qíjiāhé Xiāng</v>
      </c>
      <c r="C816" t="str">
        <f>IF(COUNTIF(B:B,B816)&gt;1,_xlfn.CONCAT(A816," (",M816,")"),B816)</f>
        <v>Qíjiāhé Xiāng</v>
      </c>
      <c r="D816" t="s">
        <v>2753</v>
      </c>
      <c r="E816" t="s">
        <v>17</v>
      </c>
      <c r="F816" t="str">
        <f>_xlfn.CONCAT(D816,", ",H816,", ",I816,", ","山西省")</f>
        <v>祁家河乡, 夏县, 运城市, 山西省</v>
      </c>
      <c r="G816">
        <v>9665</v>
      </c>
      <c r="H816" t="s">
        <v>3012</v>
      </c>
      <c r="I816" t="s">
        <v>3003</v>
      </c>
      <c r="J816" t="e">
        <f>VLOOKUP(F816,[1]!china_towns_second__2[[Column1]:[Y]],3,FALSE)</f>
        <v>#N/A</v>
      </c>
      <c r="K816" t="e">
        <f>VLOOKUP(F816,[1]!china_towns_second__2[[Column1]:[Y]],2,FALSE)</f>
        <v>#N/A</v>
      </c>
      <c r="L816" t="s">
        <v>4392</v>
      </c>
      <c r="M816" t="str">
        <f>VLOOKUP(H816,CHOOSE({1,2},Table12[Native],Table12[Name]),2,0)</f>
        <v>Xià Xiàn</v>
      </c>
      <c r="N816" s="13" t="str">
        <f>VLOOKUP(I816,CHOOSE({1,2},Table12[Native],Table12[Name]),2,0)</f>
        <v>Yùnchéng Shì</v>
      </c>
      <c r="O816" s="13" t="str">
        <f t="shared" si="24"/>
        <v>Qijiahe Xiang (Yùnchéng Shì)</v>
      </c>
      <c r="P816" s="13" t="str">
        <f t="shared" si="25"/>
        <v>Qijiahe Xiang (Yùnchéng Shì)</v>
      </c>
    </row>
    <row r="817" spans="1:16" hidden="1" x14ac:dyDescent="0.25">
      <c r="A817" t="s">
        <v>1598</v>
      </c>
      <c r="B817" t="str">
        <f>IF(COUNTIF(A:A,A817)&gt;1,_xlfn.CONCAT(A817," (",N817,")"),A817)</f>
        <v>Qìkŏu Zhèn</v>
      </c>
      <c r="C817" t="str">
        <f>IF(COUNTIF(B:B,B817)&gt;1,_xlfn.CONCAT(A817," (",M817,")"),B817)</f>
        <v>Qìkŏu Zhèn</v>
      </c>
      <c r="D817" t="s">
        <v>1599</v>
      </c>
      <c r="E817" t="s">
        <v>7</v>
      </c>
      <c r="F817" t="str">
        <f>_xlfn.CONCAT(D817,", ",H817,", ",I817,", ","山西省")</f>
        <v>碛口镇, 临县, 吕梁市, 山西省</v>
      </c>
      <c r="G817">
        <v>30009</v>
      </c>
      <c r="H817" t="s">
        <v>2952</v>
      </c>
      <c r="I817" t="s">
        <v>2946</v>
      </c>
      <c r="J817">
        <f>VLOOKUP(F817,[1]!china_towns_second__2[[Column1]:[Y]],3,FALSE)</f>
        <v>37.671101043657799</v>
      </c>
      <c r="K817">
        <f>VLOOKUP(F817,[1]!china_towns_second__2[[Column1]:[Y]],2,FALSE)</f>
        <v>110.7916939</v>
      </c>
      <c r="L817" t="s">
        <v>4393</v>
      </c>
      <c r="M817" t="str">
        <f>VLOOKUP(H817,CHOOSE({1,2},Table12[Native],Table12[Name]),2,0)</f>
        <v>Lín Xiàn</v>
      </c>
      <c r="N817" s="13" t="str">
        <f>VLOOKUP(I817,CHOOSE({1,2},Table12[Native],Table12[Name]),2,0)</f>
        <v>Lǚliáng Shì</v>
      </c>
      <c r="O817" s="13" t="str">
        <f t="shared" si="24"/>
        <v>Qikou Zhen (Lǚliáng Shì)</v>
      </c>
      <c r="P817" s="13" t="str">
        <f t="shared" si="25"/>
        <v>Qikou Zhen (Lǚliáng Shì)</v>
      </c>
    </row>
    <row r="818" spans="1:16" hidden="1" x14ac:dyDescent="0.25">
      <c r="A818" t="s">
        <v>727</v>
      </c>
      <c r="B818" t="str">
        <f>IF(COUNTIF(A:A,A818)&gt;1,_xlfn.CONCAT(A818," (",N818,")"),A818)</f>
        <v>Qínchí Zhèn</v>
      </c>
      <c r="C818" t="str">
        <f>IF(COUNTIF(B:B,B818)&gt;1,_xlfn.CONCAT(A818," (",M818,")"),B818)</f>
        <v>Qínchí Zhèn</v>
      </c>
      <c r="D818" t="s">
        <v>728</v>
      </c>
      <c r="E818" t="s">
        <v>7</v>
      </c>
      <c r="F818" t="str">
        <f>_xlfn.CONCAT(D818,", ",H818,", ",I818,", ","山西省")</f>
        <v>芹池镇, 阳城县, 晋城市, 山西省</v>
      </c>
      <c r="G818">
        <v>15502</v>
      </c>
      <c r="H818" t="s">
        <v>2911</v>
      </c>
      <c r="I818" t="s">
        <v>2906</v>
      </c>
      <c r="J818">
        <f>VLOOKUP(F818,[1]!china_towns_second__2[[Column1]:[Y]],3,FALSE)</f>
        <v>35.613314774476301</v>
      </c>
      <c r="K818">
        <f>VLOOKUP(F818,[1]!china_towns_second__2[[Column1]:[Y]],2,FALSE)</f>
        <v>112.2781303</v>
      </c>
      <c r="L818" t="s">
        <v>4394</v>
      </c>
      <c r="M818" t="str">
        <f>VLOOKUP(H818,CHOOSE({1,2},Table12[Native],Table12[Name]),2,0)</f>
        <v>Yángchéng Xiàn</v>
      </c>
      <c r="N818" s="13" t="str">
        <f>VLOOKUP(I818,CHOOSE({1,2},Table12[Native],Table12[Name]),2,0)</f>
        <v>Jìnchéng Shì</v>
      </c>
      <c r="O818" s="13" t="str">
        <f t="shared" si="24"/>
        <v>Qinchi Zhen (Jìnchéng Shì)</v>
      </c>
      <c r="P818" s="13" t="str">
        <f t="shared" si="25"/>
        <v>Qinchi Zhen (Jìnchéng Shì)</v>
      </c>
    </row>
    <row r="819" spans="1:16" hidden="1" x14ac:dyDescent="0.25">
      <c r="A819" t="s">
        <v>952</v>
      </c>
      <c r="B819" t="str">
        <f>IF(COUNTIF(A:A,A819)&gt;1,_xlfn.CONCAT(A819," (",N819,")"),A819)</f>
        <v>Qīngchéng Zhèn</v>
      </c>
      <c r="C819" t="str">
        <f>IF(COUNTIF(B:B,B819)&gt;1,_xlfn.CONCAT(A819," (",M819,")"),B819)</f>
        <v>Qīngchéng Zhèn</v>
      </c>
      <c r="D819" t="s">
        <v>953</v>
      </c>
      <c r="E819" t="s">
        <v>7</v>
      </c>
      <c r="F819" t="str">
        <f>_xlfn.CONCAT(D819,", ",H819,", ",I819,", ","山西省")</f>
        <v>青城镇, 和顺县, 晋中市, 山西省</v>
      </c>
      <c r="G819">
        <v>7546</v>
      </c>
      <c r="H819" t="s">
        <v>2915</v>
      </c>
      <c r="I819" t="s">
        <v>2914</v>
      </c>
      <c r="J819">
        <f>VLOOKUP(F819,[1]!china_towns_second__2[[Column1]:[Y]],3,FALSE)</f>
        <v>37.293783800083503</v>
      </c>
      <c r="K819">
        <f>VLOOKUP(F819,[1]!china_towns_second__2[[Column1]:[Y]],2,FALSE)</f>
        <v>113.8249261</v>
      </c>
      <c r="L819" t="s">
        <v>4395</v>
      </c>
      <c r="M819" t="str">
        <f>VLOOKUP(H819,CHOOSE({1,2},Table12[Native],Table12[Name]),2,0)</f>
        <v>Héshùn Xiàn</v>
      </c>
      <c r="N819" s="13" t="str">
        <f>VLOOKUP(I819,CHOOSE({1,2},Table12[Native],Table12[Name]),2,0)</f>
        <v>Jìnzhōng Shì</v>
      </c>
      <c r="O819" s="13" t="str">
        <f t="shared" si="24"/>
        <v>Qingcheng Zhen (Jìnzhōng Shì)</v>
      </c>
      <c r="P819" s="13" t="str">
        <f t="shared" si="25"/>
        <v>Qingcheng Zhen (Jìnzhōng Shì)</v>
      </c>
    </row>
    <row r="820" spans="1:16" hidden="1" x14ac:dyDescent="0.25">
      <c r="A820" t="s">
        <v>481</v>
      </c>
      <c r="B820" t="str">
        <f>IF(COUNTIF(A:A,A820)&gt;1,_xlfn.CONCAT(A820," (",N820,")"),A820)</f>
        <v>Qīngcíyáo Jiēdào</v>
      </c>
      <c r="C820" t="str">
        <f>IF(COUNTIF(B:B,B820)&gt;1,_xlfn.CONCAT(A820," (",M820,")"),B820)</f>
        <v>Qīngcíyáo Jiēdào</v>
      </c>
      <c r="D820" t="s">
        <v>482</v>
      </c>
      <c r="E820" t="s">
        <v>31</v>
      </c>
      <c r="F820" t="str">
        <f>_xlfn.CONCAT(D820,", ",H820,", ",I820,", ","山西省")</f>
        <v>青磁窑街道, 云冈区, 大同市, 山西省</v>
      </c>
      <c r="G820">
        <v>7577</v>
      </c>
      <c r="H820" t="s">
        <v>2902</v>
      </c>
      <c r="I820" t="s">
        <v>2894</v>
      </c>
      <c r="J820" t="e">
        <f>VLOOKUP(F820,[1]!china_towns_second__2[[Column1]:[Y]],3,FALSE)</f>
        <v>#N/A</v>
      </c>
      <c r="K820" t="e">
        <f>VLOOKUP(F820,[1]!china_towns_second__2[[Column1]:[Y]],2,FALSE)</f>
        <v>#N/A</v>
      </c>
      <c r="L820" t="s">
        <v>4396</v>
      </c>
      <c r="M820" t="str">
        <f>VLOOKUP(H820,CHOOSE({1,2},Table12[Native],Table12[Name]),2,0)</f>
        <v>Yúngāng Qū</v>
      </c>
      <c r="N820" s="13" t="str">
        <f>VLOOKUP(I820,CHOOSE({1,2},Table12[Native],Table12[Name]),2,0)</f>
        <v>Dàtóng Shì</v>
      </c>
      <c r="O820" s="13" t="str">
        <f t="shared" si="24"/>
        <v>Qingciyao Jiedao (Dàtóng Shì)</v>
      </c>
      <c r="P820" s="13" t="str">
        <f t="shared" si="25"/>
        <v>Qingciyao Jiedao (Dàtóng Shì)</v>
      </c>
    </row>
    <row r="821" spans="1:16" hidden="1" x14ac:dyDescent="0.25">
      <c r="A821" t="s">
        <v>483</v>
      </c>
      <c r="B821" t="str">
        <f>IF(COUNTIF(A:A,A821)&gt;1,_xlfn.CONCAT(A821," (",N821,")"),A821)</f>
        <v>Qīngcíyáo Xiāng</v>
      </c>
      <c r="C821" t="str">
        <f>IF(COUNTIF(B:B,B821)&gt;1,_xlfn.CONCAT(A821," (",M821,")"),B821)</f>
        <v>Qīngcíyáo Xiāng</v>
      </c>
      <c r="D821" t="s">
        <v>484</v>
      </c>
      <c r="E821" t="s">
        <v>17</v>
      </c>
      <c r="F821" t="str">
        <f>_xlfn.CONCAT(D821,", ",H821,", ",I821,", ","山西省")</f>
        <v>青磁窑乡, 浑源县, 大同市, 山西省</v>
      </c>
      <c r="G821">
        <v>9798</v>
      </c>
      <c r="H821" t="s">
        <v>2896</v>
      </c>
      <c r="I821" t="s">
        <v>2894</v>
      </c>
      <c r="J821" t="e">
        <f>VLOOKUP(F821,[1]!china_towns_second__2[[Column1]:[Y]],3,FALSE)</f>
        <v>#N/A</v>
      </c>
      <c r="K821" t="e">
        <f>VLOOKUP(F821,[1]!china_towns_second__2[[Column1]:[Y]],2,FALSE)</f>
        <v>#N/A</v>
      </c>
      <c r="L821" t="s">
        <v>4397</v>
      </c>
      <c r="M821" t="str">
        <f>VLOOKUP(H821,CHOOSE({1,2},Table12[Native],Table12[Name]),2,0)</f>
        <v>Húnyuán Xiàn</v>
      </c>
      <c r="N821" s="13" t="str">
        <f>VLOOKUP(I821,CHOOSE({1,2},Table12[Native],Table12[Name]),2,0)</f>
        <v>Dàtóng Shì</v>
      </c>
      <c r="O821" s="13" t="str">
        <f t="shared" si="24"/>
        <v>Qingciyao Xiang (Dàtóng Shì)</v>
      </c>
      <c r="P821" s="13" t="str">
        <f t="shared" si="25"/>
        <v>Qingciyao Xiang (Dàtóng Shì)</v>
      </c>
    </row>
    <row r="822" spans="1:16" hidden="1" x14ac:dyDescent="0.25">
      <c r="A822" t="s">
        <v>2756</v>
      </c>
      <c r="B822" t="str">
        <f>IF(COUNTIF(A:A,A822)&gt;1,_xlfn.CONCAT(A822," (",N822,")"),A822)</f>
        <v>Qīnghé Zhèn</v>
      </c>
      <c r="C822" t="str">
        <f>IF(COUNTIF(B:B,B822)&gt;1,_xlfn.CONCAT(A822," (",M822,")"),B822)</f>
        <v>Qīnghé Zhèn</v>
      </c>
      <c r="D822" t="s">
        <v>2757</v>
      </c>
      <c r="E822" t="s">
        <v>7</v>
      </c>
      <c r="F822" t="str">
        <f>_xlfn.CONCAT(D822,", ",H822,", ",I822,", ","山西省")</f>
        <v>清河镇, 稷山县, 运城市, 山西省</v>
      </c>
      <c r="G822">
        <v>30151</v>
      </c>
      <c r="H822" t="s">
        <v>3006</v>
      </c>
      <c r="I822" t="s">
        <v>3003</v>
      </c>
      <c r="J822">
        <f>VLOOKUP(F822,[1]!china_towns_second__2[[Column1]:[Y]],3,FALSE)</f>
        <v>35.542543881211202</v>
      </c>
      <c r="K822">
        <f>VLOOKUP(F822,[1]!china_towns_second__2[[Column1]:[Y]],2,FALSE)</f>
        <v>111.02594000000001</v>
      </c>
      <c r="L822" t="s">
        <v>4398</v>
      </c>
      <c r="M822" t="str">
        <f>VLOOKUP(H822,CHOOSE({1,2},Table12[Native],Table12[Name]),2,0)</f>
        <v>Jìshān Xiàn</v>
      </c>
      <c r="N822" s="13" t="str">
        <f>VLOOKUP(I822,CHOOSE({1,2},Table12[Native],Table12[Name]),2,0)</f>
        <v>Yùnchéng Shì</v>
      </c>
      <c r="O822" s="13" t="str">
        <f t="shared" si="24"/>
        <v>Qinghe Zhen (Yùnchéng Shì)</v>
      </c>
      <c r="P822" s="13" t="str">
        <f t="shared" si="25"/>
        <v>Qinghe Zhen (Yùnchéng Shì)</v>
      </c>
    </row>
    <row r="823" spans="1:16" hidden="1" x14ac:dyDescent="0.25">
      <c r="A823" t="s">
        <v>2758</v>
      </c>
      <c r="B823" t="str">
        <f>IF(COUNTIF(A:A,A823)&gt;1,_xlfn.CONCAT(A823," (",N823,")"),A823)</f>
        <v>Qīngjiàn Jiēdào</v>
      </c>
      <c r="C823" t="str">
        <f>IF(COUNTIF(B:B,B823)&gt;1,_xlfn.CONCAT(A823," (",M823,")"),B823)</f>
        <v>Qīngjiàn Jiēdào</v>
      </c>
      <c r="D823" t="s">
        <v>2759</v>
      </c>
      <c r="E823" t="s">
        <v>31</v>
      </c>
      <c r="F823" t="str">
        <f>_xlfn.CONCAT(D823,", ",H823,", ",I823,", ","山西省")</f>
        <v>清涧街道, 河津市, 运城市, 山西省</v>
      </c>
      <c r="G823">
        <v>28010</v>
      </c>
      <c r="H823" t="s">
        <v>3004</v>
      </c>
      <c r="I823" t="s">
        <v>3003</v>
      </c>
      <c r="J823">
        <f>VLOOKUP(F823,[1]!china_towns_second__2[[Column1]:[Y]],3,FALSE)</f>
        <v>35.660036879211802</v>
      </c>
      <c r="K823">
        <f>VLOOKUP(F823,[1]!china_towns_second__2[[Column1]:[Y]],2,FALSE)</f>
        <v>110.6490211</v>
      </c>
      <c r="L823" t="s">
        <v>4399</v>
      </c>
      <c r="M823" t="str">
        <f>VLOOKUP(H823,CHOOSE({1,2},Table12[Native],Table12[Name]),2,0)</f>
        <v>Héjīn Shì</v>
      </c>
      <c r="N823" s="13" t="str">
        <f>VLOOKUP(I823,CHOOSE({1,2},Table12[Native],Table12[Name]),2,0)</f>
        <v>Yùnchéng Shì</v>
      </c>
      <c r="O823" s="13" t="str">
        <f t="shared" si="24"/>
        <v>Qingjian Jiedao (Yùnchéng Shì)</v>
      </c>
      <c r="P823" s="13" t="str">
        <f t="shared" si="25"/>
        <v>Qingjian Jiedao (Yùnchéng Shì)</v>
      </c>
    </row>
    <row r="824" spans="1:16" hidden="1" x14ac:dyDescent="0.25">
      <c r="A824" t="s">
        <v>1600</v>
      </c>
      <c r="B824" t="str">
        <f>IF(COUNTIF(A:A,A824)&gt;1,_xlfn.CONCAT(A824," (",N824,")"),A824)</f>
        <v>Qīngliángsì Xiāng</v>
      </c>
      <c r="C824" t="str">
        <f>IF(COUNTIF(B:B,B824)&gt;1,_xlfn.CONCAT(A824," (",M824,")"),B824)</f>
        <v>Qīngliángsì Xiāng</v>
      </c>
      <c r="D824" t="s">
        <v>1601</v>
      </c>
      <c r="E824" t="s">
        <v>17</v>
      </c>
      <c r="F824" t="str">
        <f>_xlfn.CONCAT(D824,", ",H824,", ",I824,", ","山西省")</f>
        <v>青凉寺乡, 临县, 吕梁市, 山西省</v>
      </c>
      <c r="G824">
        <v>15175</v>
      </c>
      <c r="H824" t="s">
        <v>2952</v>
      </c>
      <c r="I824" t="s">
        <v>2946</v>
      </c>
      <c r="J824" t="e">
        <f>VLOOKUP(F824,[1]!china_towns_second__2[[Column1]:[Y]],3,FALSE)</f>
        <v>#N/A</v>
      </c>
      <c r="K824" t="e">
        <f>VLOOKUP(F824,[1]!china_towns_second__2[[Column1]:[Y]],2,FALSE)</f>
        <v>#N/A</v>
      </c>
      <c r="L824" t="s">
        <v>4400</v>
      </c>
      <c r="M824" t="str">
        <f>VLOOKUP(H824,CHOOSE({1,2},Table12[Native],Table12[Name]),2,0)</f>
        <v>Lín Xiàn</v>
      </c>
      <c r="N824" s="13" t="str">
        <f>VLOOKUP(I824,CHOOSE({1,2},Table12[Native],Table12[Name]),2,0)</f>
        <v>Lǚliáng Shì</v>
      </c>
      <c r="O824" s="13" t="str">
        <f t="shared" si="24"/>
        <v>Qingliangsi Xiang (Lǚliáng Shì)</v>
      </c>
      <c r="P824" s="13" t="str">
        <f t="shared" si="25"/>
        <v>Qingliangsi Xiang (Lǚliáng Shì)</v>
      </c>
    </row>
    <row r="825" spans="1:16" hidden="1" x14ac:dyDescent="0.25">
      <c r="A825" t="s">
        <v>2760</v>
      </c>
      <c r="B825" t="str">
        <f>IF(COUNTIF(A:A,A825)&gt;1,_xlfn.CONCAT(A825," (",N825,")"),A825)</f>
        <v>Qīngtóu Zhèn</v>
      </c>
      <c r="C825" t="str">
        <f>IF(COUNTIF(B:B,B825)&gt;1,_xlfn.CONCAT(A825," (",M825,")"),B825)</f>
        <v>Qīngtóu Zhèn</v>
      </c>
      <c r="D825" t="s">
        <v>2761</v>
      </c>
      <c r="E825" t="s">
        <v>7</v>
      </c>
      <c r="F825" t="str">
        <f>_xlfn.CONCAT(D825,", ",H825,", ",I825,", ","山西省")</f>
        <v>卿头镇, 永济市, 运城市, 山西省</v>
      </c>
      <c r="G825">
        <v>47607</v>
      </c>
      <c r="H825" t="s">
        <v>3015</v>
      </c>
      <c r="I825" t="s">
        <v>3003</v>
      </c>
      <c r="J825">
        <f>VLOOKUP(F825,[1]!china_towns_second__2[[Column1]:[Y]],3,FALSE)</f>
        <v>34.959577369197298</v>
      </c>
      <c r="K825">
        <f>VLOOKUP(F825,[1]!china_towns_second__2[[Column1]:[Y]],2,FALSE)</f>
        <v>110.7038507</v>
      </c>
      <c r="L825" t="s">
        <v>4401</v>
      </c>
      <c r="M825" t="str">
        <f>VLOOKUP(H825,CHOOSE({1,2},Table12[Native],Table12[Name]),2,0)</f>
        <v>Yŏngjì Shì</v>
      </c>
      <c r="N825" s="13" t="str">
        <f>VLOOKUP(I825,CHOOSE({1,2},Table12[Native],Table12[Name]),2,0)</f>
        <v>Yùnchéng Shì</v>
      </c>
      <c r="O825" s="13" t="str">
        <f t="shared" si="24"/>
        <v>Qingtou Zhen (Yùnchéng Shì)</v>
      </c>
      <c r="P825" s="13" t="str">
        <f t="shared" si="25"/>
        <v>Qingtou Zhen (Yùnchéng Shì)</v>
      </c>
    </row>
    <row r="826" spans="1:16" hidden="1" x14ac:dyDescent="0.25">
      <c r="A826" t="s">
        <v>1254</v>
      </c>
      <c r="B826" t="str">
        <f>IF(COUNTIF(A:A,A826)&gt;1,_xlfn.CONCAT(A826," (",N826,")"),A826)</f>
        <v>Qíngxiāng Zhèn</v>
      </c>
      <c r="C826" t="str">
        <f>IF(COUNTIF(B:B,B826)&gt;1,_xlfn.CONCAT(A826," (",M826,")"),B826)</f>
        <v>Qíngxiāng Zhèn</v>
      </c>
      <c r="D826" t="s">
        <v>1255</v>
      </c>
      <c r="E826" t="s">
        <v>7</v>
      </c>
      <c r="F826" t="str">
        <f>_xlfn.CONCAT(D826,", ",H826,", ",I826,", ","山西省")</f>
        <v>勍香镇, 汾西县, 临汾市, 山西省</v>
      </c>
      <c r="G826">
        <v>17654</v>
      </c>
      <c r="H826" t="s">
        <v>2930</v>
      </c>
      <c r="I826" t="s">
        <v>2927</v>
      </c>
      <c r="J826">
        <f>VLOOKUP(F826,[1]!china_towns_second__2[[Column1]:[Y]],3,FALSE)</f>
        <v>36.702405424658501</v>
      </c>
      <c r="K826">
        <f>VLOOKUP(F826,[1]!china_towns_second__2[[Column1]:[Y]],2,FALSE)</f>
        <v>111.3343296</v>
      </c>
      <c r="L826" t="s">
        <v>4402</v>
      </c>
      <c r="M826" t="str">
        <f>VLOOKUP(H826,CHOOSE({1,2},Table12[Native],Table12[Name]),2,0)</f>
        <v>Fénxī Xiàn</v>
      </c>
      <c r="N826" s="13" t="str">
        <f>VLOOKUP(I826,CHOOSE({1,2},Table12[Native],Table12[Name]),2,0)</f>
        <v>Línfén Shì</v>
      </c>
      <c r="O826" s="13" t="str">
        <f t="shared" si="24"/>
        <v>Qingxiang Zhen (Línfén Shì)</v>
      </c>
      <c r="P826" s="13" t="str">
        <f t="shared" si="25"/>
        <v>Qingxiang Zhen (Línfén Shì)</v>
      </c>
    </row>
    <row r="827" spans="1:16" hidden="1" x14ac:dyDescent="0.25">
      <c r="A827" t="s">
        <v>203</v>
      </c>
      <c r="B827" t="str">
        <f>IF(COUNTIF(A:A,A827)&gt;1,_xlfn.CONCAT(A827," (",N827,")"),A827)</f>
        <v>Qīngyáng Zhèn</v>
      </c>
      <c r="C827" t="str">
        <f>IF(COUNTIF(B:B,B827)&gt;1,_xlfn.CONCAT(A827," (",M827,")"),B827)</f>
        <v>Qīngyáng Zhèn</v>
      </c>
      <c r="D827" t="s">
        <v>204</v>
      </c>
      <c r="E827" t="s">
        <v>7</v>
      </c>
      <c r="F827" t="str">
        <f>_xlfn.CONCAT(D827,", ",H827,", ",I827,", ","山西省")</f>
        <v>青羊镇, 平顺县, 长治市, 山西省</v>
      </c>
      <c r="G827">
        <v>34098</v>
      </c>
      <c r="H827" t="s">
        <v>2886</v>
      </c>
      <c r="I827" t="s">
        <v>2878</v>
      </c>
      <c r="J827">
        <f>VLOOKUP(F827,[1]!china_towns_second__2[[Column1]:[Y]],3,FALSE)</f>
        <v>36.189182581905897</v>
      </c>
      <c r="K827">
        <f>VLOOKUP(F827,[1]!china_towns_second__2[[Column1]:[Y]],2,FALSE)</f>
        <v>113.4049551</v>
      </c>
      <c r="L827" t="s">
        <v>4403</v>
      </c>
      <c r="M827" t="str">
        <f>VLOOKUP(H827,CHOOSE({1,2},Table12[Native],Table12[Name]),2,0)</f>
        <v>Píngshùn Xiàn</v>
      </c>
      <c r="N827" s="13" t="str">
        <f>VLOOKUP(I827,CHOOSE({1,2},Table12[Native],Table12[Name]),2,0)</f>
        <v>Chángzhì Shì</v>
      </c>
      <c r="O827" s="13" t="str">
        <f t="shared" si="24"/>
        <v>Qingyang Zhen (Chángzhì Shì)</v>
      </c>
      <c r="P827" s="13" t="str">
        <f t="shared" si="25"/>
        <v>Qingyang Zhen (Chángzhì Shì)</v>
      </c>
    </row>
    <row r="828" spans="1:16" hidden="1" x14ac:dyDescent="0.25">
      <c r="A828" t="s">
        <v>2016</v>
      </c>
      <c r="B828" t="str">
        <f>IF(COUNTIF(A:A,A828)&gt;1,_xlfn.CONCAT(A828," (",N828,")"),A828)</f>
        <v>Qīngyuán Zhèn</v>
      </c>
      <c r="C828" t="str">
        <f>IF(COUNTIF(B:B,B828)&gt;1,_xlfn.CONCAT(A828," (",M828,")"),B828)</f>
        <v>Qīngyuán Zhèn</v>
      </c>
      <c r="D828" t="s">
        <v>2017</v>
      </c>
      <c r="E828" t="s">
        <v>7</v>
      </c>
      <c r="F828" t="str">
        <f>_xlfn.CONCAT(D828,", ",H828,", ",I828,", ","山西省")</f>
        <v>清源镇, 清徐县, 太原市, 山西省</v>
      </c>
      <c r="G828">
        <v>116598</v>
      </c>
      <c r="H828" t="s">
        <v>2974</v>
      </c>
      <c r="I828" t="s">
        <v>2969</v>
      </c>
      <c r="J828">
        <f>VLOOKUP(F828,[1]!china_towns_second__2[[Column1]:[Y]],3,FALSE)</f>
        <v>37.590660318839802</v>
      </c>
      <c r="K828">
        <f>VLOOKUP(F828,[1]!china_towns_second__2[[Column1]:[Y]],2,FALSE)</f>
        <v>112.3299281</v>
      </c>
      <c r="L828" t="s">
        <v>4404</v>
      </c>
      <c r="M828" t="str">
        <f>VLOOKUP(H828,CHOOSE({1,2},Table12[Native],Table12[Name]),2,0)</f>
        <v>Qīngxú Xiàn</v>
      </c>
      <c r="N828" s="13" t="str">
        <f>VLOOKUP(I828,CHOOSE({1,2},Table12[Native],Table12[Name]),2,0)</f>
        <v>Tàiyuán Shì</v>
      </c>
      <c r="O828" s="13" t="str">
        <f t="shared" si="24"/>
        <v>Qingyuan Zhen (Tàiyuán Shì)</v>
      </c>
      <c r="P828" s="13" t="str">
        <f t="shared" si="25"/>
        <v>Qingyuan Zhen (Tàiyuán Shì)</v>
      </c>
    </row>
    <row r="829" spans="1:16" hidden="1" x14ac:dyDescent="0.25">
      <c r="A829" t="s">
        <v>1804</v>
      </c>
      <c r="B829" t="str">
        <f>IF(COUNTIF(A:A,A829)&gt;1,_xlfn.CONCAT(A829," (",N829,")"),A829)</f>
        <v>Qīnhé Xiāng</v>
      </c>
      <c r="C829" t="str">
        <f>IF(COUNTIF(B:B,B829)&gt;1,_xlfn.CONCAT(A829," (",M829,")"),B829)</f>
        <v>Qīnhé Xiāng</v>
      </c>
      <c r="D829" t="s">
        <v>1805</v>
      </c>
      <c r="E829" t="s">
        <v>17</v>
      </c>
      <c r="F829" t="str">
        <f>_xlfn.CONCAT(D829,", ",H829,", ",I829,", ","山西省")</f>
        <v>亲和乡, 怀仁市, 朔州市, 山西省</v>
      </c>
      <c r="G829">
        <v>20470</v>
      </c>
      <c r="H829" t="s">
        <v>2962</v>
      </c>
      <c r="I829" t="s">
        <v>2961</v>
      </c>
      <c r="J829" t="e">
        <f>VLOOKUP(F829,[1]!china_towns_second__2[[Column1]:[Y]],3,FALSE)</f>
        <v>#N/A</v>
      </c>
      <c r="K829" t="e">
        <f>VLOOKUP(F829,[1]!china_towns_second__2[[Column1]:[Y]],2,FALSE)</f>
        <v>#N/A</v>
      </c>
      <c r="L829" t="s">
        <v>4405</v>
      </c>
      <c r="M829" t="str">
        <f>VLOOKUP(H829,CHOOSE({1,2},Table12[Native],Table12[Name]),2,0)</f>
        <v>Huáirén Shì</v>
      </c>
      <c r="N829" s="13" t="str">
        <f>VLOOKUP(I829,CHOOSE({1,2},Table12[Native],Table12[Name]),2,0)</f>
        <v>Shuòzhōu Shì</v>
      </c>
      <c r="O829" s="13" t="str">
        <f t="shared" si="24"/>
        <v>Qinhe Xiang (Shuòzhōu Shì)</v>
      </c>
      <c r="P829" s="13" t="str">
        <f t="shared" si="25"/>
        <v>Qinhe Xiang (Shuòzhōu Shì)</v>
      </c>
    </row>
    <row r="830" spans="1:16" hidden="1" x14ac:dyDescent="0.25">
      <c r="A830" t="s">
        <v>205</v>
      </c>
      <c r="B830" t="str">
        <f>IF(COUNTIF(A:A,A830)&gt;1,_xlfn.CONCAT(A830," (",N830,")"),A830)</f>
        <v>Qìnhé Zhèn</v>
      </c>
      <c r="C830" t="str">
        <f>IF(COUNTIF(B:B,B830)&gt;1,_xlfn.CONCAT(A830," (",M830,")"),B830)</f>
        <v>Qìnhé Zhèn</v>
      </c>
      <c r="D830" t="s">
        <v>206</v>
      </c>
      <c r="E830" t="s">
        <v>7</v>
      </c>
      <c r="F830" t="str">
        <f>_xlfn.CONCAT(D830,", ",H830,", ",I830,", ","山西省")</f>
        <v>沁河镇, 沁源县, 长治市, 山西省</v>
      </c>
      <c r="G830">
        <v>50143</v>
      </c>
      <c r="H830" t="s">
        <v>2888</v>
      </c>
      <c r="I830" t="s">
        <v>2878</v>
      </c>
      <c r="J830">
        <f>VLOOKUP(F830,[1]!china_towns_second__2[[Column1]:[Y]],3,FALSE)</f>
        <v>36.492106107600797</v>
      </c>
      <c r="K830">
        <f>VLOOKUP(F830,[1]!china_towns_second__2[[Column1]:[Y]],2,FALSE)</f>
        <v>112.3470366</v>
      </c>
      <c r="L830" t="s">
        <v>4406</v>
      </c>
      <c r="M830" t="str">
        <f>VLOOKUP(H830,CHOOSE({1,2},Table12[Native],Table12[Name]),2,0)</f>
        <v>Qìnyuán Xiàn</v>
      </c>
      <c r="N830" s="13" t="str">
        <f>VLOOKUP(I830,CHOOSE({1,2},Table12[Native],Table12[Name]),2,0)</f>
        <v>Chángzhì Shì</v>
      </c>
      <c r="O830" s="13" t="str">
        <f t="shared" si="24"/>
        <v>Qinhe Zhen (Chángzhì Shì)</v>
      </c>
      <c r="P830" s="13" t="str">
        <f t="shared" si="25"/>
        <v>Qinhe Zhen (Chángzhì Shì)</v>
      </c>
    </row>
    <row r="831" spans="1:16" hidden="1" x14ac:dyDescent="0.25">
      <c r="A831" t="s">
        <v>729</v>
      </c>
      <c r="B831" t="str">
        <f>IF(COUNTIF(A:A,A831)&gt;1,_xlfn.CONCAT(A831," (",N831,")"),A831)</f>
        <v>Qínjiāzhuāng Xiāng</v>
      </c>
      <c r="C831" t="str">
        <f>IF(COUNTIF(B:B,B831)&gt;1,_xlfn.CONCAT(A831," (",M831,")"),B831)</f>
        <v>Qínjiāzhuāng Xiāng</v>
      </c>
      <c r="D831" t="s">
        <v>730</v>
      </c>
      <c r="E831" t="s">
        <v>17</v>
      </c>
      <c r="F831" t="str">
        <f>_xlfn.CONCAT(D831,", ",H831,", ",I831,", ","山西省")</f>
        <v>秦家庄乡, 陵川县, 晋城市, 山西省</v>
      </c>
      <c r="G831">
        <v>11077</v>
      </c>
      <c r="H831" t="s">
        <v>2909</v>
      </c>
      <c r="I831" t="s">
        <v>2906</v>
      </c>
      <c r="J831" t="e">
        <f>VLOOKUP(F831,[1]!china_towns_second__2[[Column1]:[Y]],3,FALSE)</f>
        <v>#N/A</v>
      </c>
      <c r="K831" t="e">
        <f>VLOOKUP(F831,[1]!china_towns_second__2[[Column1]:[Y]],2,FALSE)</f>
        <v>#N/A</v>
      </c>
      <c r="L831" t="s">
        <v>4407</v>
      </c>
      <c r="M831" t="str">
        <f>VLOOKUP(H831,CHOOSE({1,2},Table12[Native],Table12[Name]),2,0)</f>
        <v>Língchuān Xiàn</v>
      </c>
      <c r="N831" s="13" t="str">
        <f>VLOOKUP(I831,CHOOSE({1,2},Table12[Native],Table12[Name]),2,0)</f>
        <v>Jìnchéng Shì</v>
      </c>
      <c r="O831" s="13" t="str">
        <f t="shared" si="24"/>
        <v>Qinjiazhuang Xiang (Jìnchéng Shì)</v>
      </c>
      <c r="P831" s="13" t="str">
        <f t="shared" si="25"/>
        <v>Qinjiazhuang Xiang (Jìnchéng Shì)</v>
      </c>
    </row>
    <row r="832" spans="1:16" hidden="1" x14ac:dyDescent="0.25">
      <c r="A832" t="s">
        <v>954</v>
      </c>
      <c r="B832" t="str">
        <f>IF(COUNTIF(A:A,A832)&gt;1,_xlfn.CONCAT(A832," (",N832,")"),A832)</f>
        <v>Qínquán Zhèn</v>
      </c>
      <c r="C832" t="str">
        <f>IF(COUNTIF(B:B,B832)&gt;1,_xlfn.CONCAT(A832," (",M832,")"),B832)</f>
        <v>Qínquán Zhèn</v>
      </c>
      <c r="D832" t="s">
        <v>955</v>
      </c>
      <c r="E832" t="s">
        <v>7</v>
      </c>
      <c r="F832" t="str">
        <f>_xlfn.CONCAT(D832,", ",H832,", ",I832,", ","山西省")</f>
        <v>芹泉镇, 左权县, 晋中市, 山西省</v>
      </c>
      <c r="G832">
        <v>12599</v>
      </c>
      <c r="H832" t="s">
        <v>2925</v>
      </c>
      <c r="I832" t="s">
        <v>2914</v>
      </c>
      <c r="J832">
        <f>VLOOKUP(F832,[1]!china_towns_second__2[[Column1]:[Y]],3,FALSE)</f>
        <v>36.998293390423598</v>
      </c>
      <c r="K832">
        <f>VLOOKUP(F832,[1]!china_towns_second__2[[Column1]:[Y]],2,FALSE)</f>
        <v>113.6710901</v>
      </c>
      <c r="L832" t="s">
        <v>4408</v>
      </c>
      <c r="M832" t="str">
        <f>VLOOKUP(H832,CHOOSE({1,2},Table12[Native],Table12[Name]),2,0)</f>
        <v>Zuǒquán Xiàn</v>
      </c>
      <c r="N832" s="13" t="str">
        <f>VLOOKUP(I832,CHOOSE({1,2},Table12[Native],Table12[Name]),2,0)</f>
        <v>Jìnzhōng Shì</v>
      </c>
      <c r="O832" s="13" t="str">
        <f t="shared" si="24"/>
        <v>Qinquan Zhen (Jìnzhōng Shì)</v>
      </c>
      <c r="P832" s="13" t="str">
        <f t="shared" si="25"/>
        <v>Qinquan Zhen (Jìnzhōng Shì)</v>
      </c>
    </row>
    <row r="833" spans="1:16" hidden="1" x14ac:dyDescent="0.25">
      <c r="A833" t="s">
        <v>2762</v>
      </c>
      <c r="B833" t="str">
        <f>IF(COUNTIF(A:A,A833)&gt;1,_xlfn.CONCAT(A833," (",N833,")"),A833)</f>
        <v>Quánzhăng Zhèn</v>
      </c>
      <c r="C833" t="str">
        <f>IF(COUNTIF(B:B,B833)&gt;1,_xlfn.CONCAT(A833," (",M833,")"),B833)</f>
        <v>Quánzhăng Zhèn</v>
      </c>
      <c r="D833" t="s">
        <v>2763</v>
      </c>
      <c r="E833" t="s">
        <v>7</v>
      </c>
      <c r="F833" t="str">
        <f>_xlfn.CONCAT(D833,", ",H833,", ",I833,", ","山西省")</f>
        <v>泉掌镇, 新绛县, 运城市, 山西省</v>
      </c>
      <c r="G833">
        <v>17578</v>
      </c>
      <c r="H833" t="s">
        <v>3013</v>
      </c>
      <c r="I833" t="s">
        <v>3003</v>
      </c>
      <c r="J833">
        <f>VLOOKUP(F833,[1]!china_towns_second__2[[Column1]:[Y]],3,FALSE)</f>
        <v>35.6558143979303</v>
      </c>
      <c r="K833">
        <f>VLOOKUP(F833,[1]!china_towns_second__2[[Column1]:[Y]],2,FALSE)</f>
        <v>111.1026624</v>
      </c>
      <c r="L833" t="s">
        <v>4409</v>
      </c>
      <c r="M833" t="str">
        <f>VLOOKUP(H833,CHOOSE({1,2},Table12[Native],Table12[Name]),2,0)</f>
        <v>Xīnjiàng Xiàn</v>
      </c>
      <c r="N833" s="13" t="str">
        <f>VLOOKUP(I833,CHOOSE({1,2},Table12[Native],Table12[Name]),2,0)</f>
        <v>Yùnchéng Shì</v>
      </c>
      <c r="O833" s="13" t="str">
        <f t="shared" si="24"/>
        <v>Quanzhang Zhen (Yùnchéng Shì)</v>
      </c>
      <c r="P833" s="13" t="str">
        <f t="shared" si="25"/>
        <v>Quanzhang Zhen (Yùnchéng Shì)</v>
      </c>
    </row>
    <row r="834" spans="1:16" hidden="1" x14ac:dyDescent="0.25">
      <c r="A834" t="s">
        <v>1256</v>
      </c>
      <c r="B834" t="str">
        <f>IF(COUNTIF(A:A,A834)&gt;1,_xlfn.CONCAT(A834," (",N834,")"),A834)</f>
        <v>Qŭcūn Zhèn</v>
      </c>
      <c r="C834" t="str">
        <f>IF(COUNTIF(B:B,B834)&gt;1,_xlfn.CONCAT(A834," (",M834,")"),B834)</f>
        <v>Qŭcūn Zhèn</v>
      </c>
      <c r="D834" t="s">
        <v>1257</v>
      </c>
      <c r="E834" t="s">
        <v>7</v>
      </c>
      <c r="F834" t="str">
        <f>_xlfn.CONCAT(D834,", ",H834,", ",I834,", ","山西省")</f>
        <v>曲村镇, 曲沃县, 临汾市, 山西省</v>
      </c>
      <c r="G834">
        <v>25135</v>
      </c>
      <c r="H834" t="s">
        <v>2938</v>
      </c>
      <c r="I834" t="s">
        <v>2927</v>
      </c>
      <c r="J834">
        <f>VLOOKUP(F834,[1]!china_towns_second__2[[Column1]:[Y]],3,FALSE)</f>
        <v>35.7451472039319</v>
      </c>
      <c r="K834">
        <f>VLOOKUP(F834,[1]!china_towns_second__2[[Column1]:[Y]],2,FALSE)</f>
        <v>111.5317177</v>
      </c>
      <c r="L834" t="s">
        <v>4410</v>
      </c>
      <c r="M834" t="str">
        <f>VLOOKUP(H834,CHOOSE({1,2},Table12[Native],Table12[Name]),2,0)</f>
        <v>Qŭwò Xiàn</v>
      </c>
      <c r="N834" s="13" t="str">
        <f>VLOOKUP(I834,CHOOSE({1,2},Table12[Native],Table12[Name]),2,0)</f>
        <v>Línfén Shì</v>
      </c>
      <c r="O834" s="13" t="str">
        <f t="shared" ref="O834:O897" si="26">_xlfn.CONCAT(L834," (",N834,")")</f>
        <v>Qucun Zhen (Línfén Shì)</v>
      </c>
      <c r="P834" s="13" t="str">
        <f t="shared" ref="P834:P897" si="27">IF(COUNTIF(O:O,O834)&gt;1,_xlfn.CONCAT(L834," (",M834,")"),O834)</f>
        <v>Qucun Zhen (Línfén Shì)</v>
      </c>
    </row>
    <row r="835" spans="1:16" hidden="1" x14ac:dyDescent="0.25">
      <c r="A835" t="s">
        <v>1258</v>
      </c>
      <c r="B835" t="str">
        <f>IF(COUNTIF(A:A,A835)&gt;1,_xlfn.CONCAT(A835," (",N835,")"),A835)</f>
        <v>Qŭ'é Zhèn</v>
      </c>
      <c r="C835" t="str">
        <f>IF(COUNTIF(B:B,B835)&gt;1,_xlfn.CONCAT(A835," (",M835,")"),B835)</f>
        <v>Qŭ'é Zhèn</v>
      </c>
      <c r="D835" t="s">
        <v>1259</v>
      </c>
      <c r="E835" t="s">
        <v>7</v>
      </c>
      <c r="F835" t="str">
        <f>_xlfn.CONCAT(D835,", ",H835,", ",I835,", ","山西省")</f>
        <v>曲峨镇, 大宁县, 临汾市, 山西省</v>
      </c>
      <c r="G835">
        <v>8103</v>
      </c>
      <c r="H835" t="s">
        <v>2929</v>
      </c>
      <c r="I835" t="s">
        <v>2927</v>
      </c>
      <c r="J835">
        <f>VLOOKUP(F835,[1]!china_towns_second__2[[Column1]:[Y]],3,FALSE)</f>
        <v>36.420862880903101</v>
      </c>
      <c r="K835">
        <f>VLOOKUP(F835,[1]!china_towns_second__2[[Column1]:[Y]],2,FALSE)</f>
        <v>110.6697221</v>
      </c>
      <c r="L835" t="s">
        <v>4411</v>
      </c>
      <c r="M835" t="str">
        <f>VLOOKUP(H835,CHOOSE({1,2},Table12[Native],Table12[Name]),2,0)</f>
        <v>Dàníng Xiàn</v>
      </c>
      <c r="N835" s="13" t="str">
        <f>VLOOKUP(I835,CHOOSE({1,2},Table12[Native],Table12[Name]),2,0)</f>
        <v>Línfén Shì</v>
      </c>
      <c r="O835" s="13" t="str">
        <f t="shared" si="26"/>
        <v>Qu'e Zhen (Línfén Shì)</v>
      </c>
      <c r="P835" s="13" t="str">
        <f t="shared" si="27"/>
        <v>Qu'e Zhen (Línfén Shì)</v>
      </c>
    </row>
    <row r="836" spans="1:16" hidden="1" x14ac:dyDescent="0.25">
      <c r="A836" t="s">
        <v>485</v>
      </c>
      <c r="B836" t="str">
        <f>IF(COUNTIF(A:A,A836)&gt;1,_xlfn.CONCAT(A836," (",N836,")"),A836)</f>
        <v>Què'érshān Zhèn</v>
      </c>
      <c r="C836" t="str">
        <f>IF(COUNTIF(B:B,B836)&gt;1,_xlfn.CONCAT(A836," (",M836,")"),B836)</f>
        <v>Què'érshān Zhèn</v>
      </c>
      <c r="D836" t="s">
        <v>486</v>
      </c>
      <c r="E836" t="s">
        <v>7</v>
      </c>
      <c r="F836" t="str">
        <f>_xlfn.CONCAT(D836,", ",H836,", ",I836,", ","山西省")</f>
        <v>鹊儿山镇, 左云县, 大同市, 山西省</v>
      </c>
      <c r="G836">
        <v>11948</v>
      </c>
      <c r="H836" t="s">
        <v>2904</v>
      </c>
      <c r="I836" t="s">
        <v>2894</v>
      </c>
      <c r="J836">
        <f>VLOOKUP(F836,[1]!china_towns_second__2[[Column1]:[Y]],3,FALSE)</f>
        <v>40.129140252561299</v>
      </c>
      <c r="K836">
        <f>VLOOKUP(F836,[1]!china_towns_second__2[[Column1]:[Y]],2,FALSE)</f>
        <v>112.919102</v>
      </c>
      <c r="L836" t="s">
        <v>4412</v>
      </c>
      <c r="M836" t="str">
        <f>VLOOKUP(H836,CHOOSE({1,2},Table12[Native],Table12[Name]),2,0)</f>
        <v>Zuǒyún Xiàn</v>
      </c>
      <c r="N836" s="13" t="str">
        <f>VLOOKUP(I836,CHOOSE({1,2},Table12[Native],Table12[Name]),2,0)</f>
        <v>Dàtóng Shì</v>
      </c>
      <c r="O836" s="13" t="str">
        <f t="shared" si="26"/>
        <v>Que'ershan Zhen (Dàtóng Shì)</v>
      </c>
      <c r="P836" s="13" t="str">
        <f t="shared" si="27"/>
        <v>Que'ershan Zhen (Dàtóng Shì)</v>
      </c>
    </row>
    <row r="837" spans="1:16" hidden="1" x14ac:dyDescent="0.25">
      <c r="A837" t="s">
        <v>1261</v>
      </c>
      <c r="B837" t="str">
        <f>IF(COUNTIF(A:A,A837)&gt;1,_xlfn.CONCAT(A837," (",N837,")"),A837)</f>
        <v>Qŭtíng Zhèn</v>
      </c>
      <c r="C837" t="str">
        <f>IF(COUNTIF(B:B,B837)&gt;1,_xlfn.CONCAT(A837," (",M837,")"),B837)</f>
        <v>Qŭtíng Zhèn</v>
      </c>
      <c r="D837" t="s">
        <v>1262</v>
      </c>
      <c r="E837" t="s">
        <v>7</v>
      </c>
      <c r="F837" t="str">
        <f>_xlfn.CONCAT(D837,", ",H837,", ",I837,", ","山西省")</f>
        <v>曲亭镇, 洪洞县, 临汾市, 山西省</v>
      </c>
      <c r="G837">
        <v>51800</v>
      </c>
      <c r="H837" t="s">
        <v>2933</v>
      </c>
      <c r="I837" t="s">
        <v>2927</v>
      </c>
      <c r="J837">
        <f>VLOOKUP(F837,[1]!china_towns_second__2[[Column1]:[Y]],3,FALSE)</f>
        <v>36.181296681244099</v>
      </c>
      <c r="K837">
        <f>VLOOKUP(F837,[1]!china_towns_second__2[[Column1]:[Y]],2,FALSE)</f>
        <v>111.78184950000001</v>
      </c>
      <c r="L837" t="s">
        <v>4413</v>
      </c>
      <c r="M837" t="str">
        <f>VLOOKUP(H837,CHOOSE({1,2},Table12[Native],Table12[Name]),2,0)</f>
        <v>Hóngdòng Xiàn</v>
      </c>
      <c r="N837" s="13" t="str">
        <f>VLOOKUP(I837,CHOOSE({1,2},Table12[Native],Table12[Name]),2,0)</f>
        <v>Línfén Shì</v>
      </c>
      <c r="O837" s="13" t="str">
        <f t="shared" si="26"/>
        <v>Quting Zhen (Línfén Shì)</v>
      </c>
      <c r="P837" s="13" t="str">
        <f t="shared" si="27"/>
        <v>Quting Zhen (Línfén Shì)</v>
      </c>
    </row>
    <row r="838" spans="1:16" hidden="1" x14ac:dyDescent="0.25">
      <c r="A838" t="s">
        <v>1602</v>
      </c>
      <c r="B838" t="str">
        <f>IF(COUNTIF(A:A,A838)&gt;1,_xlfn.CONCAT(A838," (",N838,")"),A838)</f>
        <v>Qŭyù Zhèn</v>
      </c>
      <c r="C838" t="str">
        <f>IF(COUNTIF(B:B,B838)&gt;1,_xlfn.CONCAT(A838," (",M838,")"),B838)</f>
        <v>Qŭyù Zhèn</v>
      </c>
      <c r="D838" t="s">
        <v>1603</v>
      </c>
      <c r="E838" t="s">
        <v>7</v>
      </c>
      <c r="F838" t="str">
        <f>_xlfn.CONCAT(D838,", ",H838,", ",I838,", ","山西省")</f>
        <v>曲峪镇, 临县, 吕梁市, 山西省</v>
      </c>
      <c r="G838">
        <v>26119</v>
      </c>
      <c r="H838" t="s">
        <v>2952</v>
      </c>
      <c r="I838" t="s">
        <v>2946</v>
      </c>
      <c r="J838">
        <f>VLOOKUP(F838,[1]!china_towns_second__2[[Column1]:[Y]],3,FALSE)</f>
        <v>37.879148385922299</v>
      </c>
      <c r="K838">
        <f>VLOOKUP(F838,[1]!china_towns_second__2[[Column1]:[Y]],2,FALSE)</f>
        <v>110.6753923</v>
      </c>
      <c r="L838" t="s">
        <v>4414</v>
      </c>
      <c r="M838" t="str">
        <f>VLOOKUP(H838,CHOOSE({1,2},Table12[Native],Table12[Name]),2,0)</f>
        <v>Lín Xiàn</v>
      </c>
      <c r="N838" s="13" t="str">
        <f>VLOOKUP(I838,CHOOSE({1,2},Table12[Native],Table12[Name]),2,0)</f>
        <v>Lǚliáng Shì</v>
      </c>
      <c r="O838" s="13" t="str">
        <f t="shared" si="26"/>
        <v>Quyu Zhen (Lǚliáng Shì)</v>
      </c>
      <c r="P838" s="13" t="str">
        <f t="shared" si="27"/>
        <v>Quyu Zhen (Lǚliáng Shì)</v>
      </c>
    </row>
    <row r="839" spans="1:16" hidden="1" x14ac:dyDescent="0.25">
      <c r="A839" t="s">
        <v>956</v>
      </c>
      <c r="B839" t="str">
        <f>IF(COUNTIF(A:A,A839)&gt;1,_xlfn.CONCAT(A839," (",N839,")"),A839)</f>
        <v>Rèncūn Xiāng</v>
      </c>
      <c r="C839" t="str">
        <f>IF(COUNTIF(B:B,B839)&gt;1,_xlfn.CONCAT(A839," (",M839,")"),B839)</f>
        <v>Rèncūn Xiāng</v>
      </c>
      <c r="D839" t="s">
        <v>957</v>
      </c>
      <c r="E839" t="s">
        <v>17</v>
      </c>
      <c r="F839" t="str">
        <f>_xlfn.CONCAT(D839,", ",H839,", ",I839,", ","山西省")</f>
        <v>任村乡, 太谷区, 晋中市, 山西省</v>
      </c>
      <c r="G839">
        <v>15166</v>
      </c>
      <c r="H839" t="s">
        <v>2921</v>
      </c>
      <c r="I839" t="s">
        <v>2914</v>
      </c>
      <c r="J839" t="e">
        <f>VLOOKUP(F839,[1]!china_towns_second__2[[Column1]:[Y]],3,FALSE)</f>
        <v>#N/A</v>
      </c>
      <c r="K839" t="e">
        <f>VLOOKUP(F839,[1]!china_towns_second__2[[Column1]:[Y]],2,FALSE)</f>
        <v>#N/A</v>
      </c>
      <c r="L839" t="s">
        <v>4415</v>
      </c>
      <c r="M839" t="str">
        <f>VLOOKUP(H839,CHOOSE({1,2},Table12[Native],Table12[Name]),2,0)</f>
        <v>Tàigŭ Qū</v>
      </c>
      <c r="N839" s="13" t="str">
        <f>VLOOKUP(I839,CHOOSE({1,2},Table12[Native],Table12[Name]),2,0)</f>
        <v>Jìnzhōng Shì</v>
      </c>
      <c r="O839" s="13" t="str">
        <f t="shared" si="26"/>
        <v>Rencun Xiang (Jìnzhōng Shì)</v>
      </c>
      <c r="P839" s="13" t="str">
        <f t="shared" si="27"/>
        <v>Rencun Xiang (Jìnzhōng Shì)</v>
      </c>
    </row>
    <row r="840" spans="1:16" hidden="1" x14ac:dyDescent="0.25">
      <c r="A840" t="s">
        <v>2764</v>
      </c>
      <c r="B840" t="str">
        <f>IF(COUNTIF(A:A,A840)&gt;1,_xlfn.CONCAT(A840," (",N840,")"),A840)</f>
        <v>Rónghé Zhèn</v>
      </c>
      <c r="C840" t="str">
        <f>IF(COUNTIF(B:B,B840)&gt;1,_xlfn.CONCAT(A840," (",M840,")"),B840)</f>
        <v>Rónghé Zhèn</v>
      </c>
      <c r="D840" t="s">
        <v>2765</v>
      </c>
      <c r="E840" t="s">
        <v>7</v>
      </c>
      <c r="F840" t="str">
        <f>_xlfn.CONCAT(D840,", ",H840,", ",I840,", ","山西省")</f>
        <v>荣河镇, 万荣县, 运城市, 山西省</v>
      </c>
      <c r="G840">
        <v>42855</v>
      </c>
      <c r="H840" t="s">
        <v>3010</v>
      </c>
      <c r="I840" t="s">
        <v>3003</v>
      </c>
      <c r="J840">
        <f>VLOOKUP(F840,[1]!china_towns_second__2[[Column1]:[Y]],3,FALSE)</f>
        <v>35.3520252540984</v>
      </c>
      <c r="K840">
        <f>VLOOKUP(F840,[1]!china_towns_second__2[[Column1]:[Y]],2,FALSE)</f>
        <v>110.506838</v>
      </c>
      <c r="L840" t="s">
        <v>4416</v>
      </c>
      <c r="M840" t="str">
        <f>VLOOKUP(H840,CHOOSE({1,2},Table12[Native],Table12[Name]),2,0)</f>
        <v>Wànróng Xiàn</v>
      </c>
      <c r="N840" s="13" t="str">
        <f>VLOOKUP(I840,CHOOSE({1,2},Table12[Native],Table12[Name]),2,0)</f>
        <v>Yùnchéng Shì</v>
      </c>
      <c r="O840" s="13" t="str">
        <f t="shared" si="26"/>
        <v>Ronghe Zhen (Yùnchéng Shì)</v>
      </c>
      <c r="P840" s="13" t="str">
        <f t="shared" si="27"/>
        <v>Ronghe Zhen (Yùnchéng Shì)</v>
      </c>
    </row>
    <row r="841" spans="1:16" hidden="1" x14ac:dyDescent="0.25">
      <c r="A841" t="s">
        <v>2312</v>
      </c>
      <c r="B841" t="str">
        <f>IF(COUNTIF(A:A,A841)&gt;1,_xlfn.CONCAT(A841," (",N841,")"),A841)</f>
        <v>Rúcūn Xiāng</v>
      </c>
      <c r="C841" t="str">
        <f>IF(COUNTIF(B:B,B841)&gt;1,_xlfn.CONCAT(A841," (",M841,")"),B841)</f>
        <v>Rúcūn Xiāng</v>
      </c>
      <c r="D841" t="s">
        <v>2313</v>
      </c>
      <c r="E841" t="s">
        <v>17</v>
      </c>
      <c r="F841" t="str">
        <f>_xlfn.CONCAT(D841,", ",H841,", ",I841,", ","山西省")</f>
        <v>茹村乡, 五台县, 忻州市, 山西省</v>
      </c>
      <c r="G841">
        <v>30612</v>
      </c>
      <c r="H841" t="s">
        <v>2992</v>
      </c>
      <c r="I841" t="s">
        <v>2981</v>
      </c>
      <c r="J841" t="e">
        <f>VLOOKUP(F841,[1]!china_towns_second__2[[Column1]:[Y]],3,FALSE)</f>
        <v>#N/A</v>
      </c>
      <c r="K841" t="e">
        <f>VLOOKUP(F841,[1]!china_towns_second__2[[Column1]:[Y]],2,FALSE)</f>
        <v>#N/A</v>
      </c>
      <c r="L841" t="s">
        <v>4417</v>
      </c>
      <c r="M841" t="str">
        <f>VLOOKUP(H841,CHOOSE({1,2},Table12[Native],Table12[Name]),2,0)</f>
        <v>Wŭtái Xiàn</v>
      </c>
      <c r="N841" s="13" t="str">
        <f>VLOOKUP(I841,CHOOSE({1,2},Table12[Native],Table12[Name]),2,0)</f>
        <v>Xīnzhōu Shì</v>
      </c>
      <c r="O841" s="13" t="str">
        <f t="shared" si="26"/>
        <v>Rucun Xiang (Xīnzhōu Shì)</v>
      </c>
      <c r="P841" s="13" t="str">
        <f t="shared" si="27"/>
        <v>Rucun Xiang (Xīnzhōu Shì)</v>
      </c>
    </row>
    <row r="842" spans="1:16" hidden="1" x14ac:dyDescent="0.25">
      <c r="A842" t="s">
        <v>731</v>
      </c>
      <c r="B842" t="str">
        <f>IF(COUNTIF(A:A,A842)&gt;1,_xlfn.CONCAT(A842," (",N842,")"),A842)</f>
        <v>Rùnchéng Zhèn</v>
      </c>
      <c r="C842" t="str">
        <f>IF(COUNTIF(B:B,B842)&gt;1,_xlfn.CONCAT(A842," (",M842,")"),B842)</f>
        <v>Rùnchéng Zhèn</v>
      </c>
      <c r="D842" t="s">
        <v>732</v>
      </c>
      <c r="E842" t="s">
        <v>7</v>
      </c>
      <c r="F842" t="str">
        <f>_xlfn.CONCAT(D842,", ",H842,", ",I842,", ","山西省")</f>
        <v>润城镇, 阳城县, 晋城市, 山西省</v>
      </c>
      <c r="G842">
        <v>34051</v>
      </c>
      <c r="H842" t="s">
        <v>2911</v>
      </c>
      <c r="I842" t="s">
        <v>2906</v>
      </c>
      <c r="J842">
        <f>VLOOKUP(F842,[1]!china_towns_second__2[[Column1]:[Y]],3,FALSE)</f>
        <v>35.512769929909098</v>
      </c>
      <c r="K842">
        <f>VLOOKUP(F842,[1]!china_towns_second__2[[Column1]:[Y]],2,FALSE)</f>
        <v>112.505424</v>
      </c>
      <c r="L842" t="s">
        <v>4418</v>
      </c>
      <c r="M842" t="str">
        <f>VLOOKUP(H842,CHOOSE({1,2},Table12[Native],Table12[Name]),2,0)</f>
        <v>Yángchéng Xiàn</v>
      </c>
      <c r="N842" s="13" t="str">
        <f>VLOOKUP(I842,CHOOSE({1,2},Table12[Native],Table12[Name]),2,0)</f>
        <v>Jìnchéng Shì</v>
      </c>
      <c r="O842" s="13" t="str">
        <f t="shared" si="26"/>
        <v>Runcheng Zhen (Jìnchéng Shì)</v>
      </c>
      <c r="P842" s="13" t="str">
        <f t="shared" si="27"/>
        <v>Runcheng Zhen (Jìnchéng Shì)</v>
      </c>
    </row>
    <row r="843" spans="1:16" hidden="1" x14ac:dyDescent="0.25">
      <c r="A843" t="s">
        <v>2540</v>
      </c>
      <c r="B843" t="str">
        <f>IF(COUNTIF(A:A,A843)&gt;1,_xlfn.CONCAT(A843," (",N843,")"),A843)</f>
        <v>Sàiyú Jiēdào</v>
      </c>
      <c r="C843" t="str">
        <f>IF(COUNTIF(B:B,B843)&gt;1,_xlfn.CONCAT(A843," (",M843,")"),B843)</f>
        <v>Sàiyú Jiēdào</v>
      </c>
      <c r="D843" t="s">
        <v>2541</v>
      </c>
      <c r="E843" t="s">
        <v>31</v>
      </c>
      <c r="F843" t="str">
        <f>_xlfn.CONCAT(D843,", ",H843,", ",I843,", ","山西省")</f>
        <v>赛鱼街道, 矿区, 阳泉市, 山西省</v>
      </c>
      <c r="G843">
        <v>50557</v>
      </c>
      <c r="H843" t="s">
        <v>2999</v>
      </c>
      <c r="I843" t="s">
        <v>2997</v>
      </c>
      <c r="J843">
        <f>VLOOKUP(F843,[1]!china_towns_second__2[[Column1]:[Y]],3,FALSE)</f>
        <v>37.881310951830599</v>
      </c>
      <c r="K843">
        <f>VLOOKUP(F843,[1]!china_towns_second__2[[Column1]:[Y]],2,FALSE)</f>
        <v>113.50816039999999</v>
      </c>
      <c r="L843" t="s">
        <v>4419</v>
      </c>
      <c r="M843" t="str">
        <f>VLOOKUP(H843,CHOOSE({1,2},Table12[Native],Table12[Name]),2,0)</f>
        <v>Kuàng Qū</v>
      </c>
      <c r="N843" s="13" t="str">
        <f>VLOOKUP(I843,CHOOSE({1,2},Table12[Native],Table12[Name]),2,0)</f>
        <v>Yángquán Shì</v>
      </c>
      <c r="O843" s="13" t="str">
        <f t="shared" si="26"/>
        <v>Saiyu Jiedao (Yángquán Shì)</v>
      </c>
      <c r="P843" s="13" t="str">
        <f t="shared" si="27"/>
        <v>Saiyu Jiedao (Yángquán Shì)</v>
      </c>
    </row>
    <row r="844" spans="1:16" hidden="1" x14ac:dyDescent="0.25">
      <c r="A844" t="s">
        <v>487</v>
      </c>
      <c r="B844" t="str">
        <f>IF(COUNTIF(A:A,A844)&gt;1,_xlfn.CONCAT(A844," (",N844,")"),A844)</f>
        <v>Sàlĭpū Xiāng</v>
      </c>
      <c r="C844" t="str">
        <f>IF(COUNTIF(B:B,B844)&gt;1,_xlfn.CONCAT(A844," (",M844,")"),B844)</f>
        <v>Sàlĭpū Xiāng</v>
      </c>
      <c r="D844" t="s">
        <v>488</v>
      </c>
      <c r="E844" t="s">
        <v>17</v>
      </c>
      <c r="F844" t="str">
        <f>_xlfn.CONCAT(D844,", ",H844,", ",I844,", ","山西省")</f>
        <v>卅里铺乡, 天镇县, 大同市, 山西省</v>
      </c>
      <c r="G844">
        <v>21546</v>
      </c>
      <c r="H844" t="s">
        <v>2899</v>
      </c>
      <c r="I844" t="s">
        <v>2894</v>
      </c>
      <c r="J844" t="e">
        <f>VLOOKUP(F844,[1]!china_towns_second__2[[Column1]:[Y]],3,FALSE)</f>
        <v>#N/A</v>
      </c>
      <c r="K844" t="e">
        <f>VLOOKUP(F844,[1]!china_towns_second__2[[Column1]:[Y]],2,FALSE)</f>
        <v>#N/A</v>
      </c>
      <c r="L844" t="s">
        <v>4420</v>
      </c>
      <c r="M844" t="str">
        <f>VLOOKUP(H844,CHOOSE({1,2},Table12[Native],Table12[Name]),2,0)</f>
        <v>Tiānzhèn Xiàn</v>
      </c>
      <c r="N844" s="13" t="str">
        <f>VLOOKUP(I844,CHOOSE({1,2},Table12[Native],Table12[Name]),2,0)</f>
        <v>Dàtóng Shì</v>
      </c>
      <c r="O844" s="13" t="str">
        <f t="shared" si="26"/>
        <v>Salipu Xiang (Dàtóng Shì)</v>
      </c>
      <c r="P844" s="13" t="str">
        <f t="shared" si="27"/>
        <v>Salipu Xiang (Dàtóng Shì)</v>
      </c>
    </row>
    <row r="845" spans="1:16" hidden="1" x14ac:dyDescent="0.25">
      <c r="A845" t="s">
        <v>2314</v>
      </c>
      <c r="B845" t="str">
        <f>IF(COUNTIF(A:A,A845)&gt;1,_xlfn.CONCAT(A845," (",N845,")"),A845)</f>
        <v>Sānchà Zhèn</v>
      </c>
      <c r="C845" t="str">
        <f>IF(COUNTIF(B:B,B845)&gt;1,_xlfn.CONCAT(A845," (",M845,")"),B845)</f>
        <v>Sānchà Zhèn</v>
      </c>
      <c r="D845" t="s">
        <v>2315</v>
      </c>
      <c r="E845" t="s">
        <v>7</v>
      </c>
      <c r="F845" t="str">
        <f>_xlfn.CONCAT(D845,", ",H845,", ",I845,", ","山西省")</f>
        <v>三岔镇, 五寨县, 忻州市, 山西省</v>
      </c>
      <c r="G845">
        <v>12861</v>
      </c>
      <c r="H845" t="s">
        <v>2993</v>
      </c>
      <c r="I845" t="s">
        <v>2981</v>
      </c>
      <c r="J845">
        <f>VLOOKUP(F845,[1]!china_towns_second__2[[Column1]:[Y]],3,FALSE)</f>
        <v>39.1785708067003</v>
      </c>
      <c r="K845">
        <f>VLOOKUP(F845,[1]!china_towns_second__2[[Column1]:[Y]],2,FALSE)</f>
        <v>111.6778995</v>
      </c>
      <c r="L845" t="s">
        <v>4421</v>
      </c>
      <c r="M845" t="str">
        <f>VLOOKUP(H845,CHOOSE({1,2},Table12[Native],Table12[Name]),2,0)</f>
        <v>Wŭzhài Xiàn</v>
      </c>
      <c r="N845" s="13" t="str">
        <f>VLOOKUP(I845,CHOOSE({1,2},Table12[Native],Table12[Name]),2,0)</f>
        <v>Xīnzhōu Shì</v>
      </c>
      <c r="O845" s="13" t="str">
        <f t="shared" si="26"/>
        <v>Sancha Zhen (Xīnzhōu Shì)</v>
      </c>
      <c r="P845" s="13" t="str">
        <f t="shared" si="27"/>
        <v>Sancha Zhen (Xīnzhōu Shì)</v>
      </c>
    </row>
    <row r="846" spans="1:16" hidden="1" x14ac:dyDescent="0.25">
      <c r="A846" t="s">
        <v>958</v>
      </c>
      <c r="B846" t="str">
        <f>IF(COUNTIF(A:A,A846)&gt;1,_xlfn.CONCAT(A846," (",N846,")"),A846)</f>
        <v>Sāndū Xiāng</v>
      </c>
      <c r="C846" t="str">
        <f>IF(COUNTIF(B:B,B846)&gt;1,_xlfn.CONCAT(A846," (",M846,")"),B846)</f>
        <v>Sāndū Xiāng</v>
      </c>
      <c r="D846" t="s">
        <v>959</v>
      </c>
      <c r="E846" t="s">
        <v>17</v>
      </c>
      <c r="F846" t="str">
        <f>_xlfn.CONCAT(D846,", ",H846,", ",I846,", ","山西省")</f>
        <v>三都乡, 昔阳县, 晋中市, 山西省</v>
      </c>
      <c r="G846">
        <v>8810</v>
      </c>
      <c r="H846" t="s">
        <v>2922</v>
      </c>
      <c r="I846" t="s">
        <v>2914</v>
      </c>
      <c r="J846" t="e">
        <f>VLOOKUP(F846,[1]!china_towns_second__2[[Column1]:[Y]],3,FALSE)</f>
        <v>#N/A</v>
      </c>
      <c r="K846" t="e">
        <f>VLOOKUP(F846,[1]!china_towns_second__2[[Column1]:[Y]],2,FALSE)</f>
        <v>#N/A</v>
      </c>
      <c r="L846" t="s">
        <v>4422</v>
      </c>
      <c r="M846" t="str">
        <f>VLOOKUP(H846,CHOOSE({1,2},Table12[Native],Table12[Name]),2,0)</f>
        <v>Xīyáng Xiàn</v>
      </c>
      <c r="N846" s="13" t="str">
        <f>VLOOKUP(I846,CHOOSE({1,2},Table12[Native],Table12[Name]),2,0)</f>
        <v>Jìnzhōng Shì</v>
      </c>
      <c r="O846" s="13" t="str">
        <f t="shared" si="26"/>
        <v>Sandu Xiang (Jìnzhōng Shì)</v>
      </c>
      <c r="P846" s="13" t="str">
        <f t="shared" si="27"/>
        <v>Sandu Xiang (Jìnzhōng Shì)</v>
      </c>
    </row>
    <row r="847" spans="1:16" hidden="1" x14ac:dyDescent="0.25">
      <c r="A847" t="s">
        <v>1263</v>
      </c>
      <c r="B847" t="str">
        <f>IF(COUNTIF(A:A,A847)&gt;1,_xlfn.CONCAT(A847," (",N847,")"),A847)</f>
        <v>Sānduō Xiāng</v>
      </c>
      <c r="C847" t="str">
        <f>IF(COUNTIF(B:B,B847)&gt;1,_xlfn.CONCAT(A847," (",M847,")"),B847)</f>
        <v>Sānduō Xiāng</v>
      </c>
      <c r="D847" t="s">
        <v>1264</v>
      </c>
      <c r="E847" t="s">
        <v>17</v>
      </c>
      <c r="F847" t="str">
        <f>_xlfn.CONCAT(D847,", ",H847,", ",I847,", ","山西省")</f>
        <v>三多乡, 大宁县, 临汾市, 山西省</v>
      </c>
      <c r="G847">
        <v>7025</v>
      </c>
      <c r="H847" t="s">
        <v>2929</v>
      </c>
      <c r="I847" t="s">
        <v>2927</v>
      </c>
      <c r="J847" t="e">
        <f>VLOOKUP(F847,[1]!china_towns_second__2[[Column1]:[Y]],3,FALSE)</f>
        <v>#N/A</v>
      </c>
      <c r="K847" t="e">
        <f>VLOOKUP(F847,[1]!china_towns_second__2[[Column1]:[Y]],2,FALSE)</f>
        <v>#N/A</v>
      </c>
      <c r="L847" t="s">
        <v>4423</v>
      </c>
      <c r="M847" t="str">
        <f>VLOOKUP(H847,CHOOSE({1,2},Table12[Native],Table12[Name]),2,0)</f>
        <v>Dàníng Xiàn</v>
      </c>
      <c r="N847" s="13" t="str">
        <f>VLOOKUP(I847,CHOOSE({1,2},Table12[Native],Table12[Name]),2,0)</f>
        <v>Línfén Shì</v>
      </c>
      <c r="O847" s="13" t="str">
        <f t="shared" si="26"/>
        <v>Sanduo Xiang (Línfén Shì)</v>
      </c>
      <c r="P847" s="13" t="str">
        <f t="shared" si="27"/>
        <v>Sanduo Xiang (Línfén Shì)</v>
      </c>
    </row>
    <row r="848" spans="1:16" hidden="1" x14ac:dyDescent="0.25">
      <c r="A848" t="s">
        <v>1265</v>
      </c>
      <c r="B848" t="str">
        <f>IF(COUNTIF(A:A,A848)&gt;1,_xlfn.CONCAT(A848," (",N848,")"),A848)</f>
        <v>Sāngbì Zhèn</v>
      </c>
      <c r="C848" t="str">
        <f>IF(COUNTIF(B:B,B848)&gt;1,_xlfn.CONCAT(A848," (",M848,")"),B848)</f>
        <v>Sāngbì Zhèn</v>
      </c>
      <c r="D848" t="s">
        <v>1266</v>
      </c>
      <c r="E848" t="s">
        <v>7</v>
      </c>
      <c r="F848" t="str">
        <f>_xlfn.CONCAT(D848,", ",H848,", ",I848,", ","山西省")</f>
        <v>桑壁镇, 永和县, 临汾市, 山西省</v>
      </c>
      <c r="G848">
        <v>5376</v>
      </c>
      <c r="H848" t="s">
        <v>2944</v>
      </c>
      <c r="I848" t="s">
        <v>2927</v>
      </c>
      <c r="J848">
        <f>VLOOKUP(F848,[1]!china_towns_second__2[[Column1]:[Y]],3,FALSE)</f>
        <v>36.67379295992</v>
      </c>
      <c r="K848">
        <f>VLOOKUP(F848,[1]!china_towns_second__2[[Column1]:[Y]],2,FALSE)</f>
        <v>110.7205795</v>
      </c>
      <c r="L848" t="s">
        <v>4424</v>
      </c>
      <c r="M848" t="str">
        <f>VLOOKUP(H848,CHOOSE({1,2},Table12[Native],Table12[Name]),2,0)</f>
        <v>Yŏnghé Xiàn</v>
      </c>
      <c r="N848" s="13" t="str">
        <f>VLOOKUP(I848,CHOOSE({1,2},Table12[Native],Table12[Name]),2,0)</f>
        <v>Línfén Shì</v>
      </c>
      <c r="O848" s="13" t="str">
        <f t="shared" si="26"/>
        <v>Sangbi Zhen (Línfén Shì)</v>
      </c>
      <c r="P848" s="13" t="str">
        <f t="shared" si="27"/>
        <v>Sangbi Zhen (Línfén Shì)</v>
      </c>
    </row>
    <row r="849" spans="1:16" hidden="1" x14ac:dyDescent="0.25">
      <c r="A849" t="s">
        <v>2766</v>
      </c>
      <c r="B849" t="str">
        <f>IF(COUNTIF(A:A,A849)&gt;1,_xlfn.CONCAT(A849," (",N849,")"),A849)</f>
        <v>Sānguăn Zhèn</v>
      </c>
      <c r="C849" t="str">
        <f>IF(COUNTIF(B:B,B849)&gt;1,_xlfn.CONCAT(A849," (",M849,")"),B849)</f>
        <v>Sānguăn Zhèn</v>
      </c>
      <c r="D849" t="s">
        <v>2767</v>
      </c>
      <c r="E849" t="s">
        <v>7</v>
      </c>
      <c r="F849" t="str">
        <f>_xlfn.CONCAT(D849,", ",H849,", ",I849,", ","山西省")</f>
        <v>三管镇, 临猗县, 运城市, 山西省</v>
      </c>
      <c r="G849">
        <v>18782</v>
      </c>
      <c r="H849" t="s">
        <v>3007</v>
      </c>
      <c r="I849" t="s">
        <v>3003</v>
      </c>
      <c r="J849">
        <f>VLOOKUP(F849,[1]!china_towns_second__2[[Column1]:[Y]],3,FALSE)</f>
        <v>35.2226394656184</v>
      </c>
      <c r="K849">
        <f>VLOOKUP(F849,[1]!china_towns_second__2[[Column1]:[Y]],2,FALSE)</f>
        <v>110.82713270000001</v>
      </c>
      <c r="L849" t="s">
        <v>4425</v>
      </c>
      <c r="M849" t="str">
        <f>VLOOKUP(H849,CHOOSE({1,2},Table12[Native],Table12[Name]),2,0)</f>
        <v>Línyī Xiàn</v>
      </c>
      <c r="N849" s="13" t="str">
        <f>VLOOKUP(I849,CHOOSE({1,2},Table12[Native],Table12[Name]),2,0)</f>
        <v>Yùnchéng Shì</v>
      </c>
      <c r="O849" s="13" t="str">
        <f t="shared" si="26"/>
        <v>Sanguan Zhen (Yùnchéng Shì)</v>
      </c>
      <c r="P849" s="13" t="str">
        <f t="shared" si="27"/>
        <v>Sanguan Zhen (Yùnchéng Shì)</v>
      </c>
    </row>
    <row r="850" spans="1:16" hidden="1" x14ac:dyDescent="0.25">
      <c r="A850" t="s">
        <v>960</v>
      </c>
      <c r="B850" t="str">
        <f>IF(COUNTIF(A:A,A850)&gt;1,_xlfn.CONCAT(A850," (",N850,")"),A850)</f>
        <v>Sānjiā Xiāng</v>
      </c>
      <c r="C850" t="str">
        <f>IF(COUNTIF(B:B,B850)&gt;1,_xlfn.CONCAT(A850," (",M850,")"),B850)</f>
        <v>Sānjiā Xiāng</v>
      </c>
      <c r="D850" t="s">
        <v>961</v>
      </c>
      <c r="E850" t="s">
        <v>17</v>
      </c>
      <c r="F850" t="str">
        <f>_xlfn.CONCAT(D850,", ",H850,", ",I850,", ","山西省")</f>
        <v>三佳乡, 介休市, 晋中市, 山西省</v>
      </c>
      <c r="G850">
        <v>18314</v>
      </c>
      <c r="H850" t="s">
        <v>2916</v>
      </c>
      <c r="I850" t="s">
        <v>2914</v>
      </c>
      <c r="J850" t="e">
        <f>VLOOKUP(F850,[1]!china_towns_second__2[[Column1]:[Y]],3,FALSE)</f>
        <v>#N/A</v>
      </c>
      <c r="K850" t="e">
        <f>VLOOKUP(F850,[1]!china_towns_second__2[[Column1]:[Y]],2,FALSE)</f>
        <v>#N/A</v>
      </c>
      <c r="L850" t="s">
        <v>4426</v>
      </c>
      <c r="M850" t="str">
        <f>VLOOKUP(H850,CHOOSE({1,2},Table12[Native],Table12[Name]),2,0)</f>
        <v>Jièxiū Shì</v>
      </c>
      <c r="N850" s="13" t="str">
        <f>VLOOKUP(I850,CHOOSE({1,2},Table12[Native],Table12[Name]),2,0)</f>
        <v>Jìnzhōng Shì</v>
      </c>
      <c r="O850" s="13" t="str">
        <f t="shared" si="26"/>
        <v>Sanjia Xiang (Jìnzhōng Shì)</v>
      </c>
      <c r="P850" s="13" t="str">
        <f t="shared" si="27"/>
        <v>Sanjia Xiang (Jìnzhōng Shì)</v>
      </c>
    </row>
    <row r="851" spans="1:16" hidden="1" x14ac:dyDescent="0.25">
      <c r="A851" t="s">
        <v>733</v>
      </c>
      <c r="B851" t="str">
        <f>IF(COUNTIF(A:A,A851)&gt;1,_xlfn.CONCAT(A851," (",N851,")"),A851)</f>
        <v>Sānjiă Zhèn</v>
      </c>
      <c r="C851" t="str">
        <f>IF(COUNTIF(B:B,B851)&gt;1,_xlfn.CONCAT(A851," (",M851,")"),B851)</f>
        <v>Sānjiă Zhèn</v>
      </c>
      <c r="D851" t="s">
        <v>734</v>
      </c>
      <c r="E851" t="s">
        <v>7</v>
      </c>
      <c r="F851" t="str">
        <f>_xlfn.CONCAT(D851,", ",H851,", ",I851,", ","山西省")</f>
        <v>三甲镇, 高平市, 晋城市, 山西省</v>
      </c>
      <c r="G851">
        <v>22916</v>
      </c>
      <c r="H851" t="s">
        <v>2908</v>
      </c>
      <c r="I851" t="s">
        <v>2906</v>
      </c>
      <c r="J851">
        <f>VLOOKUP(F851,[1]!china_towns_second__2[[Column1]:[Y]],3,FALSE)</f>
        <v>35.849186514765599</v>
      </c>
      <c r="K851">
        <f>VLOOKUP(F851,[1]!china_towns_second__2[[Column1]:[Y]],2,FALSE)</f>
        <v>112.9649972</v>
      </c>
      <c r="L851" t="s">
        <v>4427</v>
      </c>
      <c r="M851" t="str">
        <f>VLOOKUP(H851,CHOOSE({1,2},Table12[Native],Table12[Name]),2,0)</f>
        <v>Gāopíng Shì</v>
      </c>
      <c r="N851" s="13" t="str">
        <f>VLOOKUP(I851,CHOOSE({1,2},Table12[Native],Table12[Name]),2,0)</f>
        <v>Jìnchéng Shì</v>
      </c>
      <c r="O851" s="13" t="str">
        <f t="shared" si="26"/>
        <v>Sanjia Zhen (Jìnchéng Shì)</v>
      </c>
      <c r="P851" s="13" t="str">
        <f t="shared" si="27"/>
        <v>Sanjia Zhen (Jìnchéng Shì)</v>
      </c>
    </row>
    <row r="852" spans="1:16" hidden="1" x14ac:dyDescent="0.25">
      <c r="A852" t="s">
        <v>1267</v>
      </c>
      <c r="B852" t="str">
        <f>IF(COUNTIF(A:A,A852)&gt;1,_xlfn.CONCAT(A852," (",N852,")"),A852)</f>
        <v>Sānjiào Xiāng</v>
      </c>
      <c r="C852" t="str">
        <f>IF(COUNTIF(B:B,B852)&gt;1,_xlfn.CONCAT(A852," (",M852,")"),B852)</f>
        <v>Sānjiào Xiāng</v>
      </c>
      <c r="D852" t="s">
        <v>1268</v>
      </c>
      <c r="E852" t="s">
        <v>17</v>
      </c>
      <c r="F852" t="str">
        <f>_xlfn.CONCAT(D852,", ",H852,", ",I852,", ","山西省")</f>
        <v>三教乡, 霍州市, 临汾市, 山西省</v>
      </c>
      <c r="G852">
        <v>19721</v>
      </c>
      <c r="H852" t="s">
        <v>2935</v>
      </c>
      <c r="I852" t="s">
        <v>2927</v>
      </c>
      <c r="J852" t="e">
        <f>VLOOKUP(F852,[1]!china_towns_second__2[[Column1]:[Y]],3,FALSE)</f>
        <v>#N/A</v>
      </c>
      <c r="K852" t="e">
        <f>VLOOKUP(F852,[1]!china_towns_second__2[[Column1]:[Y]],2,FALSE)</f>
        <v>#N/A</v>
      </c>
      <c r="L852" t="s">
        <v>4428</v>
      </c>
      <c r="M852" t="str">
        <f>VLOOKUP(H852,CHOOSE({1,2},Table12[Native],Table12[Name]),2,0)</f>
        <v>Huòzhōu Shì</v>
      </c>
      <c r="N852" s="13" t="str">
        <f>VLOOKUP(I852,CHOOSE({1,2},Table12[Native],Table12[Name]),2,0)</f>
        <v>Línfén Shì</v>
      </c>
      <c r="O852" s="13" t="str">
        <f t="shared" si="26"/>
        <v>Sanjiao Xiang (Línfén Shì)</v>
      </c>
      <c r="P852" s="13" t="str">
        <f t="shared" si="27"/>
        <v>Sanjiao Xiang (Línfén Shì)</v>
      </c>
    </row>
    <row r="853" spans="1:16" hidden="1" x14ac:dyDescent="0.25">
      <c r="A853" t="s">
        <v>1604</v>
      </c>
      <c r="B853" t="str">
        <f>IF(COUNTIF(A:A,A853)&gt;1,_xlfn.CONCAT(A853," (",N853,")"),A853)</f>
        <v>Sānjiāo Zhèn (Lǚliáng Shì)</v>
      </c>
      <c r="C853" t="str">
        <f>IF(COUNTIF(B:B,B853)&gt;1,_xlfn.CONCAT(A853," (",M853,")"),B853)</f>
        <v>Sānjiāo Zhèn (Lín Xiàn)</v>
      </c>
      <c r="D853" t="s">
        <v>1605</v>
      </c>
      <c r="E853" t="s">
        <v>7</v>
      </c>
      <c r="F853" t="str">
        <f>_xlfn.CONCAT(D853,", ",H853,", ",I853,", ","山西省")</f>
        <v>三交镇, 临县, 吕梁市, 山西省</v>
      </c>
      <c r="G853">
        <v>51252</v>
      </c>
      <c r="H853" t="s">
        <v>2952</v>
      </c>
      <c r="I853" t="s">
        <v>2946</v>
      </c>
      <c r="J853">
        <f>VLOOKUP(F853,[1]!china_towns_second__2[[Column1]:[Y]],3,FALSE)</f>
        <v>37.767288065860797</v>
      </c>
      <c r="K853">
        <f>VLOOKUP(F853,[1]!china_towns_second__2[[Column1]:[Y]],2,FALSE)</f>
        <v>110.956183</v>
      </c>
      <c r="L853" t="s">
        <v>4429</v>
      </c>
      <c r="M853" t="str">
        <f>VLOOKUP(H853,CHOOSE({1,2},Table12[Native],Table12[Name]),2,0)</f>
        <v>Lín Xiàn</v>
      </c>
      <c r="N853" s="13" t="str">
        <f>VLOOKUP(I853,CHOOSE({1,2},Table12[Native],Table12[Name]),2,0)</f>
        <v>Lǚliáng Shì</v>
      </c>
      <c r="O853" s="13" t="str">
        <f t="shared" si="26"/>
        <v>Sanjiao Zhen (Lin Xian) (Lǚliáng Shì)</v>
      </c>
      <c r="P853" s="13" t="str">
        <f t="shared" si="27"/>
        <v>Sanjiao Zhen (Lin Xian) (Lǚliáng Shì)</v>
      </c>
    </row>
    <row r="854" spans="1:16" hidden="1" x14ac:dyDescent="0.25">
      <c r="A854" t="s">
        <v>1604</v>
      </c>
      <c r="B854" t="str">
        <f>IF(COUNTIF(A:A,A854)&gt;1,_xlfn.CONCAT(A854," (",N854,")"),A854)</f>
        <v>Sānjiāo Zhèn (Lǚliáng Shì)</v>
      </c>
      <c r="C854" t="str">
        <f>IF(COUNTIF(B:B,B854)&gt;1,_xlfn.CONCAT(A854," (",M854,")"),B854)</f>
        <v>Sānjiāo Zhèn (Liŭlín Xiàn)</v>
      </c>
      <c r="D854" t="s">
        <v>1605</v>
      </c>
      <c r="E854" t="s">
        <v>7</v>
      </c>
      <c r="F854" t="str">
        <f>_xlfn.CONCAT(D854,", ",H854,", ",I854,", ","山西省")</f>
        <v>三交镇, 柳林县, 吕梁市, 山西省</v>
      </c>
      <c r="G854">
        <v>11972</v>
      </c>
      <c r="H854" t="s">
        <v>2954</v>
      </c>
      <c r="I854" t="s">
        <v>2946</v>
      </c>
      <c r="J854">
        <f>VLOOKUP(F854,[1]!china_towns_second__2[[Column1]:[Y]],3,FALSE)</f>
        <v>37.2740812248746</v>
      </c>
      <c r="K854">
        <f>VLOOKUP(F854,[1]!china_towns_second__2[[Column1]:[Y]],2,FALSE)</f>
        <v>110.73076349999999</v>
      </c>
      <c r="L854" t="s">
        <v>4430</v>
      </c>
      <c r="M854" t="str">
        <f>VLOOKUP(H854,CHOOSE({1,2},Table12[Native],Table12[Name]),2,0)</f>
        <v>Liŭlín Xiàn</v>
      </c>
      <c r="N854" s="13" t="str">
        <f>VLOOKUP(I854,CHOOSE({1,2},Table12[Native],Table12[Name]),2,0)</f>
        <v>Lǚliáng Shì</v>
      </c>
      <c r="O854" s="13" t="str">
        <f t="shared" si="26"/>
        <v>Sanjiao Zhen (Liulin Xian) (Lǚliáng Shì)</v>
      </c>
      <c r="P854" s="13" t="str">
        <f t="shared" si="27"/>
        <v>Sanjiao Zhen (Liulin Xian) (Lǚliáng Shì)</v>
      </c>
    </row>
    <row r="855" spans="1:16" hidden="1" x14ac:dyDescent="0.25">
      <c r="A855" t="s">
        <v>1604</v>
      </c>
      <c r="B855" t="str">
        <f>IF(COUNTIF(A:A,A855)&gt;1,_xlfn.CONCAT(A855," (",N855,")"),A855)</f>
        <v>Sānjiāo Zhèn (Xīnzhōu Shì)</v>
      </c>
      <c r="C855" t="str">
        <f>IF(COUNTIF(B:B,B855)&gt;1,_xlfn.CONCAT(A855," (",M855,")"),B855)</f>
        <v>Sānjiāo Zhèn (Xīnzhōu Shì)</v>
      </c>
      <c r="D855" t="s">
        <v>1605</v>
      </c>
      <c r="E855" t="s">
        <v>7</v>
      </c>
      <c r="F855" t="str">
        <f>_xlfn.CONCAT(D855,", ",H855,", ",I855,", ","山西省")</f>
        <v>三交镇, 忻府区, 忻州市, 山西省</v>
      </c>
      <c r="G855">
        <v>7930</v>
      </c>
      <c r="H855" t="s">
        <v>2994</v>
      </c>
      <c r="I855" t="s">
        <v>2981</v>
      </c>
      <c r="J855">
        <f>VLOOKUP(F855,[1]!china_towns_second__2[[Column1]:[Y]],3,FALSE)</f>
        <v>38.360057415422801</v>
      </c>
      <c r="K855">
        <f>VLOOKUP(F855,[1]!china_towns_second__2[[Column1]:[Y]],2,FALSE)</f>
        <v>112.4198695</v>
      </c>
      <c r="L855" t="s">
        <v>4431</v>
      </c>
      <c r="M855" t="str">
        <f>VLOOKUP(H855,CHOOSE({1,2},Table12[Native],Table12[Name]),2,0)</f>
        <v>Xīnfŭ Qū</v>
      </c>
      <c r="N855" s="13" t="str">
        <f>VLOOKUP(I855,CHOOSE({1,2},Table12[Native],Table12[Name]),2,0)</f>
        <v>Xīnzhōu Shì</v>
      </c>
      <c r="O855" s="13" t="str">
        <f t="shared" si="26"/>
        <v>Sanjiao Zhen (Xinzhou Shi) (Xīnzhōu Shì)</v>
      </c>
      <c r="P855" s="13" t="str">
        <f t="shared" si="27"/>
        <v>Sanjiao Zhen (Xinzhou Shi) (Xīnzhōu Shì)</v>
      </c>
    </row>
    <row r="856" spans="1:16" hidden="1" x14ac:dyDescent="0.25">
      <c r="A856" t="s">
        <v>2316</v>
      </c>
      <c r="B856" t="str">
        <f>IF(COUNTIF(A:A,A856)&gt;1,_xlfn.CONCAT(A856," (",N856,")"),A856)</f>
        <v>Sānjĭng Zhèn</v>
      </c>
      <c r="C856" t="str">
        <f>IF(COUNTIF(B:B,B856)&gt;1,_xlfn.CONCAT(A856," (",M856,")"),B856)</f>
        <v>Sānjĭng Zhèn</v>
      </c>
      <c r="D856" t="s">
        <v>2317</v>
      </c>
      <c r="E856" t="s">
        <v>7</v>
      </c>
      <c r="F856" t="str">
        <f>_xlfn.CONCAT(D856,", ",H856,", ",I856,", ","山西省")</f>
        <v>三井镇, 岢岚县, 忻州市, 山西省</v>
      </c>
      <c r="G856">
        <v>6796</v>
      </c>
      <c r="H856" t="s">
        <v>2988</v>
      </c>
      <c r="I856" t="s">
        <v>2981</v>
      </c>
      <c r="J856">
        <f>VLOOKUP(F856,[1]!china_towns_second__2[[Column1]:[Y]],3,FALSE)</f>
        <v>38.8186788618534</v>
      </c>
      <c r="K856">
        <f>VLOOKUP(F856,[1]!china_towns_second__2[[Column1]:[Y]],2,FALSE)</f>
        <v>111.67273369999999</v>
      </c>
      <c r="L856" t="s">
        <v>4432</v>
      </c>
      <c r="M856" t="str">
        <f>VLOOKUP(H856,CHOOSE({1,2},Table12[Native],Table12[Name]),2,0)</f>
        <v>Kĕlán Xiàn</v>
      </c>
      <c r="N856" s="13" t="str">
        <f>VLOOKUP(I856,CHOOSE({1,2},Table12[Native],Table12[Name]),2,0)</f>
        <v>Xīnzhōu Shì</v>
      </c>
      <c r="O856" s="13" t="str">
        <f t="shared" si="26"/>
        <v>Sanjing Zhen (Xīnzhōu Shì)</v>
      </c>
      <c r="P856" s="13" t="str">
        <f t="shared" si="27"/>
        <v>Sanjing Zhen (Xīnzhōu Shì)</v>
      </c>
    </row>
    <row r="857" spans="1:16" hidden="1" x14ac:dyDescent="0.25">
      <c r="A857" t="s">
        <v>2768</v>
      </c>
      <c r="B857" t="str">
        <f>IF(COUNTIF(A:A,A857)&gt;1,_xlfn.CONCAT(A857," (",N857,")"),A857)</f>
        <v>Sānlùlĭ Zhèn</v>
      </c>
      <c r="C857" t="str">
        <f>IF(COUNTIF(B:B,B857)&gt;1,_xlfn.CONCAT(A857," (",M857,")"),B857)</f>
        <v>Sānlùlĭ Zhèn</v>
      </c>
      <c r="D857" t="s">
        <v>2769</v>
      </c>
      <c r="E857" t="s">
        <v>7</v>
      </c>
      <c r="F857" t="str">
        <f>_xlfn.CONCAT(D857,", ",H857,", ",I857,", ","山西省")</f>
        <v>三路里镇, 盐湖区, 运城市, 山西省</v>
      </c>
      <c r="G857">
        <v>11940</v>
      </c>
      <c r="H857" t="s">
        <v>3014</v>
      </c>
      <c r="I857" t="s">
        <v>3003</v>
      </c>
      <c r="J857">
        <f>VLOOKUP(F857,[1]!china_towns_second__2[[Column1]:[Y]],3,FALSE)</f>
        <v>35.296581430183402</v>
      </c>
      <c r="K857">
        <f>VLOOKUP(F857,[1]!china_towns_second__2[[Column1]:[Y]],2,FALSE)</f>
        <v>110.9807287</v>
      </c>
      <c r="L857" t="s">
        <v>4433</v>
      </c>
      <c r="M857" t="str">
        <f>VLOOKUP(H857,CHOOSE({1,2},Table12[Native],Table12[Name]),2,0)</f>
        <v>Yánhú Qū</v>
      </c>
      <c r="N857" s="13" t="str">
        <f>VLOOKUP(I857,CHOOSE({1,2},Table12[Native],Table12[Name]),2,0)</f>
        <v>Yùnchéng Shì</v>
      </c>
      <c r="O857" s="13" t="str">
        <f t="shared" si="26"/>
        <v>Sanluli Zhen (Yùnchéng Shì)</v>
      </c>
      <c r="P857" s="13" t="str">
        <f t="shared" si="27"/>
        <v>Sanluli Zhen (Yùnchéng Shì)</v>
      </c>
    </row>
    <row r="858" spans="1:16" hidden="1" x14ac:dyDescent="0.25">
      <c r="A858" t="s">
        <v>2770</v>
      </c>
      <c r="B858" t="str">
        <f>IF(COUNTIF(A:A,A858)&gt;1,_xlfn.CONCAT(A858," (",N858,")"),A858)</f>
        <v>Sānmén Zhèn</v>
      </c>
      <c r="C858" t="str">
        <f>IF(COUNTIF(B:B,B858)&gt;1,_xlfn.CONCAT(A858," (",M858,")"),B858)</f>
        <v>Sānmén Zhèn</v>
      </c>
      <c r="D858" t="s">
        <v>2771</v>
      </c>
      <c r="E858" t="s">
        <v>7</v>
      </c>
      <c r="F858" t="str">
        <f>_xlfn.CONCAT(D858,", ",H858,", ",I858,", ","山西省")</f>
        <v>三门镇, 平陆县, 运城市, 山西省</v>
      </c>
      <c r="G858">
        <v>9234</v>
      </c>
      <c r="H858" t="s">
        <v>3008</v>
      </c>
      <c r="I858" t="s">
        <v>3003</v>
      </c>
      <c r="J858">
        <f>VLOOKUP(F858,[1]!china_towns_second__2[[Column1]:[Y]],3,FALSE)</f>
        <v>34.8668562625896</v>
      </c>
      <c r="K858">
        <f>VLOOKUP(F858,[1]!china_towns_second__2[[Column1]:[Y]],2,FALSE)</f>
        <v>111.349818</v>
      </c>
      <c r="L858" t="s">
        <v>4434</v>
      </c>
      <c r="M858" t="str">
        <f>VLOOKUP(H858,CHOOSE({1,2},Table12[Native],Table12[Name]),2,0)</f>
        <v>Pínglù Xiàn</v>
      </c>
      <c r="N858" s="13" t="str">
        <f>VLOOKUP(I858,CHOOSE({1,2},Table12[Native],Table12[Name]),2,0)</f>
        <v>Yùnchéng Shì</v>
      </c>
      <c r="O858" s="13" t="str">
        <f t="shared" si="26"/>
        <v>Sanmen Zhen (Yùnchéng Shì)</v>
      </c>
      <c r="P858" s="13" t="str">
        <f t="shared" si="27"/>
        <v>Sanmen Zhen (Yùnchéng Shì)</v>
      </c>
    </row>
    <row r="859" spans="1:16" hidden="1" x14ac:dyDescent="0.25">
      <c r="A859" t="s">
        <v>2018</v>
      </c>
      <c r="B859" t="str">
        <f>IF(COUNTIF(A:A,A859)&gt;1,_xlfn.CONCAT(A859," (",N859,")"),A859)</f>
        <v>Sānqiáo Jiēdào</v>
      </c>
      <c r="C859" t="str">
        <f>IF(COUNTIF(B:B,B859)&gt;1,_xlfn.CONCAT(A859," (",M859,")"),B859)</f>
        <v>Sānqiáo Jiēdào</v>
      </c>
      <c r="D859" t="s">
        <v>2019</v>
      </c>
      <c r="E859" t="s">
        <v>31</v>
      </c>
      <c r="F859" t="str">
        <f>_xlfn.CONCAT(D859,", ",H859,", ",I859,", ","山西省")</f>
        <v>三桥街道, 杏花岭区, 太原市, 山西省</v>
      </c>
      <c r="G859">
        <v>84007</v>
      </c>
      <c r="H859" t="s">
        <v>2977</v>
      </c>
      <c r="I859" t="s">
        <v>2969</v>
      </c>
      <c r="J859">
        <f>VLOOKUP(F859,[1]!china_towns_second__2[[Column1]:[Y]],3,FALSE)</f>
        <v>37.878814958314102</v>
      </c>
      <c r="K859">
        <f>VLOOKUP(F859,[1]!china_towns_second__2[[Column1]:[Y]],2,FALSE)</f>
        <v>112.541111</v>
      </c>
      <c r="L859" t="s">
        <v>4435</v>
      </c>
      <c r="M859" t="str">
        <f>VLOOKUP(H859,CHOOSE({1,2},Table12[Native],Table12[Name]),2,0)</f>
        <v>Xìnghuālĭng Qū</v>
      </c>
      <c r="N859" s="13" t="str">
        <f>VLOOKUP(I859,CHOOSE({1,2},Table12[Native],Table12[Name]),2,0)</f>
        <v>Tàiyuán Shì</v>
      </c>
      <c r="O859" s="13" t="str">
        <f t="shared" si="26"/>
        <v>Sanqiao Jiedao (Tàiyuán Shì)</v>
      </c>
      <c r="P859" s="13" t="str">
        <f t="shared" si="27"/>
        <v>Sanqiao Jiedao (Tàiyuán Shì)</v>
      </c>
    </row>
    <row r="860" spans="1:16" hidden="1" x14ac:dyDescent="0.25">
      <c r="A860" t="s">
        <v>1606</v>
      </c>
      <c r="B860" t="str">
        <f>IF(COUNTIF(A:A,A860)&gt;1,_xlfn.CONCAT(A860," (",N860,")"),A860)</f>
        <v>Sānquán Zhèn (Lǚliáng Shì)</v>
      </c>
      <c r="C860" t="str">
        <f>IF(COUNTIF(B:B,B860)&gt;1,_xlfn.CONCAT(A860," (",M860,")"),B860)</f>
        <v>Sānquán Zhèn (Lǚliáng Shì)</v>
      </c>
      <c r="D860" t="s">
        <v>1607</v>
      </c>
      <c r="E860" t="s">
        <v>7</v>
      </c>
      <c r="F860" t="str">
        <f>_xlfn.CONCAT(D860,", ",H860,", ",I860,", ","山西省")</f>
        <v>三泉镇, 汾阳市, 吕梁市, 山西省</v>
      </c>
      <c r="G860">
        <v>32948</v>
      </c>
      <c r="H860" t="s">
        <v>2948</v>
      </c>
      <c r="I860" t="s">
        <v>2946</v>
      </c>
      <c r="J860">
        <f>VLOOKUP(F860,[1]!china_towns_second__2[[Column1]:[Y]],3,FALSE)</f>
        <v>37.2009126896669</v>
      </c>
      <c r="K860">
        <f>VLOOKUP(F860,[1]!china_towns_second__2[[Column1]:[Y]],2,FALSE)</f>
        <v>111.68700509999999</v>
      </c>
      <c r="L860" t="s">
        <v>4436</v>
      </c>
      <c r="M860" t="str">
        <f>VLOOKUP(H860,CHOOSE({1,2},Table12[Native],Table12[Name]),2,0)</f>
        <v>Fényáng Shì</v>
      </c>
      <c r="N860" s="13" t="str">
        <f>VLOOKUP(I860,CHOOSE({1,2},Table12[Native],Table12[Name]),2,0)</f>
        <v>Lǚliáng Shì</v>
      </c>
      <c r="O860" s="13" t="str">
        <f t="shared" si="26"/>
        <v>Sanquan Zhen (Luliang Shi) (Lǚliáng Shì)</v>
      </c>
      <c r="P860" s="13" t="str">
        <f t="shared" si="27"/>
        <v>Sanquan Zhen (Luliang Shi) (Lǚliáng Shì)</v>
      </c>
    </row>
    <row r="861" spans="1:16" hidden="1" x14ac:dyDescent="0.25">
      <c r="A861" t="s">
        <v>1606</v>
      </c>
      <c r="B861" t="str">
        <f>IF(COUNTIF(A:A,A861)&gt;1,_xlfn.CONCAT(A861," (",N861,")"),A861)</f>
        <v>Sānquán Zhèn (Yùnchéng Shì)</v>
      </c>
      <c r="C861" t="str">
        <f>IF(COUNTIF(B:B,B861)&gt;1,_xlfn.CONCAT(A861," (",M861,")"),B861)</f>
        <v>Sānquán Zhèn (Yùnchéng Shì)</v>
      </c>
      <c r="D861" t="s">
        <v>1607</v>
      </c>
      <c r="E861" t="s">
        <v>7</v>
      </c>
      <c r="F861" t="str">
        <f>_xlfn.CONCAT(D861,", ",H861,", ",I861,", ","山西省")</f>
        <v>三泉镇, 新绛县, 运城市, 山西省</v>
      </c>
      <c r="G861">
        <v>40227</v>
      </c>
      <c r="H861" t="s">
        <v>3013</v>
      </c>
      <c r="I861" t="s">
        <v>3003</v>
      </c>
      <c r="J861">
        <f>VLOOKUP(F861,[1]!china_towns_second__2[[Column1]:[Y]],3,FALSE)</f>
        <v>35.675339607599398</v>
      </c>
      <c r="K861">
        <f>VLOOKUP(F861,[1]!china_towns_second__2[[Column1]:[Y]],2,FALSE)</f>
        <v>111.1906875</v>
      </c>
      <c r="L861" t="s">
        <v>4437</v>
      </c>
      <c r="M861" t="str">
        <f>VLOOKUP(H861,CHOOSE({1,2},Table12[Native],Table12[Name]),2,0)</f>
        <v>Xīnjiàng Xiàn</v>
      </c>
      <c r="N861" s="13" t="str">
        <f>VLOOKUP(I861,CHOOSE({1,2},Table12[Native],Table12[Name]),2,0)</f>
        <v>Yùnchéng Shì</v>
      </c>
      <c r="O861" s="13" t="str">
        <f t="shared" si="26"/>
        <v>Sanquan Zhen (Yuncheng Shi) (Yùnchéng Shì)</v>
      </c>
      <c r="P861" s="13" t="str">
        <f t="shared" si="27"/>
        <v>Sanquan Zhen (Yuncheng Shi) (Yùnchéng Shì)</v>
      </c>
    </row>
    <row r="862" spans="1:16" hidden="1" x14ac:dyDescent="0.25">
      <c r="A862" t="s">
        <v>489</v>
      </c>
      <c r="B862" t="str">
        <f>IF(COUNTIF(A:A,A862)&gt;1,_xlfn.CONCAT(A862," (",N862,")"),A862)</f>
        <v>Sāntún Xiāng</v>
      </c>
      <c r="C862" t="str">
        <f>IF(COUNTIF(B:B,B862)&gt;1,_xlfn.CONCAT(A862," (",M862,")"),B862)</f>
        <v>Sāntún Xiāng</v>
      </c>
      <c r="D862" t="s">
        <v>490</v>
      </c>
      <c r="E862" t="s">
        <v>17</v>
      </c>
      <c r="F862" t="str">
        <f>_xlfn.CONCAT(D862,", ",H862,", ",I862,", ","山西省")</f>
        <v>三屯乡, 左云县, 大同市, 山西省</v>
      </c>
      <c r="G862">
        <v>11800</v>
      </c>
      <c r="H862" t="s">
        <v>2904</v>
      </c>
      <c r="I862" t="s">
        <v>2894</v>
      </c>
      <c r="J862" t="e">
        <f>VLOOKUP(F862,[1]!china_towns_second__2[[Column1]:[Y]],3,FALSE)</f>
        <v>#N/A</v>
      </c>
      <c r="K862" t="e">
        <f>VLOOKUP(F862,[1]!china_towns_second__2[[Column1]:[Y]],2,FALSE)</f>
        <v>#N/A</v>
      </c>
      <c r="L862" t="s">
        <v>4438</v>
      </c>
      <c r="M862" t="str">
        <f>VLOOKUP(H862,CHOOSE({1,2},Table12[Native],Table12[Name]),2,0)</f>
        <v>Zuǒyún Xiàn</v>
      </c>
      <c r="N862" s="13" t="str">
        <f>VLOOKUP(I862,CHOOSE({1,2},Table12[Native],Table12[Name]),2,0)</f>
        <v>Dàtóng Shì</v>
      </c>
      <c r="O862" s="13" t="str">
        <f t="shared" si="26"/>
        <v>Santun Xiang (Dàtóng Shì)</v>
      </c>
      <c r="P862" s="13" t="str">
        <f t="shared" si="27"/>
        <v>Santun Xiang (Dàtóng Shì)</v>
      </c>
    </row>
    <row r="863" spans="1:16" hidden="1" x14ac:dyDescent="0.25">
      <c r="A863" t="s">
        <v>2772</v>
      </c>
      <c r="B863" t="str">
        <f>IF(COUNTIF(A:A,A863)&gt;1,_xlfn.CONCAT(A863," (",N863,")"),A863)</f>
        <v>Sēnglóu Zhèn</v>
      </c>
      <c r="C863" t="str">
        <f>IF(COUNTIF(B:B,B863)&gt;1,_xlfn.CONCAT(A863," (",M863,")"),B863)</f>
        <v>Sēnglóu Zhèn</v>
      </c>
      <c r="D863" t="s">
        <v>2773</v>
      </c>
      <c r="E863" t="s">
        <v>7</v>
      </c>
      <c r="F863" t="str">
        <f>_xlfn.CONCAT(D863,", ",H863,", ",I863,", ","山西省")</f>
        <v>僧楼镇, 河津市, 运城市, 山西省</v>
      </c>
      <c r="G863">
        <v>50893</v>
      </c>
      <c r="H863" t="s">
        <v>3004</v>
      </c>
      <c r="I863" t="s">
        <v>3003</v>
      </c>
      <c r="J863">
        <f>VLOOKUP(F863,[1]!china_towns_second__2[[Column1]:[Y]],3,FALSE)</f>
        <v>35.6827211263967</v>
      </c>
      <c r="K863">
        <f>VLOOKUP(F863,[1]!china_towns_second__2[[Column1]:[Y]],2,FALSE)</f>
        <v>110.7744045</v>
      </c>
      <c r="L863" t="s">
        <v>4439</v>
      </c>
      <c r="M863" t="str">
        <f>VLOOKUP(H863,CHOOSE({1,2},Table12[Native],Table12[Name]),2,0)</f>
        <v>Héjīn Shì</v>
      </c>
      <c r="N863" s="13" t="str">
        <f>VLOOKUP(I863,CHOOSE({1,2},Table12[Native],Table12[Name]),2,0)</f>
        <v>Yùnchéng Shì</v>
      </c>
      <c r="O863" s="13" t="str">
        <f t="shared" si="26"/>
        <v>Senglou Zhen (Yùnchéng Shì)</v>
      </c>
      <c r="P863" s="13" t="str">
        <f t="shared" si="27"/>
        <v>Senglou Zhen (Yùnchéng Shì)</v>
      </c>
    </row>
    <row r="864" spans="1:16" hidden="1" x14ac:dyDescent="0.25">
      <c r="A864" t="s">
        <v>1269</v>
      </c>
      <c r="B864" t="str">
        <f>IF(COUNTIF(A:A,A864)&gt;1,_xlfn.CONCAT(A864," (",N864,")"),A864)</f>
        <v>Sēngniàn Zhèn</v>
      </c>
      <c r="C864" t="str">
        <f>IF(COUNTIF(B:B,B864)&gt;1,_xlfn.CONCAT(A864," (",M864,")"),B864)</f>
        <v>Sēngniàn Zhèn</v>
      </c>
      <c r="D864" t="s">
        <v>1270</v>
      </c>
      <c r="E864" t="s">
        <v>7</v>
      </c>
      <c r="F864" t="str">
        <f>_xlfn.CONCAT(D864,", ",H864,", ",I864,", ","山西省")</f>
        <v>僧念镇, 汾西县, 临汾市, 山西省</v>
      </c>
      <c r="G864">
        <v>14233</v>
      </c>
      <c r="H864" t="s">
        <v>2930</v>
      </c>
      <c r="I864" t="s">
        <v>2927</v>
      </c>
      <c r="J864">
        <f>VLOOKUP(F864,[1]!china_towns_second__2[[Column1]:[Y]],3,FALSE)</f>
        <v>36.594466652928602</v>
      </c>
      <c r="K864">
        <f>VLOOKUP(F864,[1]!china_towns_second__2[[Column1]:[Y]],2,FALSE)</f>
        <v>111.5640288</v>
      </c>
      <c r="L864" t="s">
        <v>4440</v>
      </c>
      <c r="M864" t="str">
        <f>VLOOKUP(H864,CHOOSE({1,2},Table12[Native],Table12[Name]),2,0)</f>
        <v>Fénxī Xiàn</v>
      </c>
      <c r="N864" s="13" t="str">
        <f>VLOOKUP(I864,CHOOSE({1,2},Table12[Native],Table12[Name]),2,0)</f>
        <v>Línfén Shì</v>
      </c>
      <c r="O864" s="13" t="str">
        <f t="shared" si="26"/>
        <v>Sengnian Zhen (Línfén Shì)</v>
      </c>
      <c r="P864" s="13" t="str">
        <f t="shared" si="27"/>
        <v>Sengnian Zhen (Línfén Shì)</v>
      </c>
    </row>
    <row r="865" spans="1:16" hidden="1" x14ac:dyDescent="0.25">
      <c r="A865" t="s">
        <v>207</v>
      </c>
      <c r="B865" t="str">
        <f>IF(COUNTIF(A:A,A865)&gt;1,_xlfn.CONCAT(A865," (",N865,")"),A865)</f>
        <v>Sètóu Zhèn</v>
      </c>
      <c r="C865" t="str">
        <f>IF(COUNTIF(B:B,B865)&gt;1,_xlfn.CONCAT(A865," (",M865,")"),B865)</f>
        <v>Sètóu Zhèn</v>
      </c>
      <c r="D865" t="s">
        <v>208</v>
      </c>
      <c r="E865" t="s">
        <v>7</v>
      </c>
      <c r="F865" t="str">
        <f>_xlfn.CONCAT(D865,", ",H865,", ",I865,", ","山西省")</f>
        <v>色头镇, 长子县, 长治市, 山西省</v>
      </c>
      <c r="G865">
        <v>19277</v>
      </c>
      <c r="H865" t="s">
        <v>2880</v>
      </c>
      <c r="I865" t="s">
        <v>2878</v>
      </c>
      <c r="J865">
        <f>VLOOKUP(F865,[1]!china_towns_second__2[[Column1]:[Y]],3,FALSE)</f>
        <v>35.952349290786103</v>
      </c>
      <c r="K865">
        <f>VLOOKUP(F865,[1]!china_towns_second__2[[Column1]:[Y]],2,FALSE)</f>
        <v>112.9308261</v>
      </c>
      <c r="L865" t="s">
        <v>4441</v>
      </c>
      <c r="M865" t="str">
        <f>VLOOKUP(H865,CHOOSE({1,2},Table12[Native],Table12[Name]),2,0)</f>
        <v>Chángzi Xiàn</v>
      </c>
      <c r="N865" s="13" t="str">
        <f>VLOOKUP(I865,CHOOSE({1,2},Table12[Native],Table12[Name]),2,0)</f>
        <v>Chángzhì Shì</v>
      </c>
      <c r="O865" s="13" t="str">
        <f t="shared" si="26"/>
        <v>Setou Zhen (Chángzhì Shì)</v>
      </c>
      <c r="P865" s="13" t="str">
        <f t="shared" si="27"/>
        <v>Setou Zhen (Chángzhì Shì)</v>
      </c>
    </row>
    <row r="866" spans="1:16" hidden="1" x14ac:dyDescent="0.25">
      <c r="A866" t="s">
        <v>491</v>
      </c>
      <c r="B866" t="str">
        <f>IF(COUNTIF(A:A,A866)&gt;1,_xlfn.CONCAT(A866," (",N866,")"),A866)</f>
        <v>Shāgētuó Zhèn</v>
      </c>
      <c r="C866" t="str">
        <f>IF(COUNTIF(B:B,B866)&gt;1,_xlfn.CONCAT(A866," (",M866,")"),B866)</f>
        <v>Shāgētuó Zhèn</v>
      </c>
      <c r="D866" t="s">
        <v>492</v>
      </c>
      <c r="E866" t="s">
        <v>7</v>
      </c>
      <c r="F866" t="str">
        <f>_xlfn.CONCAT(D866,", ",H866,", ",I866,", ","山西省")</f>
        <v>沙圪坨镇, 浑源县, 大同市, 山西省</v>
      </c>
      <c r="G866">
        <v>24233</v>
      </c>
      <c r="H866" t="s">
        <v>2896</v>
      </c>
      <c r="I866" t="s">
        <v>2894</v>
      </c>
      <c r="J866">
        <f>VLOOKUP(F866,[1]!china_towns_second__2[[Column1]:[Y]],3,FALSE)</f>
        <v>39.796025557026198</v>
      </c>
      <c r="K866">
        <f>VLOOKUP(F866,[1]!china_towns_second__2[[Column1]:[Y]],2,FALSE)</f>
        <v>113.8029368</v>
      </c>
      <c r="L866" t="s">
        <v>4442</v>
      </c>
      <c r="M866" t="str">
        <f>VLOOKUP(H866,CHOOSE({1,2},Table12[Native],Table12[Name]),2,0)</f>
        <v>Húnyuán Xiàn</v>
      </c>
      <c r="N866" s="13" t="str">
        <f>VLOOKUP(I866,CHOOSE({1,2},Table12[Native],Table12[Name]),2,0)</f>
        <v>Dàtóng Shì</v>
      </c>
      <c r="O866" s="13" t="str">
        <f t="shared" si="26"/>
        <v>Shagetuo Zhen (Dàtóng Shì)</v>
      </c>
      <c r="P866" s="13" t="str">
        <f t="shared" si="27"/>
        <v>Shagetuo Zhen (Dàtóng Shì)</v>
      </c>
    </row>
    <row r="867" spans="1:16" hidden="1" x14ac:dyDescent="0.25">
      <c r="A867" t="s">
        <v>2318</v>
      </c>
      <c r="B867" t="str">
        <f>IF(COUNTIF(A:A,A867)&gt;1,_xlfn.CONCAT(A867," (",N867,")"),A867)</f>
        <v>Shāhé Zhèn</v>
      </c>
      <c r="C867" t="str">
        <f>IF(COUNTIF(B:B,B867)&gt;1,_xlfn.CONCAT(A867," (",M867,")"),B867)</f>
        <v>Shāhé Zhèn</v>
      </c>
      <c r="D867" t="s">
        <v>2319</v>
      </c>
      <c r="E867" t="s">
        <v>7</v>
      </c>
      <c r="F867" t="str">
        <f>_xlfn.CONCAT(D867,", ",H867,", ",I867,", ","山西省")</f>
        <v>砂河镇, 繁峙县, 忻州市, 山西省</v>
      </c>
      <c r="G867">
        <v>60724</v>
      </c>
      <c r="H867" t="s">
        <v>2985</v>
      </c>
      <c r="I867" t="s">
        <v>2981</v>
      </c>
      <c r="J867">
        <f>VLOOKUP(F867,[1]!china_towns_second__2[[Column1]:[Y]],3,FALSE)</f>
        <v>39.327621815659001</v>
      </c>
      <c r="K867">
        <f>VLOOKUP(F867,[1]!china_towns_second__2[[Column1]:[Y]],2,FALSE)</f>
        <v>113.5368435</v>
      </c>
      <c r="L867" t="s">
        <v>4443</v>
      </c>
      <c r="M867" t="str">
        <f>VLOOKUP(H867,CHOOSE({1,2},Table12[Native],Table12[Name]),2,0)</f>
        <v>Fánshì Xiàn</v>
      </c>
      <c r="N867" s="13" t="str">
        <f>VLOOKUP(I867,CHOOSE({1,2},Table12[Native],Table12[Name]),2,0)</f>
        <v>Xīnzhōu Shì</v>
      </c>
      <c r="O867" s="13" t="str">
        <f t="shared" si="26"/>
        <v>Shahe Zhen (Xīnzhōu Shì)</v>
      </c>
      <c r="P867" s="13" t="str">
        <f t="shared" si="27"/>
        <v>Shahe Zhen (Xīnzhōu Shì)</v>
      </c>
    </row>
    <row r="868" spans="1:16" hidden="1" x14ac:dyDescent="0.25">
      <c r="A868" t="s">
        <v>1806</v>
      </c>
      <c r="B868" t="str">
        <f>IF(COUNTIF(A:A,A868)&gt;1,_xlfn.CONCAT(A868," (",N868,")"),A868)</f>
        <v>Shālénghé Xiāng</v>
      </c>
      <c r="C868" t="str">
        <f>IF(COUNTIF(B:B,B868)&gt;1,_xlfn.CONCAT(A868," (",M868,")"),B868)</f>
        <v>Shālénghé Xiāng</v>
      </c>
      <c r="D868" t="s">
        <v>1807</v>
      </c>
      <c r="E868" t="s">
        <v>17</v>
      </c>
      <c r="F868" t="str">
        <f>_xlfn.CONCAT(D868,", ",H868,", ",I868,", ","山西省")</f>
        <v>沙塄河乡, 朔城区, 朔州市, 山西省</v>
      </c>
      <c r="G868">
        <v>14100</v>
      </c>
      <c r="H868" t="s">
        <v>2965</v>
      </c>
      <c r="I868" t="s">
        <v>2961</v>
      </c>
      <c r="J868" t="e">
        <f>VLOOKUP(F868,[1]!china_towns_second__2[[Column1]:[Y]],3,FALSE)</f>
        <v>#N/A</v>
      </c>
      <c r="K868" t="e">
        <f>VLOOKUP(F868,[1]!china_towns_second__2[[Column1]:[Y]],2,FALSE)</f>
        <v>#N/A</v>
      </c>
      <c r="L868" t="s">
        <v>4444</v>
      </c>
      <c r="M868" t="str">
        <f>VLOOKUP(H868,CHOOSE({1,2},Table12[Native],Table12[Name]),2,0)</f>
        <v>Shuòchéng Qū</v>
      </c>
      <c r="N868" s="13" t="str">
        <f>VLOOKUP(I868,CHOOSE({1,2},Table12[Native],Table12[Name]),2,0)</f>
        <v>Shuòzhōu Shì</v>
      </c>
      <c r="O868" s="13" t="str">
        <f t="shared" si="26"/>
        <v>Shalenghe Xiang (Shuòzhōu Shì)</v>
      </c>
      <c r="P868" s="13" t="str">
        <f t="shared" si="27"/>
        <v>Shalenghe Xiang (Shuòzhōu Shì)</v>
      </c>
    </row>
    <row r="869" spans="1:16" hidden="1" x14ac:dyDescent="0.25">
      <c r="A869" t="s">
        <v>209</v>
      </c>
      <c r="B869" t="str">
        <f>IF(COUNTIF(A:A,A869)&gt;1,_xlfn.CONCAT(A869," (",N869,")"),A869)</f>
        <v>Shànfú Xiāng</v>
      </c>
      <c r="C869" t="str">
        <f>IF(COUNTIF(B:B,B869)&gt;1,_xlfn.CONCAT(A869," (",M869,")"),B869)</f>
        <v>Shànfú Xiāng</v>
      </c>
      <c r="D869" t="s">
        <v>210</v>
      </c>
      <c r="E869" t="s">
        <v>17</v>
      </c>
      <c r="F869" t="str">
        <f>_xlfn.CONCAT(D869,", ",H869,", ",I869,", ","山西省")</f>
        <v>善福乡, 襄垣县, 长治市, 山西省</v>
      </c>
      <c r="G869">
        <v>9569</v>
      </c>
      <c r="H869" t="s">
        <v>2892</v>
      </c>
      <c r="I869" t="s">
        <v>2878</v>
      </c>
      <c r="J869" t="e">
        <f>VLOOKUP(F869,[1]!china_towns_second__2[[Column1]:[Y]],3,FALSE)</f>
        <v>#N/A</v>
      </c>
      <c r="K869" t="e">
        <f>VLOOKUP(F869,[1]!china_towns_second__2[[Column1]:[Y]],2,FALSE)</f>
        <v>#N/A</v>
      </c>
      <c r="L869" t="s">
        <v>4445</v>
      </c>
      <c r="M869" t="str">
        <f>VLOOKUP(H869,CHOOSE({1,2},Table12[Native],Table12[Name]),2,0)</f>
        <v>Xiāngyuán Xiàn</v>
      </c>
      <c r="N869" s="13" t="str">
        <f>VLOOKUP(I869,CHOOSE({1,2},Table12[Native],Table12[Name]),2,0)</f>
        <v>Chángzhì Shì</v>
      </c>
      <c r="O869" s="13" t="str">
        <f t="shared" si="26"/>
        <v>Shanfu Xiang (Chángzhì Shì)</v>
      </c>
      <c r="P869" s="13" t="str">
        <f t="shared" si="27"/>
        <v>Shanfu Xiang (Chángzhì Shì)</v>
      </c>
    </row>
    <row r="870" spans="1:16" hidden="1" x14ac:dyDescent="0.25">
      <c r="A870" t="s">
        <v>211</v>
      </c>
      <c r="B870" t="str">
        <f>IF(COUNTIF(A:A,A870)&gt;1,_xlfn.CONCAT(A870," (",N870,")"),A870)</f>
        <v>Shàngcūn Zhèn</v>
      </c>
      <c r="C870" t="str">
        <f>IF(COUNTIF(B:B,B870)&gt;1,_xlfn.CONCAT(A870," (",M870,")"),B870)</f>
        <v>Shàngcūn Zhèn</v>
      </c>
      <c r="D870" t="s">
        <v>212</v>
      </c>
      <c r="E870" t="s">
        <v>7</v>
      </c>
      <c r="F870" t="str">
        <f>_xlfn.CONCAT(D870,", ",H870,", ",I870,", ","山西省")</f>
        <v>上村镇, 屯留区, 长治市, 山西省</v>
      </c>
      <c r="G870">
        <v>20742</v>
      </c>
      <c r="H870" t="s">
        <v>2890</v>
      </c>
      <c r="I870" t="s">
        <v>2878</v>
      </c>
      <c r="J870">
        <f>VLOOKUP(F870,[1]!china_towns_second__2[[Column1]:[Y]],3,FALSE)</f>
        <v>36.309784899722104</v>
      </c>
      <c r="K870">
        <f>VLOOKUP(F870,[1]!china_towns_second__2[[Column1]:[Y]],2,FALSE)</f>
        <v>112.98865979999999</v>
      </c>
      <c r="L870" t="s">
        <v>4446</v>
      </c>
      <c r="M870" t="str">
        <f>VLOOKUP(H870,CHOOSE({1,2},Table12[Native],Table12[Name]),2,0)</f>
        <v>Túnliú Qū</v>
      </c>
      <c r="N870" s="13" t="str">
        <f>VLOOKUP(I870,CHOOSE({1,2},Table12[Native],Table12[Name]),2,0)</f>
        <v>Chángzhì Shì</v>
      </c>
      <c r="O870" s="13" t="str">
        <f t="shared" si="26"/>
        <v>Shangcun Zhen (Chángzhì Shì)</v>
      </c>
      <c r="P870" s="13" t="str">
        <f t="shared" si="27"/>
        <v>Shangcun Zhen (Chángzhì Shì)</v>
      </c>
    </row>
    <row r="871" spans="1:16" hidden="1" x14ac:dyDescent="0.25">
      <c r="A871" t="s">
        <v>2320</v>
      </c>
      <c r="B871" t="str">
        <f>IF(COUNTIF(A:A,A871)&gt;1,_xlfn.CONCAT(A871," (",N871,")"),A871)</f>
        <v>Shàngguăn Zhèn</v>
      </c>
      <c r="C871" t="str">
        <f>IF(COUNTIF(B:B,B871)&gt;1,_xlfn.CONCAT(A871," (",M871,")"),B871)</f>
        <v>Shàngguăn Zhèn</v>
      </c>
      <c r="D871" t="s">
        <v>2321</v>
      </c>
      <c r="E871" t="s">
        <v>7</v>
      </c>
      <c r="F871" t="str">
        <f>_xlfn.CONCAT(D871,", ",H871,", ",I871,", ","山西省")</f>
        <v>上馆镇, 代县, 忻州市, 山西省</v>
      </c>
      <c r="G871">
        <v>65960</v>
      </c>
      <c r="H871" t="s">
        <v>2983</v>
      </c>
      <c r="I871" t="s">
        <v>2981</v>
      </c>
      <c r="J871">
        <f>VLOOKUP(F871,[1]!china_towns_second__2[[Column1]:[Y]],3,FALSE)</f>
        <v>39.096351783863703</v>
      </c>
      <c r="K871">
        <f>VLOOKUP(F871,[1]!china_towns_second__2[[Column1]:[Y]],2,FALSE)</f>
        <v>112.93764969999999</v>
      </c>
      <c r="L871" t="s">
        <v>4447</v>
      </c>
      <c r="M871" t="str">
        <f>VLOOKUP(H871,CHOOSE({1,2},Table12[Native],Table12[Name]),2,0)</f>
        <v>Dài Xiàn</v>
      </c>
      <c r="N871" s="13" t="str">
        <f>VLOOKUP(I871,CHOOSE({1,2},Table12[Native],Table12[Name]),2,0)</f>
        <v>Xīnzhōu Shì</v>
      </c>
      <c r="O871" s="13" t="str">
        <f t="shared" si="26"/>
        <v>Shangguan Zhen (Xīnzhōu Shì)</v>
      </c>
      <c r="P871" s="13" t="str">
        <f t="shared" si="27"/>
        <v>Shangguan Zhen (Xīnzhōu Shì)</v>
      </c>
    </row>
    <row r="872" spans="1:16" hidden="1" x14ac:dyDescent="0.25">
      <c r="A872" t="s">
        <v>2774</v>
      </c>
      <c r="B872" t="str">
        <f>IF(COUNTIF(A:A,A872)&gt;1,_xlfn.CONCAT(A872," (",N872,")"),A872)</f>
        <v>Shàngguō Xiāng</v>
      </c>
      <c r="C872" t="str">
        <f>IF(COUNTIF(B:B,B872)&gt;1,_xlfn.CONCAT(A872," (",M872,")"),B872)</f>
        <v>Shàngguō Xiāng</v>
      </c>
      <c r="D872" t="s">
        <v>2775</v>
      </c>
      <c r="E872" t="s">
        <v>17</v>
      </c>
      <c r="F872" t="str">
        <f>_xlfn.CONCAT(D872,", ",H872,", ",I872,", ","山西省")</f>
        <v>上郭乡, 盐湖区, 运城市, 山西省</v>
      </c>
      <c r="G872">
        <v>19215</v>
      </c>
      <c r="H872" t="s">
        <v>3014</v>
      </c>
      <c r="I872" t="s">
        <v>3003</v>
      </c>
      <c r="J872" t="e">
        <f>VLOOKUP(F872,[1]!china_towns_second__2[[Column1]:[Y]],3,FALSE)</f>
        <v>#N/A</v>
      </c>
      <c r="K872" t="e">
        <f>VLOOKUP(F872,[1]!china_towns_second__2[[Column1]:[Y]],2,FALSE)</f>
        <v>#N/A</v>
      </c>
      <c r="L872" t="s">
        <v>4448</v>
      </c>
      <c r="M872" t="str">
        <f>VLOOKUP(H872,CHOOSE({1,2},Table12[Native],Table12[Name]),2,0)</f>
        <v>Yánhú Qū</v>
      </c>
      <c r="N872" s="13" t="str">
        <f>VLOOKUP(I872,CHOOSE({1,2},Table12[Native],Table12[Name]),2,0)</f>
        <v>Yùnchéng Shì</v>
      </c>
      <c r="O872" s="13" t="str">
        <f t="shared" si="26"/>
        <v>Shangguo Xiang (Yùnchéng Shì)</v>
      </c>
      <c r="P872" s="13" t="str">
        <f t="shared" si="27"/>
        <v>Shangguo Xiang (Yùnchéng Shì)</v>
      </c>
    </row>
    <row r="873" spans="1:16" hidden="1" x14ac:dyDescent="0.25">
      <c r="A873" t="s">
        <v>962</v>
      </c>
      <c r="B873" t="str">
        <f>IF(COUNTIF(A:A,A873)&gt;1,_xlfn.CONCAT(A873," (",N873,")"),A873)</f>
        <v>Shànghú Xiāng</v>
      </c>
      <c r="C873" t="str">
        <f>IF(COUNTIF(B:B,B873)&gt;1,_xlfn.CONCAT(A873," (",M873,")"),B873)</f>
        <v>Shànghú Xiāng</v>
      </c>
      <c r="D873" t="s">
        <v>963</v>
      </c>
      <c r="E873" t="s">
        <v>17</v>
      </c>
      <c r="F873" t="str">
        <f>_xlfn.CONCAT(D873,", ",H873,", ",I873,", ","山西省")</f>
        <v>上湖乡, 寿阳县, 晋中市, 山西省</v>
      </c>
      <c r="G873">
        <v>3219</v>
      </c>
      <c r="H873" t="s">
        <v>2920</v>
      </c>
      <c r="I873" t="s">
        <v>2914</v>
      </c>
      <c r="J873" t="e">
        <f>VLOOKUP(F873,[1]!china_towns_second__2[[Column1]:[Y]],3,FALSE)</f>
        <v>#N/A</v>
      </c>
      <c r="K873" t="e">
        <f>VLOOKUP(F873,[1]!china_towns_second__2[[Column1]:[Y]],2,FALSE)</f>
        <v>#N/A</v>
      </c>
      <c r="L873" t="s">
        <v>4449</v>
      </c>
      <c r="M873" t="str">
        <f>VLOOKUP(H873,CHOOSE({1,2},Table12[Native],Table12[Name]),2,0)</f>
        <v>Shòuyáng Xiàn</v>
      </c>
      <c r="N873" s="13" t="str">
        <f>VLOOKUP(I873,CHOOSE({1,2},Table12[Native],Table12[Name]),2,0)</f>
        <v>Jìnzhōng Shì</v>
      </c>
      <c r="O873" s="13" t="str">
        <f t="shared" si="26"/>
        <v>Shanghu Xiang (Jìnzhōng Shì)</v>
      </c>
      <c r="P873" s="13" t="str">
        <f t="shared" si="27"/>
        <v>Shanghu Xiang (Jìnzhōng Shì)</v>
      </c>
    </row>
    <row r="874" spans="1:16" hidden="1" x14ac:dyDescent="0.25">
      <c r="A874" t="s">
        <v>2020</v>
      </c>
      <c r="B874" t="str">
        <f>IF(COUNTIF(A:A,A874)&gt;1,_xlfn.CONCAT(A874," (",N874,")"),A874)</f>
        <v>Shànglán Jiēdào</v>
      </c>
      <c r="C874" t="str">
        <f>IF(COUNTIF(B:B,B874)&gt;1,_xlfn.CONCAT(A874," (",M874,")"),B874)</f>
        <v>Shànglán Jiēdào</v>
      </c>
      <c r="D874" t="s">
        <v>2021</v>
      </c>
      <c r="E874" t="s">
        <v>31</v>
      </c>
      <c r="F874" t="str">
        <f>_xlfn.CONCAT(D874,", ",H874,", ",I874,", ","山西省")</f>
        <v>上兰街道, 尖草坪区, 太原市, 山西省</v>
      </c>
      <c r="G874">
        <v>48736</v>
      </c>
      <c r="H874" t="s">
        <v>2971</v>
      </c>
      <c r="I874" t="s">
        <v>2969</v>
      </c>
      <c r="J874">
        <f>VLOOKUP(F874,[1]!china_towns_second__2[[Column1]:[Y]],3,FALSE)</f>
        <v>38.009358859586101</v>
      </c>
      <c r="K874">
        <f>VLOOKUP(F874,[1]!china_towns_second__2[[Column1]:[Y]],2,FALSE)</f>
        <v>112.4262526</v>
      </c>
      <c r="L874" t="s">
        <v>4450</v>
      </c>
      <c r="M874" t="str">
        <f>VLOOKUP(H874,CHOOSE({1,2},Table12[Native],Table12[Name]),2,0)</f>
        <v>Jiāncăopíng Qū</v>
      </c>
      <c r="N874" s="13" t="str">
        <f>VLOOKUP(I874,CHOOSE({1,2},Table12[Native],Table12[Name]),2,0)</f>
        <v>Tàiyuán Shì</v>
      </c>
      <c r="O874" s="13" t="str">
        <f t="shared" si="26"/>
        <v>Shanglan Jiedao (Tàiyuán Shì)</v>
      </c>
      <c r="P874" s="13" t="str">
        <f t="shared" si="27"/>
        <v>Shanglan Jiedao (Tàiyuán Shì)</v>
      </c>
    </row>
    <row r="875" spans="1:16" hidden="1" x14ac:dyDescent="0.25">
      <c r="A875" t="s">
        <v>213</v>
      </c>
      <c r="B875" t="str">
        <f>IF(COUNTIF(A:A,A875)&gt;1,_xlfn.CONCAT(A875," (",N875,")"),A875)</f>
        <v>Shànglián Kāifāqū</v>
      </c>
      <c r="C875" t="str">
        <f>IF(COUNTIF(B:B,B875)&gt;1,_xlfn.CONCAT(A875," (",M875,")"),B875)</f>
        <v>Shànglián Kāifāqū</v>
      </c>
      <c r="D875" t="s">
        <v>214</v>
      </c>
      <c r="E875" t="s">
        <v>35</v>
      </c>
      <c r="F875" t="str">
        <f>_xlfn.CONCAT(D875,", ",H875,", ",I875,", ","山西省")</f>
        <v>上莲开发区, 屯留区, 长治市, 山西省</v>
      </c>
      <c r="G875">
        <v>4074</v>
      </c>
      <c r="H875" t="s">
        <v>2890</v>
      </c>
      <c r="I875" t="s">
        <v>2878</v>
      </c>
      <c r="J875">
        <f>VLOOKUP(F875,[1]!china_towns_second__2[[Column1]:[Y]],3,FALSE)</f>
        <v>36.436483202470903</v>
      </c>
      <c r="K875">
        <f>VLOOKUP(F875,[1]!china_towns_second__2[[Column1]:[Y]],2,FALSE)</f>
        <v>112.831163</v>
      </c>
      <c r="L875" t="s">
        <v>4451</v>
      </c>
      <c r="M875" t="str">
        <f>VLOOKUP(H875,CHOOSE({1,2},Table12[Native],Table12[Name]),2,0)</f>
        <v>Túnliú Qū</v>
      </c>
      <c r="N875" s="13" t="str">
        <f>VLOOKUP(I875,CHOOSE({1,2},Table12[Native],Table12[Name]),2,0)</f>
        <v>Chángzhì Shì</v>
      </c>
      <c r="O875" s="13" t="str">
        <f t="shared" si="26"/>
        <v>Shanglian Kaifaqu (Chángzhì Shì)</v>
      </c>
      <c r="P875" s="13" t="str">
        <f t="shared" si="27"/>
        <v>Shanglian Kaifaqu (Chángzhì Shì)</v>
      </c>
    </row>
    <row r="876" spans="1:16" hidden="1" x14ac:dyDescent="0.25">
      <c r="A876" t="s">
        <v>1271</v>
      </c>
      <c r="B876" t="str">
        <f>IF(COUNTIF(A:A,A876)&gt;1,_xlfn.CONCAT(A876," (",N876,")"),A876)</f>
        <v>Shàngmă Jiēdào</v>
      </c>
      <c r="C876" t="str">
        <f>IF(COUNTIF(B:B,B876)&gt;1,_xlfn.CONCAT(A876," (",M876,")"),B876)</f>
        <v>Shàngmă Jiēdào</v>
      </c>
      <c r="D876" t="s">
        <v>1272</v>
      </c>
      <c r="E876" t="s">
        <v>31</v>
      </c>
      <c r="F876" t="str">
        <f>_xlfn.CONCAT(D876,", ",H876,", ",I876,", ","山西省")</f>
        <v>上马街道, 侯马市, 临汾市, 山西省</v>
      </c>
      <c r="G876">
        <v>25653</v>
      </c>
      <c r="H876" t="s">
        <v>2934</v>
      </c>
      <c r="I876" t="s">
        <v>2927</v>
      </c>
      <c r="J876">
        <f>VLOOKUP(F876,[1]!china_towns_second__2[[Column1]:[Y]],3,FALSE)</f>
        <v>35.573307901760501</v>
      </c>
      <c r="K876">
        <f>VLOOKUP(F876,[1]!china_towns_second__2[[Column1]:[Y]],2,FALSE)</f>
        <v>111.3564198</v>
      </c>
      <c r="L876" t="s">
        <v>4452</v>
      </c>
      <c r="M876" t="str">
        <f>VLOOKUP(H876,CHOOSE({1,2},Table12[Native],Table12[Name]),2,0)</f>
        <v>Hòumă Shì</v>
      </c>
      <c r="N876" s="13" t="str">
        <f>VLOOKUP(I876,CHOOSE({1,2},Table12[Native],Table12[Name]),2,0)</f>
        <v>Línfén Shì</v>
      </c>
      <c r="O876" s="13" t="str">
        <f t="shared" si="26"/>
        <v>Shangma Jiedao (Línfén Shì)</v>
      </c>
      <c r="P876" s="13" t="str">
        <f t="shared" si="27"/>
        <v>Shangma Jiedao (Línfén Shì)</v>
      </c>
    </row>
    <row r="877" spans="1:16" hidden="1" x14ac:dyDescent="0.25">
      <c r="A877" t="s">
        <v>215</v>
      </c>
      <c r="B877" t="str">
        <f>IF(COUNTIF(A:A,A877)&gt;1,_xlfn.CONCAT(A877," (",N877,")"),A877)</f>
        <v>Shàngmă Xiāng</v>
      </c>
      <c r="C877" t="str">
        <f>IF(COUNTIF(B:B,B877)&gt;1,_xlfn.CONCAT(A877," (",M877,")"),B877)</f>
        <v>Shàngmă Xiāng</v>
      </c>
      <c r="D877" t="s">
        <v>216</v>
      </c>
      <c r="E877" t="s">
        <v>17</v>
      </c>
      <c r="F877" t="str">
        <f>_xlfn.CONCAT(D877,", ",H877,", ",I877,", ","山西省")</f>
        <v>上马乡, 襄垣县, 长治市, 山西省</v>
      </c>
      <c r="G877">
        <v>7326</v>
      </c>
      <c r="H877" t="s">
        <v>2892</v>
      </c>
      <c r="I877" t="s">
        <v>2878</v>
      </c>
      <c r="J877" t="e">
        <f>VLOOKUP(F877,[1]!china_towns_second__2[[Column1]:[Y]],3,FALSE)</f>
        <v>#N/A</v>
      </c>
      <c r="K877" t="e">
        <f>VLOOKUP(F877,[1]!china_towns_second__2[[Column1]:[Y]],2,FALSE)</f>
        <v>#N/A</v>
      </c>
      <c r="L877" t="s">
        <v>4453</v>
      </c>
      <c r="M877" t="str">
        <f>VLOOKUP(H877,CHOOSE({1,2},Table12[Native],Table12[Name]),2,0)</f>
        <v>Xiāngyuán Xiàn</v>
      </c>
      <c r="N877" s="13" t="str">
        <f>VLOOKUP(I877,CHOOSE({1,2},Table12[Native],Table12[Name]),2,0)</f>
        <v>Chángzhì Shì</v>
      </c>
      <c r="O877" s="13" t="str">
        <f t="shared" si="26"/>
        <v>Shangma Xiang (Chángzhì Shì)</v>
      </c>
      <c r="P877" s="13" t="str">
        <f t="shared" si="27"/>
        <v>Shangma Xiang (Chángzhì Shì)</v>
      </c>
    </row>
    <row r="878" spans="1:16" hidden="1" x14ac:dyDescent="0.25">
      <c r="A878" t="s">
        <v>1608</v>
      </c>
      <c r="B878" t="str">
        <f>IF(COUNTIF(A:A,A878)&gt;1,_xlfn.CONCAT(A878," (",N878,")"),A878)</f>
        <v>Shàngmíng Xiāng</v>
      </c>
      <c r="C878" t="str">
        <f>IF(COUNTIF(B:B,B878)&gt;1,_xlfn.CONCAT(A878," (",M878,")"),B878)</f>
        <v>Shàngmíng Xiāng</v>
      </c>
      <c r="D878" t="s">
        <v>1609</v>
      </c>
      <c r="E878" t="s">
        <v>17</v>
      </c>
      <c r="F878" t="str">
        <f>_xlfn.CONCAT(D878,", ",H878,", ",I878,", ","山西省")</f>
        <v>上明乡, 岚县, 吕梁市, 山西省</v>
      </c>
      <c r="G878">
        <v>13705</v>
      </c>
      <c r="H878" t="s">
        <v>2951</v>
      </c>
      <c r="I878" t="s">
        <v>2946</v>
      </c>
      <c r="J878" t="e">
        <f>VLOOKUP(F878,[1]!china_towns_second__2[[Column1]:[Y]],3,FALSE)</f>
        <v>#N/A</v>
      </c>
      <c r="K878" t="e">
        <f>VLOOKUP(F878,[1]!china_towns_second__2[[Column1]:[Y]],2,FALSE)</f>
        <v>#N/A</v>
      </c>
      <c r="L878" t="s">
        <v>4454</v>
      </c>
      <c r="M878" t="str">
        <f>VLOOKUP(H878,CHOOSE({1,2},Table12[Native],Table12[Name]),2,0)</f>
        <v>Lán Xiàn</v>
      </c>
      <c r="N878" s="13" t="str">
        <f>VLOOKUP(I878,CHOOSE({1,2},Table12[Native],Table12[Name]),2,0)</f>
        <v>Lǚliáng Shì</v>
      </c>
      <c r="O878" s="13" t="str">
        <f t="shared" si="26"/>
        <v>Shangming Xiang (Lǚliáng Shì)</v>
      </c>
      <c r="P878" s="13" t="str">
        <f t="shared" si="27"/>
        <v>Shangming Xiang (Lǚliáng Shì)</v>
      </c>
    </row>
    <row r="879" spans="1:16" hidden="1" x14ac:dyDescent="0.25">
      <c r="A879" t="s">
        <v>2322</v>
      </c>
      <c r="B879" t="str">
        <f>IF(COUNTIF(A:A,A879)&gt;1,_xlfn.CONCAT(A879," (",N879,")"),A879)</f>
        <v>Shàngmófāng Xiāng [Mófāng Xiāng]</v>
      </c>
      <c r="C879" t="str">
        <f>IF(COUNTIF(B:B,B879)&gt;1,_xlfn.CONCAT(A879," (",M879,")"),B879)</f>
        <v>Shàngmófāng Xiāng [Mófāng Xiāng]</v>
      </c>
      <c r="D879" t="s">
        <v>2323</v>
      </c>
      <c r="E879" t="s">
        <v>17</v>
      </c>
      <c r="F879" t="str">
        <f>_xlfn.CONCAT(D879,", ",H879,", ",I879,", ","山西省")</f>
        <v>上磨坊乡, 代县, 忻州市, 山西省</v>
      </c>
      <c r="G879">
        <v>12347</v>
      </c>
      <c r="H879" t="s">
        <v>2983</v>
      </c>
      <c r="I879" t="s">
        <v>2981</v>
      </c>
      <c r="J879" t="e">
        <f>VLOOKUP(F879,[1]!china_towns_second__2[[Column1]:[Y]],3,FALSE)</f>
        <v>#N/A</v>
      </c>
      <c r="K879" t="e">
        <f>VLOOKUP(F879,[1]!china_towns_second__2[[Column1]:[Y]],2,FALSE)</f>
        <v>#N/A</v>
      </c>
      <c r="L879" t="s">
        <v>4455</v>
      </c>
      <c r="M879" t="str">
        <f>VLOOKUP(H879,CHOOSE({1,2},Table12[Native],Table12[Name]),2,0)</f>
        <v>Dài Xiàn</v>
      </c>
      <c r="N879" s="13" t="str">
        <f>VLOOKUP(I879,CHOOSE({1,2},Table12[Native],Table12[Name]),2,0)</f>
        <v>Xīnzhōu Shì</v>
      </c>
      <c r="O879" s="13" t="str">
        <f t="shared" si="26"/>
        <v>Shangmofang Xiang [Mofang Xiang] (Xīnzhōu Shì)</v>
      </c>
      <c r="P879" s="13" t="str">
        <f t="shared" si="27"/>
        <v>Shangmofang Xiang [Mofang Xiang] (Xīnzhōu Shì)</v>
      </c>
    </row>
    <row r="880" spans="1:16" hidden="1" x14ac:dyDescent="0.25">
      <c r="A880" t="s">
        <v>2542</v>
      </c>
      <c r="B880" t="str">
        <f>IF(COUNTIF(A:A,A880)&gt;1,_xlfn.CONCAT(A880," (",N880,")"),A880)</f>
        <v>Shàngshè Zhèn</v>
      </c>
      <c r="C880" t="str">
        <f>IF(COUNTIF(B:B,B880)&gt;1,_xlfn.CONCAT(A880," (",M880,")"),B880)</f>
        <v>Shàngshè Zhèn</v>
      </c>
      <c r="D880" t="s">
        <v>2543</v>
      </c>
      <c r="E880" t="s">
        <v>7</v>
      </c>
      <c r="F880" t="str">
        <f>_xlfn.CONCAT(D880,", ",H880,", ",I880,", ","山西省")</f>
        <v>上社镇, 盂县, 阳泉市, 山西省</v>
      </c>
      <c r="G880">
        <v>14478</v>
      </c>
      <c r="H880" t="s">
        <v>3001</v>
      </c>
      <c r="I880" t="s">
        <v>2997</v>
      </c>
      <c r="J880">
        <f>VLOOKUP(F880,[1]!china_towns_second__2[[Column1]:[Y]],3,FALSE)</f>
        <v>38.296507675931103</v>
      </c>
      <c r="K880">
        <f>VLOOKUP(F880,[1]!china_towns_second__2[[Column1]:[Y]],2,FALSE)</f>
        <v>113.4146673</v>
      </c>
      <c r="L880" t="s">
        <v>4456</v>
      </c>
      <c r="M880" t="str">
        <f>VLOOKUP(H880,CHOOSE({1,2},Table12[Native],Table12[Name]),2,0)</f>
        <v>Yú Xiàn</v>
      </c>
      <c r="N880" s="13" t="str">
        <f>VLOOKUP(I880,CHOOSE({1,2},Table12[Native],Table12[Name]),2,0)</f>
        <v>Yángquán Shì</v>
      </c>
      <c r="O880" s="13" t="str">
        <f t="shared" si="26"/>
        <v>Shangshe Zhen (Yángquán Shì)</v>
      </c>
      <c r="P880" s="13" t="str">
        <f t="shared" si="27"/>
        <v>Shangshe Zhen (Yángquán Shì)</v>
      </c>
    </row>
    <row r="881" spans="1:16" hidden="1" x14ac:dyDescent="0.25">
      <c r="A881" t="s">
        <v>493</v>
      </c>
      <c r="B881" t="str">
        <f>IF(COUNTIF(A:A,A881)&gt;1,_xlfn.CONCAT(A881," (",N881,")"),A881)</f>
        <v>Shàngshēnjiàn Xiāng</v>
      </c>
      <c r="C881" t="str">
        <f>IF(COUNTIF(B:B,B881)&gt;1,_xlfn.CONCAT(A881," (",M881,")"),B881)</f>
        <v>Shàngshēnjiàn Xiāng</v>
      </c>
      <c r="D881" t="s">
        <v>494</v>
      </c>
      <c r="E881" t="s">
        <v>17</v>
      </c>
      <c r="F881" t="str">
        <f>_xlfn.CONCAT(D881,", ",H881,", ",I881,", ","山西省")</f>
        <v>上深涧乡, 新荣区, 大同市, 山西省</v>
      </c>
      <c r="G881">
        <v>11270</v>
      </c>
      <c r="H881" t="s">
        <v>2900</v>
      </c>
      <c r="I881" t="s">
        <v>2894</v>
      </c>
      <c r="J881" t="e">
        <f>VLOOKUP(F881,[1]!china_towns_second__2[[Column1]:[Y]],3,FALSE)</f>
        <v>#N/A</v>
      </c>
      <c r="K881" t="e">
        <f>VLOOKUP(F881,[1]!china_towns_second__2[[Column1]:[Y]],2,FALSE)</f>
        <v>#N/A</v>
      </c>
      <c r="L881" t="s">
        <v>4457</v>
      </c>
      <c r="M881" t="str">
        <f>VLOOKUP(H881,CHOOSE({1,2},Table12[Native],Table12[Name]),2,0)</f>
        <v>Xīnróng Qū</v>
      </c>
      <c r="N881" s="13" t="str">
        <f>VLOOKUP(I881,CHOOSE({1,2},Table12[Native],Table12[Name]),2,0)</f>
        <v>Dàtóng Shì</v>
      </c>
      <c r="O881" s="13" t="str">
        <f t="shared" si="26"/>
        <v>Shangshenjian Xiang (Dàtóng Shì)</v>
      </c>
      <c r="P881" s="13" t="str">
        <f t="shared" si="27"/>
        <v>Shangshenjian Xiang (Dàtóng Shì)</v>
      </c>
    </row>
    <row r="882" spans="1:16" hidden="1" x14ac:dyDescent="0.25">
      <c r="A882" t="s">
        <v>217</v>
      </c>
      <c r="B882" t="str">
        <f>IF(COUNTIF(A:A,A882)&gt;1,_xlfn.CONCAT(A882," (",N882,")"),A882)</f>
        <v>Shàngsī Xiāng</v>
      </c>
      <c r="C882" t="str">
        <f>IF(COUNTIF(B:B,B882)&gt;1,_xlfn.CONCAT(A882," (",M882,")"),B882)</f>
        <v>Shàngsī Xiāng</v>
      </c>
      <c r="D882" t="s">
        <v>218</v>
      </c>
      <c r="E882" t="s">
        <v>17</v>
      </c>
      <c r="F882" t="str">
        <f>_xlfn.CONCAT(D882,", ",H882,", ",I882,", ","山西省")</f>
        <v>上司乡, 武乡县, 长治市, 山西省</v>
      </c>
      <c r="G882">
        <v>6996</v>
      </c>
      <c r="H882" t="s">
        <v>2891</v>
      </c>
      <c r="I882" t="s">
        <v>2878</v>
      </c>
      <c r="J882" t="e">
        <f>VLOOKUP(F882,[1]!china_towns_second__2[[Column1]:[Y]],3,FALSE)</f>
        <v>#N/A</v>
      </c>
      <c r="K882" t="e">
        <f>VLOOKUP(F882,[1]!china_towns_second__2[[Column1]:[Y]],2,FALSE)</f>
        <v>#N/A</v>
      </c>
      <c r="L882" t="s">
        <v>4458</v>
      </c>
      <c r="M882" t="str">
        <f>VLOOKUP(H882,CHOOSE({1,2},Table12[Native],Table12[Name]),2,0)</f>
        <v>Wŭxiāng Xiàn</v>
      </c>
      <c r="N882" s="13" t="str">
        <f>VLOOKUP(I882,CHOOSE({1,2},Table12[Native],Table12[Name]),2,0)</f>
        <v>Chángzhì Shì</v>
      </c>
      <c r="O882" s="13" t="str">
        <f t="shared" si="26"/>
        <v>Shangsi Xiang (Chángzhì Shì)</v>
      </c>
      <c r="P882" s="13" t="str">
        <f t="shared" si="27"/>
        <v>Shangsi Xiang (Chángzhì Shì)</v>
      </c>
    </row>
    <row r="883" spans="1:16" hidden="1" x14ac:dyDescent="0.25">
      <c r="A883" t="s">
        <v>2776</v>
      </c>
      <c r="B883" t="str">
        <f>IF(COUNTIF(A:A,A883)&gt;1,_xlfn.CONCAT(A883," (",N883,")"),A883)</f>
        <v>Shàngwáng Xiāng</v>
      </c>
      <c r="C883" t="str">
        <f>IF(COUNTIF(B:B,B883)&gt;1,_xlfn.CONCAT(A883," (",M883,")"),B883)</f>
        <v>Shàngwáng Xiāng</v>
      </c>
      <c r="D883" t="s">
        <v>2777</v>
      </c>
      <c r="E883" t="s">
        <v>17</v>
      </c>
      <c r="F883" t="str">
        <f>_xlfn.CONCAT(D883,", ",H883,", ",I883,", ","山西省")</f>
        <v>上王乡, 盐湖区, 运城市, 山西省</v>
      </c>
      <c r="G883">
        <v>9046</v>
      </c>
      <c r="H883" t="s">
        <v>3014</v>
      </c>
      <c r="I883" t="s">
        <v>3003</v>
      </c>
      <c r="J883" t="e">
        <f>VLOOKUP(F883,[1]!china_towns_second__2[[Column1]:[Y]],3,FALSE)</f>
        <v>#N/A</v>
      </c>
      <c r="K883" t="e">
        <f>VLOOKUP(F883,[1]!china_towns_second__2[[Column1]:[Y]],2,FALSE)</f>
        <v>#N/A</v>
      </c>
      <c r="L883" t="s">
        <v>4459</v>
      </c>
      <c r="M883" t="str">
        <f>VLOOKUP(H883,CHOOSE({1,2},Table12[Native],Table12[Name]),2,0)</f>
        <v>Yánhú Qū</v>
      </c>
      <c r="N883" s="13" t="str">
        <f>VLOOKUP(I883,CHOOSE({1,2},Table12[Native],Table12[Name]),2,0)</f>
        <v>Yùnchéng Shì</v>
      </c>
      <c r="O883" s="13" t="str">
        <f t="shared" si="26"/>
        <v>Shangwang Xiang (Yùnchéng Shì)</v>
      </c>
      <c r="P883" s="13" t="str">
        <f t="shared" si="27"/>
        <v>Shangwang Xiang (Yùnchéng Shì)</v>
      </c>
    </row>
    <row r="884" spans="1:16" hidden="1" x14ac:dyDescent="0.25">
      <c r="A884" t="s">
        <v>219</v>
      </c>
      <c r="B884" t="str">
        <f>IF(COUNTIF(A:A,A884)&gt;1,_xlfn.CONCAT(A884," (",N884,")"),A884)</f>
        <v>Shàngyáo Zhèn</v>
      </c>
      <c r="C884" t="str">
        <f>IF(COUNTIF(B:B,B884)&gt;1,_xlfn.CONCAT(A884," (",M884,")"),B884)</f>
        <v>Shàngyáo Zhèn</v>
      </c>
      <c r="D884" t="s">
        <v>220</v>
      </c>
      <c r="E884" t="s">
        <v>7</v>
      </c>
      <c r="F884" t="str">
        <f>_xlfn.CONCAT(D884,", ",H884,", ",I884,", ","山西省")</f>
        <v>上遥镇, 黎城县, 长治市, 山西省</v>
      </c>
      <c r="G884">
        <v>17224</v>
      </c>
      <c r="H884" t="s">
        <v>2882</v>
      </c>
      <c r="I884" t="s">
        <v>2878</v>
      </c>
      <c r="J884">
        <f>VLOOKUP(F884,[1]!china_towns_second__2[[Column1]:[Y]],3,FALSE)</f>
        <v>36.581843389399801</v>
      </c>
      <c r="K884">
        <f>VLOOKUP(F884,[1]!china_towns_second__2[[Column1]:[Y]],2,FALSE)</f>
        <v>113.2580241</v>
      </c>
      <c r="L884" t="s">
        <v>4460</v>
      </c>
      <c r="M884" t="str">
        <f>VLOOKUP(H884,CHOOSE({1,2},Table12[Native],Table12[Name]),2,0)</f>
        <v>Líchéng Xiàn</v>
      </c>
      <c r="N884" s="13" t="str">
        <f>VLOOKUP(I884,CHOOSE({1,2},Table12[Native],Table12[Name]),2,0)</f>
        <v>Chángzhì Shì</v>
      </c>
      <c r="O884" s="13" t="str">
        <f t="shared" si="26"/>
        <v>Shangyao Zhen (Chángzhì Shì)</v>
      </c>
      <c r="P884" s="13" t="str">
        <f t="shared" si="27"/>
        <v>Shangyao Zhen (Chángzhì Shì)</v>
      </c>
    </row>
    <row r="885" spans="1:16" hidden="1" x14ac:dyDescent="0.25">
      <c r="A885" t="s">
        <v>2324</v>
      </c>
      <c r="B885" t="str">
        <f>IF(COUNTIF(A:A,A885)&gt;1,_xlfn.CONCAT(A885," (",N885,")"),A885)</f>
        <v>Shàngyù Xiāng</v>
      </c>
      <c r="C885" t="str">
        <f>IF(COUNTIF(B:B,B885)&gt;1,_xlfn.CONCAT(A885," (",M885,")"),B885)</f>
        <v>Shàngyù Xiāng</v>
      </c>
      <c r="D885" t="s">
        <v>2325</v>
      </c>
      <c r="E885" t="s">
        <v>17</v>
      </c>
      <c r="F885" t="str">
        <f>_xlfn.CONCAT(D885,", ",H885,", ",I885,", ","山西省")</f>
        <v>尚峪乡, 偏关县, 忻州市, 山西省</v>
      </c>
      <c r="G885">
        <v>4059</v>
      </c>
      <c r="H885" t="s">
        <v>2990</v>
      </c>
      <c r="I885" t="s">
        <v>2981</v>
      </c>
      <c r="J885" t="e">
        <f>VLOOKUP(F885,[1]!china_towns_second__2[[Column1]:[Y]],3,FALSE)</f>
        <v>#N/A</v>
      </c>
      <c r="K885" t="e">
        <f>VLOOKUP(F885,[1]!china_towns_second__2[[Column1]:[Y]],2,FALSE)</f>
        <v>#N/A</v>
      </c>
      <c r="L885" t="s">
        <v>4461</v>
      </c>
      <c r="M885" t="str">
        <f>VLOOKUP(H885,CHOOSE({1,2},Table12[Native],Table12[Name]),2,0)</f>
        <v>Piānguān Xiàn</v>
      </c>
      <c r="N885" s="13" t="str">
        <f>VLOOKUP(I885,CHOOSE({1,2},Table12[Native],Table12[Name]),2,0)</f>
        <v>Xīnzhōu Shì</v>
      </c>
      <c r="O885" s="13" t="str">
        <f t="shared" si="26"/>
        <v>Shangyu Xiang (Xīnzhōu Shì)</v>
      </c>
      <c r="P885" s="13" t="str">
        <f t="shared" si="27"/>
        <v>Shangyu Xiang (Xīnzhōu Shì)</v>
      </c>
    </row>
    <row r="886" spans="1:16" hidden="1" x14ac:dyDescent="0.25">
      <c r="A886" t="s">
        <v>495</v>
      </c>
      <c r="B886" t="str">
        <f>IF(COUNTIF(A:A,A886)&gt;1,_xlfn.CONCAT(A886," (",N886,")"),A886)</f>
        <v>Shàngzhài Zhèn</v>
      </c>
      <c r="C886" t="str">
        <f>IF(COUNTIF(B:B,B886)&gt;1,_xlfn.CONCAT(A886," (",M886,")"),B886)</f>
        <v>Shàngzhài Zhèn</v>
      </c>
      <c r="D886" t="s">
        <v>496</v>
      </c>
      <c r="E886" t="s">
        <v>7</v>
      </c>
      <c r="F886" t="str">
        <f>_xlfn.CONCAT(D886,", ",H886,", ",I886,", ","山西省")</f>
        <v>上寨镇, 灵丘县, 大同市, 山西省</v>
      </c>
      <c r="G886">
        <v>14792</v>
      </c>
      <c r="H886" t="s">
        <v>2897</v>
      </c>
      <c r="I886" t="s">
        <v>2894</v>
      </c>
      <c r="J886">
        <f>VLOOKUP(F886,[1]!china_towns_second__2[[Column1]:[Y]],3,FALSE)</f>
        <v>39.215743273489998</v>
      </c>
      <c r="K886">
        <f>VLOOKUP(F886,[1]!china_towns_second__2[[Column1]:[Y]],2,FALSE)</f>
        <v>114.33376079999999</v>
      </c>
      <c r="L886" t="s">
        <v>4462</v>
      </c>
      <c r="M886" t="str">
        <f>VLOOKUP(H886,CHOOSE({1,2},Table12[Native],Table12[Name]),2,0)</f>
        <v>Língqiū Xiàn</v>
      </c>
      <c r="N886" s="13" t="str">
        <f>VLOOKUP(I886,CHOOSE({1,2},Table12[Native],Table12[Name]),2,0)</f>
        <v>Dàtóng Shì</v>
      </c>
      <c r="O886" s="13" t="str">
        <f t="shared" si="26"/>
        <v>Shangzhai Zhen (Dàtóng Shì)</v>
      </c>
      <c r="P886" s="13" t="str">
        <f t="shared" si="27"/>
        <v>Shangzhai Zhen (Dàtóng Shì)</v>
      </c>
    </row>
    <row r="887" spans="1:16" hidden="1" x14ac:dyDescent="0.25">
      <c r="A887" t="s">
        <v>2544</v>
      </c>
      <c r="B887" t="str">
        <f>IF(COUNTIF(A:A,A887)&gt;1,_xlfn.CONCAT(A887," (",N887,")"),A887)</f>
        <v>Shàngzhàn Jiēdào</v>
      </c>
      <c r="C887" t="str">
        <f>IF(COUNTIF(B:B,B887)&gt;1,_xlfn.CONCAT(A887," (",M887,")"),B887)</f>
        <v>Shàngzhàn Jiēdào</v>
      </c>
      <c r="D887" t="s">
        <v>2545</v>
      </c>
      <c r="E887" t="s">
        <v>31</v>
      </c>
      <c r="F887" t="str">
        <f>_xlfn.CONCAT(D887,", ",H887,", ",I887,", ","山西省")</f>
        <v>上站街道, 城区, 晋城市, 山西省</v>
      </c>
      <c r="G887">
        <v>55628</v>
      </c>
      <c r="H887" t="s">
        <v>814</v>
      </c>
      <c r="I887" t="s">
        <v>2906</v>
      </c>
      <c r="J887" t="e">
        <f>VLOOKUP(F887,[1]!china_towns_second__2[[Column1]:[Y]],3,FALSE)</f>
        <v>#N/A</v>
      </c>
      <c r="K887" t="e">
        <f>VLOOKUP(F887,[1]!china_towns_second__2[[Column1]:[Y]],2,FALSE)</f>
        <v>#N/A</v>
      </c>
      <c r="L887" t="s">
        <v>4463</v>
      </c>
      <c r="M887" t="str">
        <f>VLOOKUP(H887,CHOOSE({1,2},Table12[Native],Table12[Name]),2,0)</f>
        <v>Chéng Qū</v>
      </c>
      <c r="N887" s="13" t="str">
        <f>VLOOKUP(I887,CHOOSE({1,2},Table12[Native],Table12[Name]),2,0)</f>
        <v>Jìnchéng Shì</v>
      </c>
      <c r="O887" s="13" t="str">
        <f t="shared" si="26"/>
        <v>Shangzhan Jiedao (Jìnchéng Shì)</v>
      </c>
      <c r="P887" s="13" t="str">
        <f t="shared" si="27"/>
        <v>Shangzhan Jiedao (Jìnchéng Shì)</v>
      </c>
    </row>
    <row r="888" spans="1:16" hidden="1" x14ac:dyDescent="0.25">
      <c r="A888" t="s">
        <v>735</v>
      </c>
      <c r="B888" t="str">
        <f>IF(COUNTIF(A:A,A888)&gt;1,_xlfn.CONCAT(A888," (",N888,")"),A888)</f>
        <v>Shānhé Zhèn</v>
      </c>
      <c r="C888" t="str">
        <f>IF(COUNTIF(B:B,B888)&gt;1,_xlfn.CONCAT(A888," (",M888,")"),B888)</f>
        <v>Shānhé Zhèn</v>
      </c>
      <c r="D888" t="s">
        <v>736</v>
      </c>
      <c r="E888" t="s">
        <v>7</v>
      </c>
      <c r="F888" t="str">
        <f>_xlfn.CONCAT(D888,", ",H888,", ",I888,", ","山西省")</f>
        <v>山河镇, 泽州县, 晋城市, 山西省</v>
      </c>
      <c r="G888">
        <v>22400</v>
      </c>
      <c r="H888" t="s">
        <v>2912</v>
      </c>
      <c r="I888" t="s">
        <v>2906</v>
      </c>
      <c r="J888">
        <f>VLOOKUP(F888,[1]!china_towns_second__2[[Column1]:[Y]],3,FALSE)</f>
        <v>35.280918819259398</v>
      </c>
      <c r="K888">
        <f>VLOOKUP(F888,[1]!china_towns_second__2[[Column1]:[Y]],2,FALSE)</f>
        <v>112.7158443</v>
      </c>
      <c r="L888" t="s">
        <v>4464</v>
      </c>
      <c r="M888" t="str">
        <f>VLOOKUP(H888,CHOOSE({1,2},Table12[Native],Table12[Name]),2,0)</f>
        <v>Zézhōu Xiàn</v>
      </c>
      <c r="N888" s="13" t="str">
        <f>VLOOKUP(I888,CHOOSE({1,2},Table12[Native],Table12[Name]),2,0)</f>
        <v>Jìnchéng Shì</v>
      </c>
      <c r="O888" s="13" t="str">
        <f t="shared" si="26"/>
        <v>Shanhe Zhen (Jìnchéng Shì)</v>
      </c>
      <c r="P888" s="13" t="str">
        <f t="shared" si="27"/>
        <v>Shanhe Zhen (Jìnchéng Shì)</v>
      </c>
    </row>
    <row r="889" spans="1:16" hidden="1" x14ac:dyDescent="0.25">
      <c r="A889" t="s">
        <v>1273</v>
      </c>
      <c r="B889" t="str">
        <f>IF(COUNTIF(A:A,A889)&gt;1,_xlfn.CONCAT(A889," (",N889,")"),A889)</f>
        <v>Shāntóu Xiāng</v>
      </c>
      <c r="C889" t="str">
        <f>IF(COUNTIF(B:B,B889)&gt;1,_xlfn.CONCAT(A889," (",M889,")"),B889)</f>
        <v>Shāntóu Xiāng</v>
      </c>
      <c r="D889" t="s">
        <v>1274</v>
      </c>
      <c r="E889" t="s">
        <v>17</v>
      </c>
      <c r="F889" t="str">
        <f>_xlfn.CONCAT(D889,", ",H889,", ",I889,", ","山西省")</f>
        <v>山头乡, 洪洞县, 临汾市, 山西省</v>
      </c>
      <c r="G889">
        <v>8393</v>
      </c>
      <c r="H889" t="s">
        <v>2933</v>
      </c>
      <c r="I889" t="s">
        <v>2927</v>
      </c>
      <c r="J889" t="e">
        <f>VLOOKUP(F889,[1]!china_towns_second__2[[Column1]:[Y]],3,FALSE)</f>
        <v>#N/A</v>
      </c>
      <c r="K889" t="e">
        <f>VLOOKUP(F889,[1]!china_towns_second__2[[Column1]:[Y]],2,FALSE)</f>
        <v>#N/A</v>
      </c>
      <c r="L889" t="s">
        <v>4465</v>
      </c>
      <c r="M889" t="str">
        <f>VLOOKUP(H889,CHOOSE({1,2},Table12[Native],Table12[Name]),2,0)</f>
        <v>Hóngdòng Xiàn</v>
      </c>
      <c r="N889" s="13" t="str">
        <f>VLOOKUP(I889,CHOOSE({1,2},Table12[Native],Table12[Name]),2,0)</f>
        <v>Línfén Shì</v>
      </c>
      <c r="O889" s="13" t="str">
        <f t="shared" si="26"/>
        <v>Shantou Xiang (Línfén Shì)</v>
      </c>
      <c r="P889" s="13" t="str">
        <f t="shared" si="27"/>
        <v>Shantou Xiang (Línfén Shì)</v>
      </c>
    </row>
    <row r="890" spans="1:16" hidden="1" x14ac:dyDescent="0.25">
      <c r="A890" t="s">
        <v>2778</v>
      </c>
      <c r="B890" t="str">
        <f>IF(COUNTIF(A:A,A890)&gt;1,_xlfn.CONCAT(A890," (",N890,")"),A890)</f>
        <v>Shānxī Jiàngxiàn Jīngjì Kāifāqū [Shanxi Yixian Economic Development Zone]</v>
      </c>
      <c r="C890" t="str">
        <f>IF(COUNTIF(B:B,B890)&gt;1,_xlfn.CONCAT(A890," (",M890,")"),B890)</f>
        <v>Shānxī Jiàngxiàn Jīngjì Kāifāqū [Shanxi Yixian Economic Development Zone]</v>
      </c>
      <c r="D890" t="s">
        <v>2779</v>
      </c>
      <c r="E890" t="s">
        <v>35</v>
      </c>
      <c r="F890" t="str">
        <f>_xlfn.CONCAT(D890,", ",H890,", ",I890,", ","山西省")</f>
        <v>山西绛县经济开发区, 绛县, 运城市, 山西省</v>
      </c>
      <c r="G890">
        <v>6941</v>
      </c>
      <c r="H890" t="s">
        <v>3005</v>
      </c>
      <c r="I890" t="s">
        <v>3003</v>
      </c>
      <c r="J890">
        <f>VLOOKUP(F890,[1]!china_towns_second__2[[Column1]:[Y]],3,FALSE)</f>
        <v>35.513444068431703</v>
      </c>
      <c r="K890">
        <f>VLOOKUP(F890,[1]!china_towns_second__2[[Column1]:[Y]],2,FALSE)</f>
        <v>111.6623925</v>
      </c>
      <c r="L890" t="s">
        <v>4466</v>
      </c>
      <c r="M890" t="str">
        <f>VLOOKUP(H890,CHOOSE({1,2},Table12[Native],Table12[Name]),2,0)</f>
        <v>Jiàng Xiàn</v>
      </c>
      <c r="N890" s="13" t="str">
        <f>VLOOKUP(I890,CHOOSE({1,2},Table12[Native],Table12[Name]),2,0)</f>
        <v>Yùnchéng Shì</v>
      </c>
      <c r="O890" s="13" t="str">
        <f t="shared" si="26"/>
        <v>Shanxi Jiangxian Jingji Kaifaqu [Shanxi Yixian Economic Development Zone] (Yùnchéng Shì)</v>
      </c>
      <c r="P890" s="13" t="str">
        <f t="shared" si="27"/>
        <v>Shanxi Jiangxian Jingji Kaifaqu [Shanxi Yixian Economic Development Zone] (Yùnchéng Shì)</v>
      </c>
    </row>
    <row r="891" spans="1:16" hidden="1" x14ac:dyDescent="0.25">
      <c r="A891" t="s">
        <v>2780</v>
      </c>
      <c r="B891" t="str">
        <f>IF(COUNTIF(A:A,A891)&gt;1,_xlfn.CONCAT(A891," (",N891,")"),A891)</f>
        <v>Shānxī Lǚchăng</v>
      </c>
      <c r="C891" t="str">
        <f>IF(COUNTIF(B:B,B891)&gt;1,_xlfn.CONCAT(A891," (",M891,")"),B891)</f>
        <v>Shānxī Lǚchăng</v>
      </c>
      <c r="D891" t="s">
        <v>2781</v>
      </c>
      <c r="E891" t="s">
        <v>35</v>
      </c>
      <c r="F891" t="str">
        <f>_xlfn.CONCAT(D891,", ",H891,", ",I891,", ","山西省")</f>
        <v>山西铝厂, 河津市, 运城市, 山西省</v>
      </c>
      <c r="G891">
        <v>37955</v>
      </c>
      <c r="H891" t="s">
        <v>3004</v>
      </c>
      <c r="I891" t="s">
        <v>3003</v>
      </c>
      <c r="J891">
        <f>VLOOKUP(F891,[1]!china_towns_second__2[[Column1]:[Y]],3,FALSE)</f>
        <v>35.655679997866898</v>
      </c>
      <c r="K891">
        <f>VLOOKUP(F891,[1]!china_towns_second__2[[Column1]:[Y]],2,FALSE)</f>
        <v>110.67169440000001</v>
      </c>
      <c r="L891" t="s">
        <v>4467</v>
      </c>
      <c r="M891" t="str">
        <f>VLOOKUP(H891,CHOOSE({1,2},Table12[Native],Table12[Name]),2,0)</f>
        <v>Héjīn Shì</v>
      </c>
      <c r="N891" s="13" t="str">
        <f>VLOOKUP(I891,CHOOSE({1,2},Table12[Native],Table12[Name]),2,0)</f>
        <v>Yùnchéng Shì</v>
      </c>
      <c r="O891" s="13" t="str">
        <f t="shared" si="26"/>
        <v>Shanxi Luchang (Yùnchéng Shì)</v>
      </c>
      <c r="P891" s="13" t="str">
        <f t="shared" si="27"/>
        <v>Shanxi Luchang (Yùnchéng Shì)</v>
      </c>
    </row>
    <row r="892" spans="1:16" hidden="1" x14ac:dyDescent="0.25">
      <c r="A892" t="s">
        <v>2326</v>
      </c>
      <c r="B892" t="str">
        <f>IF(COUNTIF(A:A,A892)&gt;1,_xlfn.CONCAT(A892," (",N892,")"),A892)</f>
        <v>Shānxī Lŭnéng Jìnbĕi Lǚyè Gōngkuàngqū [Shanxi Luneng Jinbei Aluminum Industry and Mining Area]</v>
      </c>
      <c r="C892" t="str">
        <f>IF(COUNTIF(B:B,B892)&gt;1,_xlfn.CONCAT(A892," (",M892,")"),B892)</f>
        <v>Shānxī Lŭnéng Jìnbĕi Lǚyè Gōngkuàngqū [Shanxi Luneng Jinbei Aluminum Industry and Mining Area]</v>
      </c>
      <c r="D892" t="s">
        <v>2327</v>
      </c>
      <c r="E892" t="s">
        <v>35</v>
      </c>
      <c r="F892" t="str">
        <f>_xlfn.CONCAT(D892,", ",H892,", ",I892,", ","山西省")</f>
        <v>山西鲁能晋北铝业工矿区, 原平市, 忻州市, 山西省</v>
      </c>
      <c r="G892">
        <v>1352</v>
      </c>
      <c r="H892" t="s">
        <v>2995</v>
      </c>
      <c r="I892" t="s">
        <v>2981</v>
      </c>
      <c r="J892">
        <f>VLOOKUP(F892,[1]!china_towns_second__2[[Column1]:[Y]],3,FALSE)</f>
        <v>38.754246573344297</v>
      </c>
      <c r="K892">
        <f>VLOOKUP(F892,[1]!china_towns_second__2[[Column1]:[Y]],2,FALSE)</f>
        <v>112.75263940000001</v>
      </c>
      <c r="L892" t="s">
        <v>4468</v>
      </c>
      <c r="M892" t="str">
        <f>VLOOKUP(H892,CHOOSE({1,2},Table12[Native],Table12[Name]),2,0)</f>
        <v>Yuánpíng Shì</v>
      </c>
      <c r="N892" s="13" t="str">
        <f>VLOOKUP(I892,CHOOSE({1,2},Table12[Native],Table12[Name]),2,0)</f>
        <v>Xīnzhōu Shì</v>
      </c>
      <c r="O892" s="13" t="str">
        <f t="shared" si="26"/>
        <v>Shanxi Luneng Jinbei Luye Gongkuangqu [Shanxi Luneng Jinbei Aluminum Industry and Mining Area] (Xīnzhōu Shì)</v>
      </c>
      <c r="P892" s="13" t="str">
        <f t="shared" si="27"/>
        <v>Shanxi Luneng Jinbei Luye Gongkuangqu [Shanxi Luneng Jinbei Aluminum Industry and Mining Area] (Xīnzhōu Shì)</v>
      </c>
    </row>
    <row r="893" spans="1:16" hidden="1" x14ac:dyDescent="0.25">
      <c r="A893" t="s">
        <v>1808</v>
      </c>
      <c r="B893" t="str">
        <f>IF(COUNTIF(A:A,A893)&gt;1,_xlfn.CONCAT(A893," (",N893,")"),A893)</f>
        <v>Shānyīnnóng Mùchăng</v>
      </c>
      <c r="C893" t="str">
        <f>IF(COUNTIF(B:B,B893)&gt;1,_xlfn.CONCAT(A893," (",M893,")"),B893)</f>
        <v>Shānyīnnóng Mùchăng</v>
      </c>
      <c r="D893" t="s">
        <v>1809</v>
      </c>
      <c r="E893" t="s">
        <v>35</v>
      </c>
      <c r="F893" t="str">
        <f>_xlfn.CONCAT(D893,", ",H893,", ",I893,", ","山西省")</f>
        <v>山阴农牧场, 山阴县, 朔州市, 山西省</v>
      </c>
      <c r="G893">
        <v>2535</v>
      </c>
      <c r="H893" t="s">
        <v>2964</v>
      </c>
      <c r="I893" t="s">
        <v>2961</v>
      </c>
      <c r="J893">
        <f>VLOOKUP(F893,[1]!china_towns_second__2[[Column1]:[Y]],3,FALSE)</f>
        <v>39.371011473653802</v>
      </c>
      <c r="K893">
        <f>VLOOKUP(F893,[1]!china_towns_second__2[[Column1]:[Y]],2,FALSE)</f>
        <v>112.7890256</v>
      </c>
      <c r="L893" t="s">
        <v>4469</v>
      </c>
      <c r="M893" t="str">
        <f>VLOOKUP(H893,CHOOSE({1,2},Table12[Native],Table12[Name]),2,0)</f>
        <v>Shānyīn Xiàn</v>
      </c>
      <c r="N893" s="13" t="str">
        <f>VLOOKUP(I893,CHOOSE({1,2},Table12[Native],Table12[Name]),2,0)</f>
        <v>Shuòzhōu Shì</v>
      </c>
      <c r="O893" s="13" t="str">
        <f t="shared" si="26"/>
        <v>Shanyinnong Muchang (Shuòzhōu Shì)</v>
      </c>
      <c r="P893" s="13" t="str">
        <f t="shared" si="27"/>
        <v>Shanyinnong Muchang (Shuòzhōu Shì)</v>
      </c>
    </row>
    <row r="894" spans="1:16" hidden="1" x14ac:dyDescent="0.25">
      <c r="A894" t="s">
        <v>1275</v>
      </c>
      <c r="B894" t="str">
        <f>IF(COUNTIF(A:A,A894)&gt;1,_xlfn.CONCAT(A894," (",N894,")"),A894)</f>
        <v>Shānzhōng Xiāng</v>
      </c>
      <c r="C894" t="str">
        <f>IF(COUNTIF(B:B,B894)&gt;1,_xlfn.CONCAT(A894," (",M894,")"),B894)</f>
        <v>Shānzhōng Xiāng</v>
      </c>
      <c r="D894" t="s">
        <v>1276</v>
      </c>
      <c r="E894" t="s">
        <v>17</v>
      </c>
      <c r="F894" t="str">
        <f>_xlfn.CONCAT(D894,", ",H894,", ",I894,", ","山西省")</f>
        <v>山中乡, 蒲县, 临汾市, 山西省</v>
      </c>
      <c r="G894">
        <v>2808</v>
      </c>
      <c r="H894" t="s">
        <v>2937</v>
      </c>
      <c r="I894" t="s">
        <v>2927</v>
      </c>
      <c r="J894" t="e">
        <f>VLOOKUP(F894,[1]!china_towns_second__2[[Column1]:[Y]],3,FALSE)</f>
        <v>#N/A</v>
      </c>
      <c r="K894" t="e">
        <f>VLOOKUP(F894,[1]!china_towns_second__2[[Column1]:[Y]],2,FALSE)</f>
        <v>#N/A</v>
      </c>
      <c r="L894" t="s">
        <v>4470</v>
      </c>
      <c r="M894" t="str">
        <f>VLOOKUP(H894,CHOOSE({1,2},Table12[Native],Table12[Name]),2,0)</f>
        <v>Pú Xiàn</v>
      </c>
      <c r="N894" s="13" t="str">
        <f>VLOOKUP(I894,CHOOSE({1,2},Table12[Native],Table12[Name]),2,0)</f>
        <v>Línfén Shì</v>
      </c>
      <c r="O894" s="13" t="str">
        <f t="shared" si="26"/>
        <v>Shanzhong Xiang (Línfén Shì)</v>
      </c>
      <c r="P894" s="13" t="str">
        <f t="shared" si="27"/>
        <v>Shanzhong Xiang (Línfén Shì)</v>
      </c>
    </row>
    <row r="895" spans="1:16" hidden="1" x14ac:dyDescent="0.25">
      <c r="A895" t="s">
        <v>2546</v>
      </c>
      <c r="B895" t="str">
        <f>IF(COUNTIF(A:A,A895)&gt;1,_xlfn.CONCAT(A895," (",N895,")"),A895)</f>
        <v>Shāpíng Jiēdào</v>
      </c>
      <c r="C895" t="str">
        <f>IF(COUNTIF(B:B,B895)&gt;1,_xlfn.CONCAT(A895," (",M895,")"),B895)</f>
        <v>Shāpíng Jiēdào</v>
      </c>
      <c r="D895" t="s">
        <v>2547</v>
      </c>
      <c r="E895" t="s">
        <v>31</v>
      </c>
      <c r="F895" t="str">
        <f>_xlfn.CONCAT(D895,", ",H895,", ",I895,", ","山西省")</f>
        <v>沙坪街道, 矿区, 阳泉市, 山西省</v>
      </c>
      <c r="G895">
        <v>34858</v>
      </c>
      <c r="H895" t="s">
        <v>2999</v>
      </c>
      <c r="I895" t="s">
        <v>2997</v>
      </c>
      <c r="J895">
        <f>VLOOKUP(F895,[1]!china_towns_second__2[[Column1]:[Y]],3,FALSE)</f>
        <v>37.905522742675998</v>
      </c>
      <c r="K895">
        <f>VLOOKUP(F895,[1]!china_towns_second__2[[Column1]:[Y]],2,FALSE)</f>
        <v>113.5119978</v>
      </c>
      <c r="L895" t="s">
        <v>4471</v>
      </c>
      <c r="M895" t="str">
        <f>VLOOKUP(H895,CHOOSE({1,2},Table12[Native],Table12[Name]),2,0)</f>
        <v>Kuàng Qū</v>
      </c>
      <c r="N895" s="13" t="str">
        <f>VLOOKUP(I895,CHOOSE({1,2},Table12[Native],Table12[Name]),2,0)</f>
        <v>Yángquán Shì</v>
      </c>
      <c r="O895" s="13" t="str">
        <f t="shared" si="26"/>
        <v>Shaping Jiedao (Yángquán Shì)</v>
      </c>
      <c r="P895" s="13" t="str">
        <f t="shared" si="27"/>
        <v>Shaping Jiedao (Yángquán Shì)</v>
      </c>
    </row>
    <row r="896" spans="1:16" hidden="1" x14ac:dyDescent="0.25">
      <c r="A896" t="s">
        <v>2328</v>
      </c>
      <c r="B896" t="str">
        <f>IF(COUNTIF(A:A,A896)&gt;1,_xlfn.CONCAT(A896," (",N896,")"),A896)</f>
        <v>Shāpíng Xiāng</v>
      </c>
      <c r="C896" t="str">
        <f>IF(COUNTIF(B:B,B896)&gt;1,_xlfn.CONCAT(A896," (",M896,")"),B896)</f>
        <v>Shāpíng Xiāng</v>
      </c>
      <c r="D896" t="s">
        <v>2329</v>
      </c>
      <c r="E896" t="s">
        <v>17</v>
      </c>
      <c r="F896" t="str">
        <f>_xlfn.CONCAT(D896,", ",H896,", ",I896,", ","山西省")</f>
        <v>沙坪乡, 河曲县, 忻州市, 山西省</v>
      </c>
      <c r="G896">
        <v>3981</v>
      </c>
      <c r="H896" t="s">
        <v>2986</v>
      </c>
      <c r="I896" t="s">
        <v>2981</v>
      </c>
      <c r="J896" t="e">
        <f>VLOOKUP(F896,[1]!china_towns_second__2[[Column1]:[Y]],3,FALSE)</f>
        <v>#N/A</v>
      </c>
      <c r="K896" t="e">
        <f>VLOOKUP(F896,[1]!china_towns_second__2[[Column1]:[Y]],2,FALSE)</f>
        <v>#N/A</v>
      </c>
      <c r="L896" t="s">
        <v>4472</v>
      </c>
      <c r="M896" t="str">
        <f>VLOOKUP(H896,CHOOSE({1,2},Table12[Native],Table12[Name]),2,0)</f>
        <v>Héqŭ Xiàn</v>
      </c>
      <c r="N896" s="13" t="str">
        <f>VLOOKUP(I896,CHOOSE({1,2},Table12[Native],Table12[Name]),2,0)</f>
        <v>Xīnzhōu Shì</v>
      </c>
      <c r="O896" s="13" t="str">
        <f t="shared" si="26"/>
        <v>Shaping Xiang (Xīnzhōu Shì)</v>
      </c>
      <c r="P896" s="13" t="str">
        <f t="shared" si="27"/>
        <v>Shaping Xiang (Xīnzhōu Shì)</v>
      </c>
    </row>
    <row r="897" spans="1:16" hidden="1" x14ac:dyDescent="0.25">
      <c r="A897" t="s">
        <v>2330</v>
      </c>
      <c r="B897" t="str">
        <f>IF(COUNTIF(A:A,A897)&gt;1,_xlfn.CONCAT(A897," (",N897,")"),A897)</f>
        <v>Shāquán Zhèn</v>
      </c>
      <c r="C897" t="str">
        <f>IF(COUNTIF(B:B,B897)&gt;1,_xlfn.CONCAT(A897," (",M897,")"),B897)</f>
        <v>Shāquán Zhèn</v>
      </c>
      <c r="D897" t="s">
        <v>2331</v>
      </c>
      <c r="E897" t="s">
        <v>7</v>
      </c>
      <c r="F897" t="str">
        <f>_xlfn.CONCAT(D897,", ",H897,", ",I897,", ","山西省")</f>
        <v>沙泉镇, 河曲县, 忻州市, 山西省</v>
      </c>
      <c r="G897">
        <v>7421</v>
      </c>
      <c r="H897" t="s">
        <v>2986</v>
      </c>
      <c r="I897" t="s">
        <v>2981</v>
      </c>
      <c r="J897">
        <f>VLOOKUP(F897,[1]!china_towns_second__2[[Column1]:[Y]],3,FALSE)</f>
        <v>39.058158025358097</v>
      </c>
      <c r="K897">
        <f>VLOOKUP(F897,[1]!china_towns_second__2[[Column1]:[Y]],2,FALSE)</f>
        <v>111.38594999999999</v>
      </c>
      <c r="L897" t="s">
        <v>4473</v>
      </c>
      <c r="M897" t="str">
        <f>VLOOKUP(H897,CHOOSE({1,2},Table12[Native],Table12[Name]),2,0)</f>
        <v>Héqŭ Xiàn</v>
      </c>
      <c r="N897" s="13" t="str">
        <f>VLOOKUP(I897,CHOOSE({1,2},Table12[Native],Table12[Name]),2,0)</f>
        <v>Xīnzhōu Shì</v>
      </c>
      <c r="O897" s="13" t="str">
        <f t="shared" si="26"/>
        <v>Shaquan Zhen (Xīnzhōu Shì)</v>
      </c>
      <c r="P897" s="13" t="str">
        <f t="shared" si="27"/>
        <v>Shaquan Zhen (Xīnzhōu Shì)</v>
      </c>
    </row>
    <row r="898" spans="1:16" hidden="1" x14ac:dyDescent="0.25">
      <c r="A898" t="s">
        <v>964</v>
      </c>
      <c r="B898" t="str">
        <f>IF(COUNTIF(A:A,A898)&gt;1,_xlfn.CONCAT(A898," (",N898,")"),A898)</f>
        <v>Shèchéng Zhèn</v>
      </c>
      <c r="C898" t="str">
        <f>IF(COUNTIF(B:B,B898)&gt;1,_xlfn.CONCAT(A898," (",M898,")"),B898)</f>
        <v>Shèchéng Zhèn</v>
      </c>
      <c r="D898" t="s">
        <v>965</v>
      </c>
      <c r="E898" t="s">
        <v>7</v>
      </c>
      <c r="F898" t="str">
        <f>_xlfn.CONCAT(D898,", ",H898,", ",I898,", ","山西省")</f>
        <v>社城镇, 榆社县, 晋中市, 山西省</v>
      </c>
      <c r="G898">
        <v>6546</v>
      </c>
      <c r="H898" t="s">
        <v>2924</v>
      </c>
      <c r="I898" t="s">
        <v>2914</v>
      </c>
      <c r="J898">
        <f>VLOOKUP(F898,[1]!china_towns_second__2[[Column1]:[Y]],3,FALSE)</f>
        <v>37.273601548803803</v>
      </c>
      <c r="K898">
        <f>VLOOKUP(F898,[1]!china_towns_second__2[[Column1]:[Y]],2,FALSE)</f>
        <v>112.95912180000001</v>
      </c>
      <c r="L898" t="s">
        <v>4474</v>
      </c>
      <c r="M898" t="str">
        <f>VLOOKUP(H898,CHOOSE({1,2},Table12[Native],Table12[Name]),2,0)</f>
        <v>Yúshè Xiàn</v>
      </c>
      <c r="N898" s="13" t="str">
        <f>VLOOKUP(I898,CHOOSE({1,2},Table12[Native],Table12[Name]),2,0)</f>
        <v>Jìnzhōng Shì</v>
      </c>
      <c r="O898" s="13" t="str">
        <f t="shared" ref="O898:O961" si="28">_xlfn.CONCAT(L898," (",N898,")")</f>
        <v>Shecheng Zhen (Jìnzhōng Shì)</v>
      </c>
      <c r="P898" s="13" t="str">
        <f t="shared" ref="P898:P961" si="29">IF(COUNTIF(O:O,O898)&gt;1,_xlfn.CONCAT(L898," (",M898,")"),O898)</f>
        <v>Shecheng Zhen (Jìnzhōng Shì)</v>
      </c>
    </row>
    <row r="899" spans="1:16" hidden="1" x14ac:dyDescent="0.25">
      <c r="A899" t="s">
        <v>1610</v>
      </c>
      <c r="B899" t="str">
        <f>IF(COUNTIF(A:A,A899)&gt;1,_xlfn.CONCAT(A899," (",N899,")"),A899)</f>
        <v>Shèkē Xiāng</v>
      </c>
      <c r="C899" t="str">
        <f>IF(COUNTIF(B:B,B899)&gt;1,_xlfn.CONCAT(A899," (",M899,")"),B899)</f>
        <v>Shèkē Xiāng</v>
      </c>
      <c r="D899" t="s">
        <v>1611</v>
      </c>
      <c r="E899" t="s">
        <v>17</v>
      </c>
      <c r="F899" t="str">
        <f>_xlfn.CONCAT(D899,", ",H899,", ",I899,", ","山西省")</f>
        <v>社科乡, 岚县, 吕梁市, 山西省</v>
      </c>
      <c r="G899">
        <v>15528</v>
      </c>
      <c r="H899" t="s">
        <v>2951</v>
      </c>
      <c r="I899" t="s">
        <v>2946</v>
      </c>
      <c r="J899" t="e">
        <f>VLOOKUP(F899,[1]!china_towns_second__2[[Column1]:[Y]],3,FALSE)</f>
        <v>#N/A</v>
      </c>
      <c r="K899" t="e">
        <f>VLOOKUP(F899,[1]!china_towns_second__2[[Column1]:[Y]],2,FALSE)</f>
        <v>#N/A</v>
      </c>
      <c r="L899" t="s">
        <v>4475</v>
      </c>
      <c r="M899" t="str">
        <f>VLOOKUP(H899,CHOOSE({1,2},Table12[Native],Table12[Name]),2,0)</f>
        <v>Lán Xiàn</v>
      </c>
      <c r="N899" s="13" t="str">
        <f>VLOOKUP(I899,CHOOSE({1,2},Table12[Native],Table12[Name]),2,0)</f>
        <v>Lǚliáng Shì</v>
      </c>
      <c r="O899" s="13" t="str">
        <f t="shared" si="28"/>
        <v>Sheke Xiang (Lǚliáng Shì)</v>
      </c>
      <c r="P899" s="13" t="str">
        <f t="shared" si="29"/>
        <v>Sheke Xiang (Lǚliáng Shì)</v>
      </c>
    </row>
    <row r="900" spans="1:16" hidden="1" x14ac:dyDescent="0.25">
      <c r="A900" t="s">
        <v>2332</v>
      </c>
      <c r="B900" t="str">
        <f>IF(COUNTIF(A:A,A900)&gt;1,_xlfn.CONCAT(A900," (",N900,")"),A900)</f>
        <v>Shèliáng Xiāng</v>
      </c>
      <c r="C900" t="str">
        <f>IF(COUNTIF(B:B,B900)&gt;1,_xlfn.CONCAT(A900," (",M900,")"),B900)</f>
        <v>Shèliáng Xiāng</v>
      </c>
      <c r="D900" t="s">
        <v>2333</v>
      </c>
      <c r="E900" t="s">
        <v>17</v>
      </c>
      <c r="F900" t="str">
        <f>_xlfn.CONCAT(D900,", ",H900,", ",I900,", ","山西省")</f>
        <v>社梁乡, 河曲县, 忻州市, 山西省</v>
      </c>
      <c r="G900">
        <v>5064</v>
      </c>
      <c r="H900" t="s">
        <v>2986</v>
      </c>
      <c r="I900" t="s">
        <v>2981</v>
      </c>
      <c r="J900" t="e">
        <f>VLOOKUP(F900,[1]!china_towns_second__2[[Column1]:[Y]],3,FALSE)</f>
        <v>#N/A</v>
      </c>
      <c r="K900" t="e">
        <f>VLOOKUP(F900,[1]!china_towns_second__2[[Column1]:[Y]],2,FALSE)</f>
        <v>#N/A</v>
      </c>
      <c r="L900" t="s">
        <v>4476</v>
      </c>
      <c r="M900" t="str">
        <f>VLOOKUP(H900,CHOOSE({1,2},Table12[Native],Table12[Name]),2,0)</f>
        <v>Héqŭ Xiàn</v>
      </c>
      <c r="N900" s="13" t="str">
        <f>VLOOKUP(I900,CHOOSE({1,2},Table12[Native],Table12[Name]),2,0)</f>
        <v>Xīnzhōu Shì</v>
      </c>
      <c r="O900" s="13" t="str">
        <f t="shared" si="28"/>
        <v>Sheliang Xiang (Xīnzhōu Shì)</v>
      </c>
      <c r="P900" s="13" t="str">
        <f t="shared" si="29"/>
        <v>Sheliang Xiang (Xīnzhōu Shì)</v>
      </c>
    </row>
    <row r="901" spans="1:16" hidden="1" x14ac:dyDescent="0.25">
      <c r="A901" t="s">
        <v>2782</v>
      </c>
      <c r="B901" t="str">
        <f>IF(COUNTIF(A:A,A901)&gt;1,_xlfn.CONCAT(A901," (",N901,")"),A901)</f>
        <v>Shénbǎi Xiāng</v>
      </c>
      <c r="C901" t="str">
        <f>IF(COUNTIF(B:B,B901)&gt;1,_xlfn.CONCAT(A901," (",M901,")"),B901)</f>
        <v>Shénbǎi Xiāng</v>
      </c>
      <c r="D901" t="s">
        <v>2783</v>
      </c>
      <c r="E901" t="s">
        <v>17</v>
      </c>
      <c r="F901" t="str">
        <f>_xlfn.CONCAT(D901,", ",H901,", ",I901,", ","山西省")</f>
        <v>神柏乡, 闻喜县, 运城市, 山西省</v>
      </c>
      <c r="G901">
        <v>11478</v>
      </c>
      <c r="H901" t="s">
        <v>3011</v>
      </c>
      <c r="I901" t="s">
        <v>3003</v>
      </c>
      <c r="J901" t="e">
        <f>VLOOKUP(F901,[1]!china_towns_second__2[[Column1]:[Y]],3,FALSE)</f>
        <v>#N/A</v>
      </c>
      <c r="K901" t="e">
        <f>VLOOKUP(F901,[1]!china_towns_second__2[[Column1]:[Y]],2,FALSE)</f>
        <v>#N/A</v>
      </c>
      <c r="L901" t="s">
        <v>4477</v>
      </c>
      <c r="M901" t="str">
        <f>VLOOKUP(H901,CHOOSE({1,2},Table12[Native],Table12[Name]),2,0)</f>
        <v>Wénxĭ Xiàn</v>
      </c>
      <c r="N901" s="13" t="str">
        <f>VLOOKUP(I901,CHOOSE({1,2},Table12[Native],Table12[Name]),2,0)</f>
        <v>Yùnchéng Shì</v>
      </c>
      <c r="O901" s="13" t="str">
        <f t="shared" si="28"/>
        <v>Shenbai Xiang (Yùnchéng Shì)</v>
      </c>
      <c r="P901" s="13" t="str">
        <f t="shared" si="29"/>
        <v>Shenbai Xiang (Yùnchéng Shì)</v>
      </c>
    </row>
    <row r="902" spans="1:16" hidden="1" x14ac:dyDescent="0.25">
      <c r="A902" t="s">
        <v>2784</v>
      </c>
      <c r="B902" t="str">
        <f>IF(COUNTIF(A:A,A902)&gt;1,_xlfn.CONCAT(A902," (",N902,")"),A902)</f>
        <v>Shèngrénjiàn Zhèn</v>
      </c>
      <c r="C902" t="str">
        <f>IF(COUNTIF(B:B,B902)&gt;1,_xlfn.CONCAT(A902," (",M902,")"),B902)</f>
        <v>Shèngrénjiàn Zhèn</v>
      </c>
      <c r="D902" t="s">
        <v>2785</v>
      </c>
      <c r="E902" t="s">
        <v>7</v>
      </c>
      <c r="F902" t="str">
        <f>_xlfn.CONCAT(D902,", ",H902,", ",I902,", ","山西省")</f>
        <v>圣人涧镇, 平陆县, 运城市, 山西省</v>
      </c>
      <c r="G902">
        <v>84329</v>
      </c>
      <c r="H902" t="s">
        <v>3008</v>
      </c>
      <c r="I902" t="s">
        <v>3003</v>
      </c>
      <c r="J902">
        <f>VLOOKUP(F902,[1]!china_towns_second__2[[Column1]:[Y]],3,FALSE)</f>
        <v>34.904202242493902</v>
      </c>
      <c r="K902">
        <f>VLOOKUP(F902,[1]!china_towns_second__2[[Column1]:[Y]],2,FALSE)</f>
        <v>111.2716327</v>
      </c>
      <c r="L902" t="s">
        <v>4478</v>
      </c>
      <c r="M902" t="str">
        <f>VLOOKUP(H902,CHOOSE({1,2},Table12[Native],Table12[Name]),2,0)</f>
        <v>Pínglù Xiàn</v>
      </c>
      <c r="N902" s="13" t="str">
        <f>VLOOKUP(I902,CHOOSE({1,2},Table12[Native],Table12[Name]),2,0)</f>
        <v>Yùnchéng Shì</v>
      </c>
      <c r="O902" s="13" t="str">
        <f t="shared" si="28"/>
        <v>Shengrenjian Zhen (Yùnchéng Shì)</v>
      </c>
      <c r="P902" s="13" t="str">
        <f t="shared" si="29"/>
        <v>Shengrenjian Zhen (Yùnchéng Shì)</v>
      </c>
    </row>
    <row r="903" spans="1:16" hidden="1" x14ac:dyDescent="0.25">
      <c r="A903" t="s">
        <v>1612</v>
      </c>
      <c r="B903" t="str">
        <f>IF(COUNTIF(A:A,A903)&gt;1,_xlfn.CONCAT(A903," (",N903,")"),A903)</f>
        <v>Shèngxīhú Jiēdào [Dōngxŭ Jiēdào]</v>
      </c>
      <c r="C903" t="str">
        <f>IF(COUNTIF(B:B,B903)&gt;1,_xlfn.CONCAT(A903," (",M903,")"),B903)</f>
        <v>Shèngxīhú Jiēdào [Dōngxŭ Jiēdào]</v>
      </c>
      <c r="D903" t="s">
        <v>1613</v>
      </c>
      <c r="E903" t="s">
        <v>31</v>
      </c>
      <c r="F903" t="str">
        <f>_xlfn.CONCAT(D903,", ",H903,", ",I903,", ","山西省")</f>
        <v>胜溪湖街道, 孝义市, 吕梁市, 山西省</v>
      </c>
      <c r="G903">
        <v>10198</v>
      </c>
      <c r="H903" t="s">
        <v>2957</v>
      </c>
      <c r="I903" t="s">
        <v>2946</v>
      </c>
      <c r="J903" t="e">
        <f>VLOOKUP(F903,[1]!china_towns_second__2[[Column1]:[Y]],3,FALSE)</f>
        <v>#N/A</v>
      </c>
      <c r="K903" t="e">
        <f>VLOOKUP(F903,[1]!china_towns_second__2[[Column1]:[Y]],2,FALSE)</f>
        <v>#N/A</v>
      </c>
      <c r="L903" t="s">
        <v>4479</v>
      </c>
      <c r="M903" t="str">
        <f>VLOOKUP(H903,CHOOSE({1,2},Table12[Native],Table12[Name]),2,0)</f>
        <v>Xiàoyì Shì</v>
      </c>
      <c r="N903" s="13" t="str">
        <f>VLOOKUP(I903,CHOOSE({1,2},Table12[Native],Table12[Name]),2,0)</f>
        <v>Lǚliáng Shì</v>
      </c>
      <c r="O903" s="13" t="str">
        <f t="shared" si="28"/>
        <v>Shengxihu Jiedao [Dongxu Jiedao] (Lǚliáng Shì)</v>
      </c>
      <c r="P903" s="13" t="str">
        <f t="shared" si="29"/>
        <v>Shengxihu Jiedao [Dongxu Jiedao] (Lǚliáng Shì)</v>
      </c>
    </row>
    <row r="904" spans="1:16" hidden="1" x14ac:dyDescent="0.25">
      <c r="A904" t="s">
        <v>737</v>
      </c>
      <c r="B904" t="str">
        <f>IF(COUNTIF(A:A,A904)&gt;1,_xlfn.CONCAT(A904," (",N904,")"),A904)</f>
        <v>Shénnóng Zhèn</v>
      </c>
      <c r="C904" t="str">
        <f>IF(COUNTIF(B:B,B904)&gt;1,_xlfn.CONCAT(A904," (",M904,")"),B904)</f>
        <v>Shénnóng Zhèn</v>
      </c>
      <c r="D904" t="s">
        <v>738</v>
      </c>
      <c r="E904" t="s">
        <v>7</v>
      </c>
      <c r="F904" t="str">
        <f>_xlfn.CONCAT(D904,", ",H904,", ",I904,", ","山西省")</f>
        <v>神农镇, 高平市, 晋城市, 山西省</v>
      </c>
      <c r="G904">
        <v>21020</v>
      </c>
      <c r="H904" t="s">
        <v>2908</v>
      </c>
      <c r="I904" t="s">
        <v>2906</v>
      </c>
      <c r="J904">
        <f>VLOOKUP(F904,[1]!china_towns_second__2[[Column1]:[Y]],3,FALSE)</f>
        <v>35.901875770090498</v>
      </c>
      <c r="K904">
        <f>VLOOKUP(F904,[1]!china_towns_second__2[[Column1]:[Y]],2,FALSE)</f>
        <v>112.9609122</v>
      </c>
      <c r="L904" t="s">
        <v>4480</v>
      </c>
      <c r="M904" t="str">
        <f>VLOOKUP(H904,CHOOSE({1,2},Table12[Native],Table12[Name]),2,0)</f>
        <v>Gāopíng Shì</v>
      </c>
      <c r="N904" s="13" t="str">
        <f>VLOOKUP(I904,CHOOSE({1,2},Table12[Native],Table12[Name]),2,0)</f>
        <v>Jìnchéng Shì</v>
      </c>
      <c r="O904" s="13" t="str">
        <f t="shared" si="28"/>
        <v>Shennong Zhen (Jìnchéng Shì)</v>
      </c>
      <c r="P904" s="13" t="str">
        <f t="shared" si="29"/>
        <v>Shennong Zhen (Jìnchéng Shì)</v>
      </c>
    </row>
    <row r="905" spans="1:16" hidden="1" x14ac:dyDescent="0.25">
      <c r="A905" t="s">
        <v>2334</v>
      </c>
      <c r="B905" t="str">
        <f>IF(COUNTIF(A:A,A905)&gt;1,_xlfn.CONCAT(A905," (",N905,")"),A905)</f>
        <v>Shénshān Xiāng</v>
      </c>
      <c r="C905" t="str">
        <f>IF(COUNTIF(B:B,B905)&gt;1,_xlfn.CONCAT(A905," (",M905,")"),B905)</f>
        <v>Shénshān Xiāng</v>
      </c>
      <c r="D905" t="s">
        <v>2335</v>
      </c>
      <c r="E905" t="s">
        <v>17</v>
      </c>
      <c r="F905" t="str">
        <f>_xlfn.CONCAT(D905,", ",H905,", ",I905,", ","山西省")</f>
        <v>神山乡, 定襄县, 忻州市, 山西省</v>
      </c>
      <c r="G905">
        <v>16314</v>
      </c>
      <c r="H905" t="s">
        <v>2984</v>
      </c>
      <c r="I905" t="s">
        <v>2981</v>
      </c>
      <c r="J905" t="e">
        <f>VLOOKUP(F905,[1]!china_towns_second__2[[Column1]:[Y]],3,FALSE)</f>
        <v>#N/A</v>
      </c>
      <c r="K905" t="e">
        <f>VLOOKUP(F905,[1]!china_towns_second__2[[Column1]:[Y]],2,FALSE)</f>
        <v>#N/A</v>
      </c>
      <c r="L905" t="s">
        <v>4481</v>
      </c>
      <c r="M905" t="str">
        <f>VLOOKUP(H905,CHOOSE({1,2},Table12[Native],Table12[Name]),2,0)</f>
        <v>Dìngxiāng Xiàn</v>
      </c>
      <c r="N905" s="13" t="str">
        <f>VLOOKUP(I905,CHOOSE({1,2},Table12[Native],Table12[Name]),2,0)</f>
        <v>Xīnzhōu Shì</v>
      </c>
      <c r="O905" s="13" t="str">
        <f t="shared" si="28"/>
        <v>Shenshan Xiang (Xīnzhōu Shì)</v>
      </c>
      <c r="P905" s="13" t="str">
        <f t="shared" si="29"/>
        <v>Shenshan Xiang (Xīnzhōu Shì)</v>
      </c>
    </row>
    <row r="906" spans="1:16" hidden="1" x14ac:dyDescent="0.25">
      <c r="A906" t="s">
        <v>2336</v>
      </c>
      <c r="B906" t="str">
        <f>IF(COUNTIF(A:A,A906)&gt;1,_xlfn.CONCAT(A906," (",N906,")"),A906)</f>
        <v>Shéntángbăo Xiāng</v>
      </c>
      <c r="C906" t="str">
        <f>IF(COUNTIF(B:B,B906)&gt;1,_xlfn.CONCAT(A906," (",M906,")"),B906)</f>
        <v>Shéntángbăo Xiāng</v>
      </c>
      <c r="D906" t="s">
        <v>2337</v>
      </c>
      <c r="E906" t="s">
        <v>17</v>
      </c>
      <c r="F906" t="str">
        <f>_xlfn.CONCAT(D906,", ",H906,", ",I906,", ","山西省")</f>
        <v>神堂堡乡, 繁峙县, 忻州市, 山西省</v>
      </c>
      <c r="G906">
        <v>6538</v>
      </c>
      <c r="H906" t="s">
        <v>2985</v>
      </c>
      <c r="I906" t="s">
        <v>2981</v>
      </c>
      <c r="J906" t="e">
        <f>VLOOKUP(F906,[1]!china_towns_second__2[[Column1]:[Y]],3,FALSE)</f>
        <v>#N/A</v>
      </c>
      <c r="K906" t="e">
        <f>VLOOKUP(F906,[1]!china_towns_second__2[[Column1]:[Y]],2,FALSE)</f>
        <v>#N/A</v>
      </c>
      <c r="L906" t="s">
        <v>4482</v>
      </c>
      <c r="M906" t="str">
        <f>VLOOKUP(H906,CHOOSE({1,2},Table12[Native],Table12[Name]),2,0)</f>
        <v>Fánshì Xiàn</v>
      </c>
      <c r="N906" s="13" t="str">
        <f>VLOOKUP(I906,CHOOSE({1,2},Table12[Native],Table12[Name]),2,0)</f>
        <v>Xīnzhōu Shì</v>
      </c>
      <c r="O906" s="13" t="str">
        <f t="shared" si="28"/>
        <v>Shentangbao Xiang (Xīnzhōu Shì)</v>
      </c>
      <c r="P906" s="13" t="str">
        <f t="shared" si="29"/>
        <v>Shentangbao Xiang (Xīnzhōu Shì)</v>
      </c>
    </row>
    <row r="907" spans="1:16" hidden="1" x14ac:dyDescent="0.25">
      <c r="A907" t="s">
        <v>2022</v>
      </c>
      <c r="B907" t="str">
        <f>IF(COUNTIF(A:A,A907)&gt;1,_xlfn.CONCAT(A907," (",N907,")"),A907)</f>
        <v>Shéntánggōu Jiēdào</v>
      </c>
      <c r="C907" t="str">
        <f>IF(COUNTIF(B:B,B907)&gt;1,_xlfn.CONCAT(A907," (",M907,")"),B907)</f>
        <v>Shéntánggōu Jiēdào</v>
      </c>
      <c r="D907" t="s">
        <v>2023</v>
      </c>
      <c r="E907" t="s">
        <v>31</v>
      </c>
      <c r="F907" t="str">
        <f>_xlfn.CONCAT(D907,", ",H907,", ",I907,", ","山西省")</f>
        <v>神堂沟街道, 万柏林区, 太原市, 山西省</v>
      </c>
      <c r="G907">
        <v>17964</v>
      </c>
      <c r="H907" t="s">
        <v>2975</v>
      </c>
      <c r="I907" t="s">
        <v>2969</v>
      </c>
      <c r="J907">
        <f>VLOOKUP(F907,[1]!china_towns_second__2[[Column1]:[Y]],3,FALSE)</f>
        <v>37.818809631298997</v>
      </c>
      <c r="K907">
        <f>VLOOKUP(F907,[1]!china_towns_second__2[[Column1]:[Y]],2,FALSE)</f>
        <v>112.46562160000001</v>
      </c>
      <c r="L907" t="s">
        <v>4483</v>
      </c>
      <c r="M907" t="str">
        <f>VLOOKUP(H907,CHOOSE({1,2},Table12[Native],Table12[Name]),2,0)</f>
        <v>Wànbǎilín Qū</v>
      </c>
      <c r="N907" s="13" t="str">
        <f>VLOOKUP(I907,CHOOSE({1,2},Table12[Native],Table12[Name]),2,0)</f>
        <v>Tàiyuán Shì</v>
      </c>
      <c r="O907" s="13" t="str">
        <f t="shared" si="28"/>
        <v>Shentanggou Jiedao (Tàiyuán Shì)</v>
      </c>
      <c r="P907" s="13" t="str">
        <f t="shared" si="29"/>
        <v>Shentanggou Jiedao (Tàiyuán Shì)</v>
      </c>
    </row>
    <row r="908" spans="1:16" hidden="1" x14ac:dyDescent="0.25">
      <c r="A908" t="s">
        <v>2338</v>
      </c>
      <c r="B908" t="str">
        <f>IF(COUNTIF(A:A,A908)&gt;1,_xlfn.CONCAT(A908," (",N908,")"),A908)</f>
        <v>Shéntángpíng Xiāng</v>
      </c>
      <c r="C908" t="str">
        <f>IF(COUNTIF(B:B,B908)&gt;1,_xlfn.CONCAT(A908," (",M908,")"),B908)</f>
        <v>Shéntángpíng Xiāng</v>
      </c>
      <c r="D908" t="s">
        <v>2339</v>
      </c>
      <c r="E908" t="s">
        <v>17</v>
      </c>
      <c r="F908" t="str">
        <f>_xlfn.CONCAT(D908,", ",H908,", ",I908,", ","山西省")</f>
        <v>神堂坪乡, 岢岚县, 忻州市, 山西省</v>
      </c>
      <c r="G908">
        <v>6954</v>
      </c>
      <c r="H908" t="s">
        <v>2988</v>
      </c>
      <c r="I908" t="s">
        <v>2981</v>
      </c>
      <c r="J908" t="e">
        <f>VLOOKUP(F908,[1]!china_towns_second__2[[Column1]:[Y]],3,FALSE)</f>
        <v>#N/A</v>
      </c>
      <c r="K908" t="e">
        <f>VLOOKUP(F908,[1]!china_towns_second__2[[Column1]:[Y]],2,FALSE)</f>
        <v>#N/A</v>
      </c>
      <c r="L908" t="s">
        <v>4484</v>
      </c>
      <c r="M908" t="str">
        <f>VLOOKUP(H908,CHOOSE({1,2},Table12[Native],Table12[Name]),2,0)</f>
        <v>Kĕlán Xiàn</v>
      </c>
      <c r="N908" s="13" t="str">
        <f>VLOOKUP(I908,CHOOSE({1,2},Table12[Native],Table12[Name]),2,0)</f>
        <v>Xīnzhōu Shì</v>
      </c>
      <c r="O908" s="13" t="str">
        <f t="shared" si="28"/>
        <v>Shentangping Xiang (Xīnzhōu Shì)</v>
      </c>
      <c r="P908" s="13" t="str">
        <f t="shared" si="29"/>
        <v>Shentangping Xiang (Xīnzhōu Shì)</v>
      </c>
    </row>
    <row r="909" spans="1:16" hidden="1" x14ac:dyDescent="0.25">
      <c r="A909" t="s">
        <v>1810</v>
      </c>
      <c r="B909" t="str">
        <f>IF(COUNTIF(A:A,A909)&gt;1,_xlfn.CONCAT(A909," (",N909,")"),A909)</f>
        <v>Shéntóu Jiēdào</v>
      </c>
      <c r="C909" t="str">
        <f>IF(COUNTIF(B:B,B909)&gt;1,_xlfn.CONCAT(A909," (",M909,")"),B909)</f>
        <v>Shéntóu Jiēdào</v>
      </c>
      <c r="D909" t="s">
        <v>1811</v>
      </c>
      <c r="E909" t="s">
        <v>31</v>
      </c>
      <c r="F909" t="str">
        <f>_xlfn.CONCAT(D909,", ",H909,", ",I909,", ","山西省")</f>
        <v>神头街道, 朔城区, 朔州市, 山西省</v>
      </c>
      <c r="G909">
        <v>30498</v>
      </c>
      <c r="H909" t="s">
        <v>2965</v>
      </c>
      <c r="I909" t="s">
        <v>2961</v>
      </c>
      <c r="J909">
        <f>VLOOKUP(F909,[1]!china_towns_second__2[[Column1]:[Y]],3,FALSE)</f>
        <v>39.371261656355401</v>
      </c>
      <c r="K909">
        <f>VLOOKUP(F909,[1]!china_towns_second__2[[Column1]:[Y]],2,FALSE)</f>
        <v>112.5460288</v>
      </c>
      <c r="L909" t="s">
        <v>4485</v>
      </c>
      <c r="M909" t="str">
        <f>VLOOKUP(H909,CHOOSE({1,2},Table12[Native],Table12[Name]),2,0)</f>
        <v>Shuòchéng Qū</v>
      </c>
      <c r="N909" s="13" t="str">
        <f>VLOOKUP(I909,CHOOSE({1,2},Table12[Native],Table12[Name]),2,0)</f>
        <v>Shuòzhōu Shì</v>
      </c>
      <c r="O909" s="13" t="str">
        <f t="shared" si="28"/>
        <v>Shentou Jiedao (Shuòzhōu Shì)</v>
      </c>
      <c r="P909" s="13" t="str">
        <f t="shared" si="29"/>
        <v>Shentou Jiedao (Shuòzhōu Shì)</v>
      </c>
    </row>
    <row r="910" spans="1:16" hidden="1" x14ac:dyDescent="0.25">
      <c r="A910" t="s">
        <v>1812</v>
      </c>
      <c r="B910" t="str">
        <f>IF(COUNTIF(A:A,A910)&gt;1,_xlfn.CONCAT(A910," (",N910,")"),A910)</f>
        <v>Shéntóu Zhèn</v>
      </c>
      <c r="C910" t="str">
        <f>IF(COUNTIF(B:B,B910)&gt;1,_xlfn.CONCAT(A910," (",M910,")"),B910)</f>
        <v>Shéntóu Zhèn</v>
      </c>
      <c r="D910" t="s">
        <v>1813</v>
      </c>
      <c r="E910" t="s">
        <v>7</v>
      </c>
      <c r="F910" t="str">
        <f>_xlfn.CONCAT(D910,", ",H910,", ",I910,", ","山西省")</f>
        <v>神头镇, 朔城区, 朔州市, 山西省</v>
      </c>
      <c r="G910">
        <v>29458</v>
      </c>
      <c r="H910" t="s">
        <v>2965</v>
      </c>
      <c r="I910" t="s">
        <v>2961</v>
      </c>
      <c r="J910">
        <f>VLOOKUP(F910,[1]!china_towns_second__2[[Column1]:[Y]],3,FALSE)</f>
        <v>39.388975928976102</v>
      </c>
      <c r="K910">
        <f>VLOOKUP(F910,[1]!china_towns_second__2[[Column1]:[Y]],2,FALSE)</f>
        <v>112.62095189999999</v>
      </c>
      <c r="L910" t="s">
        <v>4486</v>
      </c>
      <c r="M910" t="str">
        <f>VLOOKUP(H910,CHOOSE({1,2},Table12[Native],Table12[Name]),2,0)</f>
        <v>Shuòchéng Qū</v>
      </c>
      <c r="N910" s="13" t="str">
        <f>VLOOKUP(I910,CHOOSE({1,2},Table12[Native],Table12[Name]),2,0)</f>
        <v>Shuòzhōu Shì</v>
      </c>
      <c r="O910" s="13" t="str">
        <f t="shared" si="28"/>
        <v>Shentou Zhen (Shuòzhōu Shì)</v>
      </c>
      <c r="P910" s="13" t="str">
        <f t="shared" si="29"/>
        <v>Shentou Zhen (Shuòzhōu Shì)</v>
      </c>
    </row>
    <row r="911" spans="1:16" hidden="1" x14ac:dyDescent="0.25">
      <c r="A911" t="s">
        <v>2340</v>
      </c>
      <c r="B911" t="str">
        <f>IF(COUNTIF(A:A,A911)&gt;1,_xlfn.CONCAT(A911," (",N911,")"),A911)</f>
        <v>Shénxī Xiāng</v>
      </c>
      <c r="C911" t="str">
        <f>IF(COUNTIF(B:B,B911)&gt;1,_xlfn.CONCAT(A911," (",M911,")"),B911)</f>
        <v>Shénxī Xiāng</v>
      </c>
      <c r="D911" t="s">
        <v>2341</v>
      </c>
      <c r="E911" t="s">
        <v>17</v>
      </c>
      <c r="F911" t="str">
        <f>_xlfn.CONCAT(D911,", ",H911,", ",I911,", ","山西省")</f>
        <v>神西乡, 五台县, 忻州市, 山西省</v>
      </c>
      <c r="G911">
        <v>6319</v>
      </c>
      <c r="H911" t="s">
        <v>2992</v>
      </c>
      <c r="I911" t="s">
        <v>2981</v>
      </c>
      <c r="J911" t="e">
        <f>VLOOKUP(F911,[1]!china_towns_second__2[[Column1]:[Y]],3,FALSE)</f>
        <v>#N/A</v>
      </c>
      <c r="K911" t="e">
        <f>VLOOKUP(F911,[1]!china_towns_second__2[[Column1]:[Y]],2,FALSE)</f>
        <v>#N/A</v>
      </c>
      <c r="L911" t="s">
        <v>4487</v>
      </c>
      <c r="M911" t="str">
        <f>VLOOKUP(H911,CHOOSE({1,2},Table12[Native],Table12[Name]),2,0)</f>
        <v>Wŭtái Xiàn</v>
      </c>
      <c r="N911" s="13" t="str">
        <f>VLOOKUP(I911,CHOOSE({1,2},Table12[Native],Table12[Name]),2,0)</f>
        <v>Xīnzhōu Shì</v>
      </c>
      <c r="O911" s="13" t="str">
        <f t="shared" si="28"/>
        <v>Shenxi Xiang (Xīnzhōu Shì)</v>
      </c>
      <c r="P911" s="13" t="str">
        <f t="shared" si="29"/>
        <v>Shenxi Xiang (Xīnzhōu Shì)</v>
      </c>
    </row>
    <row r="912" spans="1:16" hidden="1" x14ac:dyDescent="0.25">
      <c r="A912" t="s">
        <v>2342</v>
      </c>
      <c r="B912" t="str">
        <f>IF(COUNTIF(A:A,A912)&gt;1,_xlfn.CONCAT(A912," (",N912,")"),A912)</f>
        <v>Shényùgōu Xiāng</v>
      </c>
      <c r="C912" t="str">
        <f>IF(COUNTIF(B:B,B912)&gt;1,_xlfn.CONCAT(A912," (",M912,")"),B912)</f>
        <v>Shényùgōu Xiāng</v>
      </c>
      <c r="D912" t="s">
        <v>2343</v>
      </c>
      <c r="E912" t="s">
        <v>17</v>
      </c>
      <c r="F912" t="str">
        <f>_xlfn.CONCAT(D912,", ",H912,", ",I912,", ","山西省")</f>
        <v>神峪沟乡, 静乐县, 忻州市, 山西省</v>
      </c>
      <c r="G912">
        <v>7586</v>
      </c>
      <c r="H912" t="s">
        <v>2987</v>
      </c>
      <c r="I912" t="s">
        <v>2981</v>
      </c>
      <c r="J912" t="e">
        <f>VLOOKUP(F912,[1]!china_towns_second__2[[Column1]:[Y]],3,FALSE)</f>
        <v>#N/A</v>
      </c>
      <c r="K912" t="e">
        <f>VLOOKUP(F912,[1]!china_towns_second__2[[Column1]:[Y]],2,FALSE)</f>
        <v>#N/A</v>
      </c>
      <c r="L912" t="s">
        <v>4488</v>
      </c>
      <c r="M912" t="str">
        <f>VLOOKUP(H912,CHOOSE({1,2},Table12[Native],Table12[Name]),2,0)</f>
        <v>Jìnglè Xiàn</v>
      </c>
      <c r="N912" s="13" t="str">
        <f>VLOOKUP(I912,CHOOSE({1,2},Table12[Native],Table12[Name]),2,0)</f>
        <v>Xīnzhōu Shì</v>
      </c>
      <c r="O912" s="13" t="str">
        <f t="shared" si="28"/>
        <v>Shenyugou Xiang (Xīnzhōu Shì)</v>
      </c>
      <c r="P912" s="13" t="str">
        <f t="shared" si="29"/>
        <v>Shenyugou Xiang (Xīnzhōu Shì)</v>
      </c>
    </row>
    <row r="913" spans="1:16" hidden="1" x14ac:dyDescent="0.25">
      <c r="A913" t="s">
        <v>1277</v>
      </c>
      <c r="B913" t="str">
        <f>IF(COUNTIF(A:A,A913)&gt;1,_xlfn.CONCAT(A913," (",N913,")"),A913)</f>
        <v>Shèqū Guǎnlǐ Wěiyuánhuì</v>
      </c>
      <c r="C913" t="str">
        <f>IF(COUNTIF(B:B,B913)&gt;1,_xlfn.CONCAT(A913," (",M913,")"),B913)</f>
        <v>Shèqū Guǎnlǐ Wěiyuánhuì</v>
      </c>
      <c r="D913" t="s">
        <v>1278</v>
      </c>
      <c r="E913" t="s">
        <v>35</v>
      </c>
      <c r="F913" t="str">
        <f>_xlfn.CONCAT(D913,", ",H913,", ",I913,", ","山西省")</f>
        <v>社区管理委员会, 汾西县, 临汾市, 山西省</v>
      </c>
      <c r="G913">
        <v>36980</v>
      </c>
      <c r="H913" t="s">
        <v>2930</v>
      </c>
      <c r="I913" t="s">
        <v>2927</v>
      </c>
      <c r="J913" t="e">
        <f>VLOOKUP(F913,[1]!china_towns_second__2[[Column1]:[Y]],3,FALSE)</f>
        <v>#N/A</v>
      </c>
      <c r="K913" t="e">
        <f>VLOOKUP(F913,[1]!china_towns_second__2[[Column1]:[Y]],2,FALSE)</f>
        <v>#N/A</v>
      </c>
      <c r="L913" t="s">
        <v>4489</v>
      </c>
      <c r="M913" t="str">
        <f>VLOOKUP(H913,CHOOSE({1,2},Table12[Native],Table12[Name]),2,0)</f>
        <v>Fénxī Xiàn</v>
      </c>
      <c r="N913" s="13" t="str">
        <f>VLOOKUP(I913,CHOOSE({1,2},Table12[Native],Table12[Name]),2,0)</f>
        <v>Línfén Shì</v>
      </c>
      <c r="O913" s="13" t="str">
        <f t="shared" si="28"/>
        <v>Shequ Guanli Weiyuanhui (Línfén Shì)</v>
      </c>
      <c r="P913" s="13" t="str">
        <f t="shared" si="29"/>
        <v>Shequ Guanli Weiyuanhui (Línfén Shì)</v>
      </c>
    </row>
    <row r="914" spans="1:16" hidden="1" x14ac:dyDescent="0.25">
      <c r="A914" t="s">
        <v>2786</v>
      </c>
      <c r="B914" t="str">
        <f>IF(COUNTIF(A:A,A914)&gt;1,_xlfn.CONCAT(A914," (",N914,")"),A914)</f>
        <v>Shèqūbàn</v>
      </c>
      <c r="C914" t="str">
        <f>IF(COUNTIF(B:B,B914)&gt;1,_xlfn.CONCAT(A914," (",M914,")"),B914)</f>
        <v>Shèqūbàn</v>
      </c>
      <c r="D914" t="s">
        <v>2787</v>
      </c>
      <c r="E914" t="s">
        <v>35</v>
      </c>
      <c r="F914" t="str">
        <f>_xlfn.CONCAT(D914,", ",H914,", ",I914,", ","山西省")</f>
        <v>社区办, 新绛县, 运城市, 山西省</v>
      </c>
      <c r="G914">
        <v>33282</v>
      </c>
      <c r="H914" t="s">
        <v>3013</v>
      </c>
      <c r="I914" t="s">
        <v>3003</v>
      </c>
      <c r="J914">
        <f>VLOOKUP(F914,[1]!china_towns_second__2[[Column1]:[Y]],3,FALSE)</f>
        <v>35.616413406739198</v>
      </c>
      <c r="K914">
        <f>VLOOKUP(F914,[1]!china_towns_second__2[[Column1]:[Y]],2,FALSE)</f>
        <v>111.2151478</v>
      </c>
      <c r="L914" t="s">
        <v>4490</v>
      </c>
      <c r="M914" t="str">
        <f>VLOOKUP(H914,CHOOSE({1,2},Table12[Native],Table12[Name]),2,0)</f>
        <v>Xīnjiàng Xiàn</v>
      </c>
      <c r="N914" s="13" t="str">
        <f>VLOOKUP(I914,CHOOSE({1,2},Table12[Native],Table12[Name]),2,0)</f>
        <v>Yùnchéng Shì</v>
      </c>
      <c r="O914" s="13" t="str">
        <f t="shared" si="28"/>
        <v>Shequban (Yùnchéng Shì)</v>
      </c>
      <c r="P914" s="13" t="str">
        <f t="shared" si="29"/>
        <v>Shequban (Yùnchéng Shì)</v>
      </c>
    </row>
    <row r="915" spans="1:16" hidden="1" x14ac:dyDescent="0.25">
      <c r="A915" t="s">
        <v>1614</v>
      </c>
      <c r="B915" t="str">
        <f>IF(COUNTIF(A:A,A915)&gt;1,_xlfn.CONCAT(A915," (",N915,")"),A915)</f>
        <v>Shíbáitóu Xiāng</v>
      </c>
      <c r="C915" t="str">
        <f>IF(COUNTIF(B:B,B915)&gt;1,_xlfn.CONCAT(A915," (",M915,")"),B915)</f>
        <v>Shíbáitóu Xiāng</v>
      </c>
      <c r="D915" t="s">
        <v>1615</v>
      </c>
      <c r="E915" t="s">
        <v>17</v>
      </c>
      <c r="F915" t="str">
        <f>_xlfn.CONCAT(D915,", ",H915,", ",I915,", ","山西省")</f>
        <v>石白头乡, 临县, 吕梁市, 山西省</v>
      </c>
      <c r="G915">
        <v>19765</v>
      </c>
      <c r="H915" t="s">
        <v>2952</v>
      </c>
      <c r="I915" t="s">
        <v>2946</v>
      </c>
      <c r="J915" t="e">
        <f>VLOOKUP(F915,[1]!china_towns_second__2[[Column1]:[Y]],3,FALSE)</f>
        <v>#N/A</v>
      </c>
      <c r="K915" t="e">
        <f>VLOOKUP(F915,[1]!china_towns_second__2[[Column1]:[Y]],2,FALSE)</f>
        <v>#N/A</v>
      </c>
      <c r="L915" t="s">
        <v>4491</v>
      </c>
      <c r="M915" t="str">
        <f>VLOOKUP(H915,CHOOSE({1,2},Table12[Native],Table12[Name]),2,0)</f>
        <v>Lín Xiàn</v>
      </c>
      <c r="N915" s="13" t="str">
        <f>VLOOKUP(I915,CHOOSE({1,2},Table12[Native],Table12[Name]),2,0)</f>
        <v>Lǚliáng Shì</v>
      </c>
      <c r="O915" s="13" t="str">
        <f t="shared" si="28"/>
        <v>Shibaitou Xiang (Lǚliáng Shì)</v>
      </c>
      <c r="P915" s="13" t="str">
        <f t="shared" si="29"/>
        <v>Shibaitou Xiang (Lǚliáng Shì)</v>
      </c>
    </row>
    <row r="916" spans="1:16" hidden="1" x14ac:dyDescent="0.25">
      <c r="A916" t="s">
        <v>221</v>
      </c>
      <c r="B916" t="str">
        <f>IF(COUNTIF(A:A,A916)&gt;1,_xlfn.CONCAT(A916," (",N916,")"),A916)</f>
        <v>Shíbĕi Xiāng</v>
      </c>
      <c r="C916" t="str">
        <f>IF(COUNTIF(B:B,B916)&gt;1,_xlfn.CONCAT(A916," (",M916,")"),B916)</f>
        <v>Shíbĕi Xiāng</v>
      </c>
      <c r="D916" t="s">
        <v>222</v>
      </c>
      <c r="E916" t="s">
        <v>17</v>
      </c>
      <c r="F916" t="str">
        <f>_xlfn.CONCAT(D916,", ",H916,", ",I916,", ","山西省")</f>
        <v>石北乡, 武乡县, 长治市, 山西省</v>
      </c>
      <c r="G916">
        <v>4689</v>
      </c>
      <c r="H916" t="s">
        <v>2891</v>
      </c>
      <c r="I916" t="s">
        <v>2878</v>
      </c>
      <c r="J916" t="e">
        <f>VLOOKUP(F916,[1]!china_towns_second__2[[Column1]:[Y]],3,FALSE)</f>
        <v>#N/A</v>
      </c>
      <c r="K916" t="e">
        <f>VLOOKUP(F916,[1]!china_towns_second__2[[Column1]:[Y]],2,FALSE)</f>
        <v>#N/A</v>
      </c>
      <c r="L916" t="s">
        <v>4492</v>
      </c>
      <c r="M916" t="str">
        <f>VLOOKUP(H916,CHOOSE({1,2},Table12[Native],Table12[Name]),2,0)</f>
        <v>Wŭxiāng Xiàn</v>
      </c>
      <c r="N916" s="13" t="str">
        <f>VLOOKUP(I916,CHOOSE({1,2},Table12[Native],Table12[Name]),2,0)</f>
        <v>Chángzhì Shì</v>
      </c>
      <c r="O916" s="13" t="str">
        <f t="shared" si="28"/>
        <v>Shibei Xiang (Chángzhì Shì)</v>
      </c>
      <c r="P916" s="13" t="str">
        <f t="shared" si="29"/>
        <v>Shibei Xiang (Chángzhì Shì)</v>
      </c>
    </row>
    <row r="917" spans="1:16" hidden="1" x14ac:dyDescent="0.25">
      <c r="A917" t="s">
        <v>1279</v>
      </c>
      <c r="B917" t="str">
        <f>IF(COUNTIF(A:A,A917)&gt;1,_xlfn.CONCAT(A917," (",N917,")"),A917)</f>
        <v>Shíbì Xiāng</v>
      </c>
      <c r="C917" t="str">
        <f>IF(COUNTIF(B:B,B917)&gt;1,_xlfn.CONCAT(A917," (",M917,")"),B917)</f>
        <v>Shíbì Xiāng</v>
      </c>
      <c r="D917" t="s">
        <v>1280</v>
      </c>
      <c r="E917" t="s">
        <v>17</v>
      </c>
      <c r="F917" t="str">
        <f>_xlfn.CONCAT(D917,", ",H917,", ",I917,", ","山西省")</f>
        <v>石壁乡, 古县, 临汾市, 山西省</v>
      </c>
      <c r="G917">
        <v>5944</v>
      </c>
      <c r="H917" t="s">
        <v>2932</v>
      </c>
      <c r="I917" t="s">
        <v>2927</v>
      </c>
      <c r="J917" t="e">
        <f>VLOOKUP(F917,[1]!china_towns_second__2[[Column1]:[Y]],3,FALSE)</f>
        <v>#N/A</v>
      </c>
      <c r="K917" t="e">
        <f>VLOOKUP(F917,[1]!china_towns_second__2[[Column1]:[Y]],2,FALSE)</f>
        <v>#N/A</v>
      </c>
      <c r="L917" t="s">
        <v>4493</v>
      </c>
      <c r="M917" t="str">
        <f>VLOOKUP(H917,CHOOSE({1,2},Table12[Native],Table12[Name]),2,0)</f>
        <v>Gŭ Xiàn</v>
      </c>
      <c r="N917" s="13" t="str">
        <f>VLOOKUP(I917,CHOOSE({1,2},Table12[Native],Table12[Name]),2,0)</f>
        <v>Línfén Shì</v>
      </c>
      <c r="O917" s="13" t="str">
        <f t="shared" si="28"/>
        <v>Shibi Xiang (Línfén Shì)</v>
      </c>
      <c r="P917" s="13" t="str">
        <f t="shared" si="29"/>
        <v>Shibi Xiang (Línfén Shì)</v>
      </c>
    </row>
    <row r="918" spans="1:16" hidden="1" x14ac:dyDescent="0.25">
      <c r="A918" t="s">
        <v>223</v>
      </c>
      <c r="B918" t="str">
        <f>IF(COUNTIF(A:A,A918)&gt;1,_xlfn.CONCAT(A918," (",N918,")"),A918)</f>
        <v>Shíchéng Zhèn</v>
      </c>
      <c r="C918" t="str">
        <f>IF(COUNTIF(B:B,B918)&gt;1,_xlfn.CONCAT(A918," (",M918,")"),B918)</f>
        <v>Shíchéng Zhèn</v>
      </c>
      <c r="D918" t="s">
        <v>224</v>
      </c>
      <c r="E918" t="s">
        <v>7</v>
      </c>
      <c r="F918" t="str">
        <f>_xlfn.CONCAT(D918,", ",H918,", ",I918,", ","山西省")</f>
        <v>石城镇, 平顺县, 长治市, 山西省</v>
      </c>
      <c r="G918">
        <v>12663</v>
      </c>
      <c r="H918" t="s">
        <v>2886</v>
      </c>
      <c r="I918" t="s">
        <v>2878</v>
      </c>
      <c r="J918">
        <f>VLOOKUP(F918,[1]!china_towns_second__2[[Column1]:[Y]],3,FALSE)</f>
        <v>36.3729784647985</v>
      </c>
      <c r="K918">
        <f>VLOOKUP(F918,[1]!china_towns_second__2[[Column1]:[Y]],2,FALSE)</f>
        <v>113.6586466</v>
      </c>
      <c r="L918" t="s">
        <v>4494</v>
      </c>
      <c r="M918" t="str">
        <f>VLOOKUP(H918,CHOOSE({1,2},Table12[Native],Table12[Name]),2,0)</f>
        <v>Píngshùn Xiàn</v>
      </c>
      <c r="N918" s="13" t="str">
        <f>VLOOKUP(I918,CHOOSE({1,2},Table12[Native],Table12[Name]),2,0)</f>
        <v>Chángzhì Shì</v>
      </c>
      <c r="O918" s="13" t="str">
        <f t="shared" si="28"/>
        <v>Shicheng Zhen (Chángzhì Shì)</v>
      </c>
      <c r="P918" s="13" t="str">
        <f t="shared" si="29"/>
        <v>Shicheng Zhen (Chángzhì Shì)</v>
      </c>
    </row>
    <row r="919" spans="1:16" hidden="1" x14ac:dyDescent="0.25">
      <c r="A919" t="s">
        <v>1281</v>
      </c>
      <c r="B919" t="str">
        <f>IF(COUNTIF(A:A,A919)&gt;1,_xlfn.CONCAT(A919," (",N919,")"),A919)</f>
        <v>Shĭcūn Zhèn</v>
      </c>
      <c r="C919" t="str">
        <f>IF(COUNTIF(B:B,B919)&gt;1,_xlfn.CONCAT(A919," (",M919,")"),B919)</f>
        <v>Shĭcūn Zhèn</v>
      </c>
      <c r="D919" t="s">
        <v>1282</v>
      </c>
      <c r="E919" t="s">
        <v>7</v>
      </c>
      <c r="F919" t="str">
        <f>_xlfn.CONCAT(D919,", ",H919,", ",I919,", ","山西省")</f>
        <v>史村镇, 曲沃县, 临汾市, 山西省</v>
      </c>
      <c r="G919">
        <v>41197</v>
      </c>
      <c r="H919" t="s">
        <v>2938</v>
      </c>
      <c r="I919" t="s">
        <v>2927</v>
      </c>
      <c r="J919">
        <f>VLOOKUP(F919,[1]!china_towns_second__2[[Column1]:[Y]],3,FALSE)</f>
        <v>35.677401130169798</v>
      </c>
      <c r="K919">
        <f>VLOOKUP(F919,[1]!china_towns_second__2[[Column1]:[Y]],2,FALSE)</f>
        <v>111.55647860000001</v>
      </c>
      <c r="L919" t="s">
        <v>4495</v>
      </c>
      <c r="M919" t="str">
        <f>VLOOKUP(H919,CHOOSE({1,2},Table12[Native],Table12[Name]),2,0)</f>
        <v>Qŭwò Xiàn</v>
      </c>
      <c r="N919" s="13" t="str">
        <f>VLOOKUP(I919,CHOOSE({1,2},Table12[Native],Table12[Name]),2,0)</f>
        <v>Línfén Shì</v>
      </c>
      <c r="O919" s="13" t="str">
        <f t="shared" si="28"/>
        <v>Shicun Zhen (Línfén Shì)</v>
      </c>
      <c r="P919" s="13" t="str">
        <f t="shared" si="29"/>
        <v>Shicun Zhen (Línfén Shì)</v>
      </c>
    </row>
    <row r="920" spans="1:16" hidden="1" x14ac:dyDescent="0.25">
      <c r="A920" t="s">
        <v>225</v>
      </c>
      <c r="B920" t="str">
        <f>IF(COUNTIF(A:A,A920)&gt;1,_xlfn.CONCAT(A920," (",N920,")"),A920)</f>
        <v>Shĭhuí Zhèn</v>
      </c>
      <c r="C920" t="str">
        <f>IF(COUNTIF(B:B,B920)&gt;1,_xlfn.CONCAT(A920," (",M920,")"),B920)</f>
        <v>Shĭhuí Zhèn</v>
      </c>
      <c r="D920" t="s">
        <v>226</v>
      </c>
      <c r="E920" t="s">
        <v>7</v>
      </c>
      <c r="F920" t="str">
        <f>_xlfn.CONCAT(D920,", ",H920,", ",I920,", ","山西省")</f>
        <v>史回镇, 潞城区, 长治市, 山西省</v>
      </c>
      <c r="G920">
        <v>19162</v>
      </c>
      <c r="H920" t="s">
        <v>2884</v>
      </c>
      <c r="I920" t="s">
        <v>2878</v>
      </c>
      <c r="J920">
        <f>VLOOKUP(F920,[1]!china_towns_second__2[[Column1]:[Y]],3,FALSE)</f>
        <v>36.373093170402697</v>
      </c>
      <c r="K920">
        <f>VLOOKUP(F920,[1]!china_towns_second__2[[Column1]:[Y]],2,FALSE)</f>
        <v>113.14774389999999</v>
      </c>
      <c r="L920" t="s">
        <v>4496</v>
      </c>
      <c r="M920" t="str">
        <f>VLOOKUP(H920,CHOOSE({1,2},Table12[Native],Table12[Name]),2,0)</f>
        <v>Lùchéng Qū</v>
      </c>
      <c r="N920" s="13" t="str">
        <f>VLOOKUP(I920,CHOOSE({1,2},Table12[Native],Table12[Name]),2,0)</f>
        <v>Chángzhì Shì</v>
      </c>
      <c r="O920" s="13" t="str">
        <f t="shared" si="28"/>
        <v>Shihui Zhen (Chángzhì Shì)</v>
      </c>
      <c r="P920" s="13" t="str">
        <f t="shared" si="29"/>
        <v>Shihui Zhen (Chángzhì Shì)</v>
      </c>
    </row>
    <row r="921" spans="1:16" hidden="1" x14ac:dyDescent="0.25">
      <c r="A921" t="s">
        <v>497</v>
      </c>
      <c r="B921" t="str">
        <f>IF(COUNTIF(A:A,A921)&gt;1,_xlfn.CONCAT(A921," (",N921,")"),A921)</f>
        <v>Shíjiātián Xiāng</v>
      </c>
      <c r="C921" t="str">
        <f>IF(COUNTIF(B:B,B921)&gt;1,_xlfn.CONCAT(A921," (",M921,")"),B921)</f>
        <v>Shíjiātián Xiāng</v>
      </c>
      <c r="D921" t="s">
        <v>498</v>
      </c>
      <c r="E921" t="s">
        <v>17</v>
      </c>
      <c r="F921" t="str">
        <f>_xlfn.CONCAT(D921,", ",H921,", ",I921,", ","山西省")</f>
        <v>石家田乡, 灵丘县, 大同市, 山西省</v>
      </c>
      <c r="G921">
        <v>7091</v>
      </c>
      <c r="H921" t="s">
        <v>2897</v>
      </c>
      <c r="I921" t="s">
        <v>2894</v>
      </c>
      <c r="J921" t="e">
        <f>VLOOKUP(F921,[1]!china_towns_second__2[[Column1]:[Y]],3,FALSE)</f>
        <v>#N/A</v>
      </c>
      <c r="K921" t="e">
        <f>VLOOKUP(F921,[1]!china_towns_second__2[[Column1]:[Y]],2,FALSE)</f>
        <v>#N/A</v>
      </c>
      <c r="L921" t="s">
        <v>4497</v>
      </c>
      <c r="M921" t="str">
        <f>VLOOKUP(H921,CHOOSE({1,2},Table12[Native],Table12[Name]),2,0)</f>
        <v>Língqiū Xiàn</v>
      </c>
      <c r="N921" s="13" t="str">
        <f>VLOOKUP(I921,CHOOSE({1,2},Table12[Native],Table12[Name]),2,0)</f>
        <v>Dàtóng Shì</v>
      </c>
      <c r="O921" s="13" t="str">
        <f t="shared" si="28"/>
        <v>Shijiatian Xiang (Dàtóng Shì)</v>
      </c>
      <c r="P921" s="13" t="str">
        <f t="shared" si="29"/>
        <v>Shijiatian Xiang (Dàtóng Shì)</v>
      </c>
    </row>
    <row r="922" spans="1:16" hidden="1" x14ac:dyDescent="0.25">
      <c r="A922" t="s">
        <v>2344</v>
      </c>
      <c r="B922" t="str">
        <f>IF(COUNTIF(A:A,A922)&gt;1,_xlfn.CONCAT(A922," (",N922,")"),A922)</f>
        <v>Shíjiāzhuāng Zhèn</v>
      </c>
      <c r="C922" t="str">
        <f>IF(COUNTIF(B:B,B922)&gt;1,_xlfn.CONCAT(A922," (",M922,")"),B922)</f>
        <v>Shíjiāzhuāng Zhèn</v>
      </c>
      <c r="D922" t="s">
        <v>2345</v>
      </c>
      <c r="E922" t="s">
        <v>7</v>
      </c>
      <c r="F922" t="str">
        <f>_xlfn.CONCAT(D922,", ",H922,", ",I922,", ","山西省")</f>
        <v>石家庄镇, 宁武县, 忻州市, 山西省</v>
      </c>
      <c r="G922">
        <v>3731</v>
      </c>
      <c r="H922" t="s">
        <v>2989</v>
      </c>
      <c r="I922" t="s">
        <v>2981</v>
      </c>
      <c r="J922">
        <f>VLOOKUP(F922,[1]!china_towns_second__2[[Column1]:[Y]],3,FALSE)</f>
        <v>38.5681177718931</v>
      </c>
      <c r="K922">
        <f>VLOOKUP(F922,[1]!china_towns_second__2[[Column1]:[Y]],2,FALSE)</f>
        <v>112.0052282</v>
      </c>
      <c r="L922" t="s">
        <v>4498</v>
      </c>
      <c r="M922" t="str">
        <f>VLOOKUP(H922,CHOOSE({1,2},Table12[Native],Table12[Name]),2,0)</f>
        <v>Níngwŭ Xiàn</v>
      </c>
      <c r="N922" s="13" t="str">
        <f>VLOOKUP(I922,CHOOSE({1,2},Table12[Native],Table12[Name]),2,0)</f>
        <v>Xīnzhōu Shì</v>
      </c>
      <c r="O922" s="13" t="str">
        <f t="shared" si="28"/>
        <v>Shijiazhuang Zhen (Xīnzhōu Shì)</v>
      </c>
      <c r="P922" s="13" t="str">
        <f t="shared" si="29"/>
        <v>Shijiazhuang Zhen (Xīnzhōu Shì)</v>
      </c>
    </row>
    <row r="923" spans="1:16" hidden="1" x14ac:dyDescent="0.25">
      <c r="A923" t="s">
        <v>2346</v>
      </c>
      <c r="B923" t="str">
        <f>IF(COUNTIF(A:A,A923)&gt;1,_xlfn.CONCAT(A923," (",N923,")"),A923)</f>
        <v>Shíjŭ Xiāng</v>
      </c>
      <c r="C923" t="str">
        <f>IF(COUNTIF(B:B,B923)&gt;1,_xlfn.CONCAT(A923," (",M923,")"),B923)</f>
        <v>Shíjŭ Xiāng</v>
      </c>
      <c r="D923" t="s">
        <v>2347</v>
      </c>
      <c r="E923" t="s">
        <v>17</v>
      </c>
      <c r="F923" t="str">
        <f>_xlfn.CONCAT(D923,", ",H923,", ",I923,", ","山西省")</f>
        <v>石咀乡, 五台县, 忻州市, 山西省</v>
      </c>
      <c r="G923">
        <v>5240</v>
      </c>
      <c r="H923" t="s">
        <v>2992</v>
      </c>
      <c r="I923" t="s">
        <v>2981</v>
      </c>
      <c r="J923" t="e">
        <f>VLOOKUP(F923,[1]!china_towns_second__2[[Column1]:[Y]],3,FALSE)</f>
        <v>#N/A</v>
      </c>
      <c r="K923" t="e">
        <f>VLOOKUP(F923,[1]!china_towns_second__2[[Column1]:[Y]],2,FALSE)</f>
        <v>#N/A</v>
      </c>
      <c r="L923" t="s">
        <v>4499</v>
      </c>
      <c r="M923" t="str">
        <f>VLOOKUP(H923,CHOOSE({1,2},Table12[Native],Table12[Name]),2,0)</f>
        <v>Wŭtái Xiàn</v>
      </c>
      <c r="N923" s="13" t="str">
        <f>VLOOKUP(I923,CHOOSE({1,2},Table12[Native],Table12[Name]),2,0)</f>
        <v>Xīnzhōu Shì</v>
      </c>
      <c r="O923" s="13" t="str">
        <f t="shared" si="28"/>
        <v>Shiju Xiang (Xīnzhōu Shì)</v>
      </c>
      <c r="P923" s="13" t="str">
        <f t="shared" si="29"/>
        <v>Shiju Xiang (Xīnzhōu Shì)</v>
      </c>
    </row>
    <row r="924" spans="1:16" hidden="1" x14ac:dyDescent="0.25">
      <c r="A924" t="s">
        <v>1616</v>
      </c>
      <c r="B924" t="str">
        <f>IF(COUNTIF(A:A,A924)&gt;1,_xlfn.CONCAT(A924," (",N924,")"),A924)</f>
        <v>Shíkŏu Xiāng</v>
      </c>
      <c r="C924" t="str">
        <f>IF(COUNTIF(B:B,B924)&gt;1,_xlfn.CONCAT(A924," (",M924,")"),B924)</f>
        <v>Shíkŏu Xiāng</v>
      </c>
      <c r="D924" t="s">
        <v>1617</v>
      </c>
      <c r="E924" t="s">
        <v>17</v>
      </c>
      <c r="F924" t="str">
        <f>_xlfn.CONCAT(D924,", ",H924,", ",I924,", ","山西省")</f>
        <v>石口乡, 交口县, 吕梁市, 山西省</v>
      </c>
      <c r="G924">
        <v>12874</v>
      </c>
      <c r="H924" t="s">
        <v>2950</v>
      </c>
      <c r="I924" t="s">
        <v>2946</v>
      </c>
      <c r="J924" t="e">
        <f>VLOOKUP(F924,[1]!china_towns_second__2[[Column1]:[Y]],3,FALSE)</f>
        <v>#N/A</v>
      </c>
      <c r="K924" t="e">
        <f>VLOOKUP(F924,[1]!china_towns_second__2[[Column1]:[Y]],2,FALSE)</f>
        <v>#N/A</v>
      </c>
      <c r="L924" t="s">
        <v>4500</v>
      </c>
      <c r="M924" t="str">
        <f>VLOOKUP(H924,CHOOSE({1,2},Table12[Native],Table12[Name]),2,0)</f>
        <v>Jiāokŏu Xiàn</v>
      </c>
      <c r="N924" s="13" t="str">
        <f>VLOOKUP(I924,CHOOSE({1,2},Table12[Native],Table12[Name]),2,0)</f>
        <v>Lǚliáng Shì</v>
      </c>
      <c r="O924" s="13" t="str">
        <f t="shared" si="28"/>
        <v>Shikou Xiang (Lǚliáng Shì)</v>
      </c>
      <c r="P924" s="13" t="str">
        <f t="shared" si="29"/>
        <v>Shikou Xiang (Lǚliáng Shì)</v>
      </c>
    </row>
    <row r="925" spans="1:16" hidden="1" x14ac:dyDescent="0.25">
      <c r="A925" t="s">
        <v>739</v>
      </c>
      <c r="B925" t="str">
        <f>IF(COUNTIF(A:A,A925)&gt;1,_xlfn.CONCAT(A925," (",N925,")"),A925)</f>
        <v>Shílĭ Xiāng</v>
      </c>
      <c r="C925" t="str">
        <f>IF(COUNTIF(B:B,B925)&gt;1,_xlfn.CONCAT(A925," (",M925,")"),B925)</f>
        <v>Shílĭ Xiāng</v>
      </c>
      <c r="D925" t="s">
        <v>740</v>
      </c>
      <c r="E925" t="s">
        <v>17</v>
      </c>
      <c r="F925" t="str">
        <f>_xlfn.CONCAT(D925,", ",H925,", ",I925,", ","山西省")</f>
        <v>十里乡, 沁水县, 晋城市, 山西省</v>
      </c>
      <c r="G925">
        <v>7307</v>
      </c>
      <c r="H925" t="s">
        <v>2910</v>
      </c>
      <c r="I925" t="s">
        <v>2906</v>
      </c>
      <c r="J925" t="e">
        <f>VLOOKUP(F925,[1]!china_towns_second__2[[Column1]:[Y]],3,FALSE)</f>
        <v>#N/A</v>
      </c>
      <c r="K925" t="e">
        <f>VLOOKUP(F925,[1]!china_towns_second__2[[Column1]:[Y]],2,FALSE)</f>
        <v>#N/A</v>
      </c>
      <c r="L925" t="s">
        <v>4501</v>
      </c>
      <c r="M925" t="str">
        <f>VLOOKUP(H925,CHOOSE({1,2},Table12[Native],Table12[Name]),2,0)</f>
        <v>Qìnshuǐ Xiàn</v>
      </c>
      <c r="N925" s="13" t="str">
        <f>VLOOKUP(I925,CHOOSE({1,2},Table12[Native],Table12[Name]),2,0)</f>
        <v>Jìnchéng Shì</v>
      </c>
      <c r="O925" s="13" t="str">
        <f t="shared" si="28"/>
        <v>Shili Xiang (Jìnchéng Shì)</v>
      </c>
      <c r="P925" s="13" t="str">
        <f t="shared" si="29"/>
        <v>Shili Xiang (Jìnchéng Shì)</v>
      </c>
    </row>
    <row r="926" spans="1:16" hidden="1" x14ac:dyDescent="0.25">
      <c r="A926" t="s">
        <v>2788</v>
      </c>
      <c r="B926" t="str">
        <f>IF(COUNTIF(A:A,A926)&gt;1,_xlfn.CONCAT(A926," (",N926,")"),A926)</f>
        <v>Shímén Xiāng</v>
      </c>
      <c r="C926" t="str">
        <f>IF(COUNTIF(B:B,B926)&gt;1,_xlfn.CONCAT(A926," (",M926,")"),B926)</f>
        <v>Shímén Xiāng</v>
      </c>
      <c r="D926" t="s">
        <v>2789</v>
      </c>
      <c r="E926" t="s">
        <v>17</v>
      </c>
      <c r="F926" t="str">
        <f>_xlfn.CONCAT(D926,", ",H926,", ",I926,", ","山西省")</f>
        <v>石门乡, 闻喜县, 运城市, 山西省</v>
      </c>
      <c r="G926">
        <v>6940</v>
      </c>
      <c r="H926" t="s">
        <v>3011</v>
      </c>
      <c r="I926" t="s">
        <v>3003</v>
      </c>
      <c r="J926" t="e">
        <f>VLOOKUP(F926,[1]!china_towns_second__2[[Column1]:[Y]],3,FALSE)</f>
        <v>#N/A</v>
      </c>
      <c r="K926" t="e">
        <f>VLOOKUP(F926,[1]!china_towns_second__2[[Column1]:[Y]],2,FALSE)</f>
        <v>#N/A</v>
      </c>
      <c r="L926" t="s">
        <v>4502</v>
      </c>
      <c r="M926" t="str">
        <f>VLOOKUP(H926,CHOOSE({1,2},Table12[Native],Table12[Name]),2,0)</f>
        <v>Wénxĭ Xiàn</v>
      </c>
      <c r="N926" s="13" t="str">
        <f>VLOOKUP(I926,CHOOSE({1,2},Table12[Native],Table12[Name]),2,0)</f>
        <v>Yùnchéng Shì</v>
      </c>
      <c r="O926" s="13" t="str">
        <f t="shared" si="28"/>
        <v>Shimen Xiang (Yùnchéng Shì)</v>
      </c>
      <c r="P926" s="13" t="str">
        <f t="shared" si="29"/>
        <v>Shimen Xiang (Yùnchéng Shì)</v>
      </c>
    </row>
    <row r="927" spans="1:16" hidden="1" x14ac:dyDescent="0.25">
      <c r="A927" t="s">
        <v>2548</v>
      </c>
      <c r="B927" t="str">
        <f>IF(COUNTIF(A:A,A927)&gt;1,_xlfn.CONCAT(A927," (",N927,")"),A927)</f>
        <v>Shíménkŏu Xiāng</v>
      </c>
      <c r="C927" t="str">
        <f>IF(COUNTIF(B:B,B927)&gt;1,_xlfn.CONCAT(A927," (",M927,")"),B927)</f>
        <v>Shíménkŏu Xiāng</v>
      </c>
      <c r="D927" t="s">
        <v>2549</v>
      </c>
      <c r="E927" t="s">
        <v>17</v>
      </c>
      <c r="F927" t="str">
        <f>_xlfn.CONCAT(D927,", ",H927,", ",I927,", ","山西省")</f>
        <v>石门口乡, 平定县, 阳泉市, 山西省</v>
      </c>
      <c r="G927">
        <v>17474</v>
      </c>
      <c r="H927" t="s">
        <v>3000</v>
      </c>
      <c r="I927" t="s">
        <v>2997</v>
      </c>
      <c r="J927" t="e">
        <f>VLOOKUP(F927,[1]!china_towns_second__2[[Column1]:[Y]],3,FALSE)</f>
        <v>#N/A</v>
      </c>
      <c r="K927" t="e">
        <f>VLOOKUP(F927,[1]!china_towns_second__2[[Column1]:[Y]],2,FALSE)</f>
        <v>#N/A</v>
      </c>
      <c r="L927" t="s">
        <v>4503</v>
      </c>
      <c r="M927" t="str">
        <f>VLOOKUP(H927,CHOOSE({1,2},Table12[Native],Table12[Name]),2,0)</f>
        <v>Píngdìng Xiàn</v>
      </c>
      <c r="N927" s="13" t="str">
        <f>VLOOKUP(I927,CHOOSE({1,2},Table12[Native],Table12[Name]),2,0)</f>
        <v>Yángquán Shì</v>
      </c>
      <c r="O927" s="13" t="str">
        <f t="shared" si="28"/>
        <v>Shimenkou Xiang (Yángquán Shì)</v>
      </c>
      <c r="P927" s="13" t="str">
        <f t="shared" si="29"/>
        <v>Shimenkou Xiang (Yángquán Shì)</v>
      </c>
    </row>
    <row r="928" spans="1:16" hidden="1" x14ac:dyDescent="0.25">
      <c r="A928" t="s">
        <v>741</v>
      </c>
      <c r="B928" t="str">
        <f>IF(COUNTIF(A:A,A928)&gt;1,_xlfn.CONCAT(A928," (",N928,")"),A928)</f>
        <v>Shímò Xiāng</v>
      </c>
      <c r="C928" t="str">
        <f>IF(COUNTIF(B:B,B928)&gt;1,_xlfn.CONCAT(A928," (",M928,")"),B928)</f>
        <v>Shímò Xiāng</v>
      </c>
      <c r="D928" t="s">
        <v>742</v>
      </c>
      <c r="E928" t="s">
        <v>17</v>
      </c>
      <c r="F928" t="str">
        <f>_xlfn.CONCAT(D928,", ",H928,", ",I928,", ","山西省")</f>
        <v>石末乡, 高平市, 晋城市, 山西省</v>
      </c>
      <c r="G928">
        <v>15293</v>
      </c>
      <c r="H928" t="s">
        <v>2908</v>
      </c>
      <c r="I928" t="s">
        <v>2906</v>
      </c>
      <c r="J928" t="e">
        <f>VLOOKUP(F928,[1]!china_towns_second__2[[Column1]:[Y]],3,FALSE)</f>
        <v>#N/A</v>
      </c>
      <c r="K928" t="e">
        <f>VLOOKUP(F928,[1]!china_towns_second__2[[Column1]:[Y]],2,FALSE)</f>
        <v>#N/A</v>
      </c>
      <c r="L928" t="s">
        <v>4504</v>
      </c>
      <c r="M928" t="str">
        <f>VLOOKUP(H928,CHOOSE({1,2},Table12[Native],Table12[Name]),2,0)</f>
        <v>Gāopíng Shì</v>
      </c>
      <c r="N928" s="13" t="str">
        <f>VLOOKUP(I928,CHOOSE({1,2},Table12[Native],Table12[Name]),2,0)</f>
        <v>Jìnchéng Shì</v>
      </c>
      <c r="O928" s="13" t="str">
        <f t="shared" si="28"/>
        <v>Shimo Xiang (Jìnchéng Shì)</v>
      </c>
      <c r="P928" s="13" t="str">
        <f t="shared" si="29"/>
        <v>Shimo Xiang (Jìnchéng Shì)</v>
      </c>
    </row>
    <row r="929" spans="1:16" hidden="1" x14ac:dyDescent="0.25">
      <c r="A929" t="s">
        <v>227</v>
      </c>
      <c r="B929" t="str">
        <f>IF(COUNTIF(A:A,A929)&gt;1,_xlfn.CONCAT(A929," (",N929,")"),A929)</f>
        <v>Shípō Xiāng</v>
      </c>
      <c r="C929" t="str">
        <f>IF(COUNTIF(B:B,B929)&gt;1,_xlfn.CONCAT(A929," (",M929,")"),B929)</f>
        <v>Shípō Xiāng</v>
      </c>
      <c r="D929" t="s">
        <v>228</v>
      </c>
      <c r="E929" t="s">
        <v>17</v>
      </c>
      <c r="F929" t="str">
        <f>_xlfn.CONCAT(D929,", ",H929,", ",I929,", ","山西省")</f>
        <v>石坡乡, 壶关县, 长治市, 山西省</v>
      </c>
      <c r="G929">
        <v>12701</v>
      </c>
      <c r="H929" t="s">
        <v>2881</v>
      </c>
      <c r="I929" t="s">
        <v>2878</v>
      </c>
      <c r="J929" t="e">
        <f>VLOOKUP(F929,[1]!china_towns_second__2[[Column1]:[Y]],3,FALSE)</f>
        <v>#N/A</v>
      </c>
      <c r="K929" t="e">
        <f>VLOOKUP(F929,[1]!china_towns_second__2[[Column1]:[Y]],2,FALSE)</f>
        <v>#N/A</v>
      </c>
      <c r="L929" t="s">
        <v>4505</v>
      </c>
      <c r="M929" t="str">
        <f>VLOOKUP(H929,CHOOSE({1,2},Table12[Native],Table12[Name]),2,0)</f>
        <v>Húguān Xiàn</v>
      </c>
      <c r="N929" s="13" t="str">
        <f>VLOOKUP(I929,CHOOSE({1,2},Table12[Native],Table12[Name]),2,0)</f>
        <v>Chángzhì Shì</v>
      </c>
      <c r="O929" s="13" t="str">
        <f t="shared" si="28"/>
        <v>Shipo Xiang (Chángzhì Shì)</v>
      </c>
      <c r="P929" s="13" t="str">
        <f t="shared" si="29"/>
        <v>Shipo Xiang (Chángzhì Shì)</v>
      </c>
    </row>
    <row r="930" spans="1:16" hidden="1" x14ac:dyDescent="0.25">
      <c r="A930" t="s">
        <v>966</v>
      </c>
      <c r="B930" t="str">
        <f>IF(COUNTIF(A:A,A930)&gt;1,_xlfn.CONCAT(A930," (",N930,")"),A930)</f>
        <v>Shítiē Zhèn</v>
      </c>
      <c r="C930" t="str">
        <f>IF(COUNTIF(B:B,B930)&gt;1,_xlfn.CONCAT(A930," (",M930,")"),B930)</f>
        <v>Shítiē Zhèn</v>
      </c>
      <c r="D930" t="s">
        <v>967</v>
      </c>
      <c r="E930" t="s">
        <v>7</v>
      </c>
      <c r="F930" t="str">
        <f>_xlfn.CONCAT(D930,", ",H930,", ",I930,", ","山西省")</f>
        <v>什贴镇, 榆次区, 晋中市, 山西省</v>
      </c>
      <c r="G930">
        <v>12294</v>
      </c>
      <c r="H930" t="s">
        <v>2923</v>
      </c>
      <c r="I930" t="s">
        <v>2914</v>
      </c>
      <c r="J930">
        <f>VLOOKUP(F930,[1]!china_towns_second__2[[Column1]:[Y]],3,FALSE)</f>
        <v>37.796750824331703</v>
      </c>
      <c r="K930">
        <f>VLOOKUP(F930,[1]!china_towns_second__2[[Column1]:[Y]],2,FALSE)</f>
        <v>112.8559152</v>
      </c>
      <c r="L930" t="s">
        <v>4506</v>
      </c>
      <c r="M930" t="str">
        <f>VLOOKUP(H930,CHOOSE({1,2},Table12[Native],Table12[Name]),2,0)</f>
        <v>Yúcì Qū</v>
      </c>
      <c r="N930" s="13" t="str">
        <f>VLOOKUP(I930,CHOOSE({1,2},Table12[Native],Table12[Name]),2,0)</f>
        <v>Jìnzhōng Shì</v>
      </c>
      <c r="O930" s="13" t="str">
        <f t="shared" si="28"/>
        <v>Shitie Zhen (Jìnzhōng Shì)</v>
      </c>
      <c r="P930" s="13" t="str">
        <f t="shared" si="29"/>
        <v>Shitie Zhen (Jìnzhōng Shì)</v>
      </c>
    </row>
    <row r="931" spans="1:16" hidden="1" x14ac:dyDescent="0.25">
      <c r="A931" t="s">
        <v>1618</v>
      </c>
      <c r="B931" t="str">
        <f>IF(COUNTIF(A:A,A931)&gt;1,_xlfn.CONCAT(A931," (",N931,")"),A931)</f>
        <v>Shíxī Xiāng</v>
      </c>
      <c r="C931" t="str">
        <f>IF(COUNTIF(B:B,B931)&gt;1,_xlfn.CONCAT(A931," (",M931,")"),B931)</f>
        <v>Shíxī Xiāng</v>
      </c>
      <c r="D931" t="s">
        <v>1619</v>
      </c>
      <c r="E931" t="s">
        <v>17</v>
      </c>
      <c r="F931" t="str">
        <f>_xlfn.CONCAT(D931,", ",H931,", ",I931,", ","山西省")</f>
        <v>石西乡, 柳林县, 吕梁市, 山西省</v>
      </c>
      <c r="G931">
        <v>8728</v>
      </c>
      <c r="H931" t="s">
        <v>2954</v>
      </c>
      <c r="I931" t="s">
        <v>2946</v>
      </c>
      <c r="J931" t="e">
        <f>VLOOKUP(F931,[1]!china_towns_second__2[[Column1]:[Y]],3,FALSE)</f>
        <v>#N/A</v>
      </c>
      <c r="K931" t="e">
        <f>VLOOKUP(F931,[1]!china_towns_second__2[[Column1]:[Y]],2,FALSE)</f>
        <v>#N/A</v>
      </c>
      <c r="L931" t="s">
        <v>4507</v>
      </c>
      <c r="M931" t="str">
        <f>VLOOKUP(H931,CHOOSE({1,2},Table12[Native],Table12[Name]),2,0)</f>
        <v>Liŭlín Xiàn</v>
      </c>
      <c r="N931" s="13" t="str">
        <f>VLOOKUP(I931,CHOOSE({1,2},Table12[Native],Table12[Name]),2,0)</f>
        <v>Lǚliáng Shì</v>
      </c>
      <c r="O931" s="13" t="str">
        <f t="shared" si="28"/>
        <v>Shixi Xiang (Lǚliáng Shì)</v>
      </c>
      <c r="P931" s="13" t="str">
        <f t="shared" si="29"/>
        <v>Shixi Xiang (Lǚliáng Shì)</v>
      </c>
    </row>
    <row r="932" spans="1:16" hidden="1" x14ac:dyDescent="0.25">
      <c r="A932" t="s">
        <v>968</v>
      </c>
      <c r="B932" t="str">
        <f>IF(COUNTIF(A:A,A932)&gt;1,_xlfn.CONCAT(A932," (",N932,")"),A932)</f>
        <v>Shíxiá Xiāng</v>
      </c>
      <c r="C932" t="str">
        <f>IF(COUNTIF(B:B,B932)&gt;1,_xlfn.CONCAT(A932," (",M932,")"),B932)</f>
        <v>Shíxiá Xiāng</v>
      </c>
      <c r="D932" t="s">
        <v>969</v>
      </c>
      <c r="E932" t="s">
        <v>17</v>
      </c>
      <c r="F932" t="str">
        <f>_xlfn.CONCAT(D932,", ",H932,", ",I932,", ","山西省")</f>
        <v>石匣乡, 左权县, 晋中市, 山西省</v>
      </c>
      <c r="G932">
        <v>10881</v>
      </c>
      <c r="H932" t="s">
        <v>2925</v>
      </c>
      <c r="I932" t="s">
        <v>2914</v>
      </c>
      <c r="J932" t="e">
        <f>VLOOKUP(F932,[1]!china_towns_second__2[[Column1]:[Y]],3,FALSE)</f>
        <v>#N/A</v>
      </c>
      <c r="K932" t="e">
        <f>VLOOKUP(F932,[1]!china_towns_second__2[[Column1]:[Y]],2,FALSE)</f>
        <v>#N/A</v>
      </c>
      <c r="L932" t="s">
        <v>4508</v>
      </c>
      <c r="M932" t="str">
        <f>VLOOKUP(H932,CHOOSE({1,2},Table12[Native],Table12[Name]),2,0)</f>
        <v>Zuǒquán Xiàn</v>
      </c>
      <c r="N932" s="13" t="str">
        <f>VLOOKUP(I932,CHOOSE({1,2},Table12[Native],Table12[Name]),2,0)</f>
        <v>Jìnzhōng Shì</v>
      </c>
      <c r="O932" s="13" t="str">
        <f t="shared" si="28"/>
        <v>Shixia Xiang (Jìnzhōng Shì)</v>
      </c>
      <c r="P932" s="13" t="str">
        <f t="shared" si="29"/>
        <v>Shixia Xiang (Jìnzhōng Shì)</v>
      </c>
    </row>
    <row r="933" spans="1:16" hidden="1" x14ac:dyDescent="0.25">
      <c r="A933" t="s">
        <v>229</v>
      </c>
      <c r="B933" t="str">
        <f>IF(COUNTIF(A:A,A933)&gt;1,_xlfn.CONCAT(A933," (",N933,")"),A933)</f>
        <v>Shízhé Zhèn</v>
      </c>
      <c r="C933" t="str">
        <f>IF(COUNTIF(B:B,B933)&gt;1,_xlfn.CONCAT(A933," (",M933,")"),B933)</f>
        <v>Shízhé Zhèn</v>
      </c>
      <c r="D933" t="s">
        <v>230</v>
      </c>
      <c r="E933" t="s">
        <v>7</v>
      </c>
      <c r="F933" t="str">
        <f>_xlfn.CONCAT(D933,", ",H933,", ",I933,", ","山西省")</f>
        <v>石哲镇, 长子县, 长治市, 山西省</v>
      </c>
      <c r="G933">
        <v>27643</v>
      </c>
      <c r="H933" t="s">
        <v>2880</v>
      </c>
      <c r="I933" t="s">
        <v>2878</v>
      </c>
      <c r="J933">
        <f>VLOOKUP(F933,[1]!china_towns_second__2[[Column1]:[Y]],3,FALSE)</f>
        <v>36.110605666812901</v>
      </c>
      <c r="K933">
        <f>VLOOKUP(F933,[1]!china_towns_second__2[[Column1]:[Y]],2,FALSE)</f>
        <v>112.6447837</v>
      </c>
      <c r="L933" t="s">
        <v>4509</v>
      </c>
      <c r="M933" t="str">
        <f>VLOOKUP(H933,CHOOSE({1,2},Table12[Native],Table12[Name]),2,0)</f>
        <v>Chángzi Xiàn</v>
      </c>
      <c r="N933" s="13" t="str">
        <f>VLOOKUP(I933,CHOOSE({1,2},Table12[Native],Table12[Name]),2,0)</f>
        <v>Chángzhì Shì</v>
      </c>
      <c r="O933" s="13" t="str">
        <f t="shared" si="28"/>
        <v>Shizhe Zhen (Chángzhì Shì)</v>
      </c>
      <c r="P933" s="13" t="str">
        <f t="shared" si="29"/>
        <v>Shizhe Zhen (Chángzhì Shì)</v>
      </c>
    </row>
    <row r="934" spans="1:16" hidden="1" x14ac:dyDescent="0.25">
      <c r="A934" t="s">
        <v>499</v>
      </c>
      <c r="B934" t="str">
        <f>IF(COUNTIF(A:A,A934)&gt;1,_xlfn.CONCAT(A934," (",N934,")"),A934)</f>
        <v>Shĭzhuāng Xiāng</v>
      </c>
      <c r="C934" t="str">
        <f>IF(COUNTIF(B:B,B934)&gt;1,_xlfn.CONCAT(A934," (",M934,")"),B934)</f>
        <v>Shĭzhuāng Xiāng</v>
      </c>
      <c r="D934" t="s">
        <v>500</v>
      </c>
      <c r="E934" t="s">
        <v>17</v>
      </c>
      <c r="F934" t="str">
        <f>_xlfn.CONCAT(D934,", ",H934,", ",I934,", ","山西省")</f>
        <v>史庄乡, 灵丘县, 大同市, 山西省</v>
      </c>
      <c r="G934">
        <v>4915</v>
      </c>
      <c r="H934" t="s">
        <v>2897</v>
      </c>
      <c r="I934" t="s">
        <v>2894</v>
      </c>
      <c r="J934" t="e">
        <f>VLOOKUP(F934,[1]!china_towns_second__2[[Column1]:[Y]],3,FALSE)</f>
        <v>#N/A</v>
      </c>
      <c r="K934" t="e">
        <f>VLOOKUP(F934,[1]!china_towns_second__2[[Column1]:[Y]],2,FALSE)</f>
        <v>#N/A</v>
      </c>
      <c r="L934" t="s">
        <v>4510</v>
      </c>
      <c r="M934" t="str">
        <f>VLOOKUP(H934,CHOOSE({1,2},Table12[Native],Table12[Name]),2,0)</f>
        <v>Língqiū Xiàn</v>
      </c>
      <c r="N934" s="13" t="str">
        <f>VLOOKUP(I934,CHOOSE({1,2},Table12[Native],Table12[Name]),2,0)</f>
        <v>Dàtóng Shì</v>
      </c>
      <c r="O934" s="13" t="str">
        <f t="shared" si="28"/>
        <v>Shizhuang Xiang (Dàtóng Shì)</v>
      </c>
      <c r="P934" s="13" t="str">
        <f t="shared" si="29"/>
        <v>Shizhuang Xiang (Dàtóng Shì)</v>
      </c>
    </row>
    <row r="935" spans="1:16" hidden="1" x14ac:dyDescent="0.25">
      <c r="A935" t="s">
        <v>1283</v>
      </c>
      <c r="B935" t="str">
        <f>IF(COUNTIF(A:A,A935)&gt;1,_xlfn.CONCAT(A935," (",N935,")"),A935)</f>
        <v>Shīzhuāng Xiāng</v>
      </c>
      <c r="C935" t="str">
        <f>IF(COUNTIF(B:B,B935)&gt;1,_xlfn.CONCAT(A935," (",M935,")"),B935)</f>
        <v>Shīzhuāng Xiāng</v>
      </c>
      <c r="D935" t="s">
        <v>1284</v>
      </c>
      <c r="E935" t="s">
        <v>17</v>
      </c>
      <c r="F935" t="str">
        <f>_xlfn.CONCAT(D935,", ",H935,", ",I935,", ","山西省")</f>
        <v>师庄乡, 霍州市, 临汾市, 山西省</v>
      </c>
      <c r="G935">
        <v>11734</v>
      </c>
      <c r="H935" t="s">
        <v>2935</v>
      </c>
      <c r="I935" t="s">
        <v>2927</v>
      </c>
      <c r="J935" t="e">
        <f>VLOOKUP(F935,[1]!china_towns_second__2[[Column1]:[Y]],3,FALSE)</f>
        <v>#N/A</v>
      </c>
      <c r="K935" t="e">
        <f>VLOOKUP(F935,[1]!china_towns_second__2[[Column1]:[Y]],2,FALSE)</f>
        <v>#N/A</v>
      </c>
      <c r="L935" t="s">
        <v>4510</v>
      </c>
      <c r="M935" t="str">
        <f>VLOOKUP(H935,CHOOSE({1,2},Table12[Native],Table12[Name]),2,0)</f>
        <v>Huòzhōu Shì</v>
      </c>
      <c r="N935" s="13" t="str">
        <f>VLOOKUP(I935,CHOOSE({1,2},Table12[Native],Table12[Name]),2,0)</f>
        <v>Línfén Shì</v>
      </c>
      <c r="O935" s="13" t="str">
        <f t="shared" si="28"/>
        <v>Shizhuang Xiang (Línfén Shì)</v>
      </c>
      <c r="P935" s="13" t="str">
        <f t="shared" si="29"/>
        <v>Shizhuang Xiang (Línfén Shì)</v>
      </c>
    </row>
    <row r="936" spans="1:16" x14ac:dyDescent="0.25">
      <c r="A936" t="s">
        <v>1620</v>
      </c>
      <c r="B936" t="str">
        <f>IF(COUNTIF(A:A,A936)&gt;1,_xlfn.CONCAT(A936," (",N936,")"),A936)</f>
        <v>Shízhuāng Zhèn</v>
      </c>
      <c r="C936" t="str">
        <f>IF(COUNTIF(B:B,B936)&gt;1,_xlfn.CONCAT(A936," (",M936,")"),B936)</f>
        <v>Shízhuāng Zhèn</v>
      </c>
      <c r="D936" t="s">
        <v>1621</v>
      </c>
      <c r="E936" t="s">
        <v>7</v>
      </c>
      <c r="F936" t="str">
        <f>_xlfn.CONCAT(D936,", ",H936,", ",I936,", ","山西省")</f>
        <v>石庄镇, 汾阳市, 吕梁市, 山西省</v>
      </c>
      <c r="G936">
        <v>8785</v>
      </c>
      <c r="H936" t="s">
        <v>2948</v>
      </c>
      <c r="I936" t="s">
        <v>2946</v>
      </c>
      <c r="J936">
        <f>VLOOKUP(F936,[1]!china_towns_second__2[[Column1]:[Y]],3,FALSE)</f>
        <v>37.266714352947702</v>
      </c>
      <c r="K936">
        <f>VLOOKUP(F936,[1]!china_towns_second__2[[Column1]:[Y]],2,FALSE)</f>
        <v>111.5191458</v>
      </c>
      <c r="L936" t="s">
        <v>4511</v>
      </c>
      <c r="M936" t="str">
        <f>VLOOKUP(H936,CHOOSE({1,2},Table12[Native],Table12[Name]),2,0)</f>
        <v>Fényáng Shì</v>
      </c>
      <c r="N936" s="13" t="str">
        <f>VLOOKUP(I936,CHOOSE({1,2},Table12[Native],Table12[Name]),2,0)</f>
        <v>Lǚliáng Shì</v>
      </c>
      <c r="O936" s="13" t="str">
        <f t="shared" si="28"/>
        <v>Shizhuang Zhen (Lǚliáng Shì)</v>
      </c>
      <c r="P936" s="13" t="str">
        <f t="shared" si="29"/>
        <v>Shizhuang Zhen (Lǚliáng Shì)</v>
      </c>
    </row>
    <row r="937" spans="1:16" x14ac:dyDescent="0.25">
      <c r="A937" t="s">
        <v>743</v>
      </c>
      <c r="B937" t="str">
        <f>IF(COUNTIF(A:A,A937)&gt;1,_xlfn.CONCAT(A937," (",N937,")"),A937)</f>
        <v>Shìzhuāng Zhèn</v>
      </c>
      <c r="C937" t="str">
        <f>IF(COUNTIF(B:B,B937)&gt;1,_xlfn.CONCAT(A937," (",M937,")"),B937)</f>
        <v>Shìzhuāng Zhèn</v>
      </c>
      <c r="D937" t="s">
        <v>744</v>
      </c>
      <c r="E937" t="s">
        <v>7</v>
      </c>
      <c r="F937" t="str">
        <f>_xlfn.CONCAT(D937,", ",H937,", ",I937,", ","山西省")</f>
        <v>柿庄镇, 沁水县, 晋城市, 山西省</v>
      </c>
      <c r="G937">
        <v>9568</v>
      </c>
      <c r="H937" t="s">
        <v>2910</v>
      </c>
      <c r="I937" t="s">
        <v>2906</v>
      </c>
      <c r="J937">
        <f>VLOOKUP(F937,[1]!china_towns_second__2[[Column1]:[Y]],3,FALSE)</f>
        <v>35.890478361743298</v>
      </c>
      <c r="K937">
        <f>VLOOKUP(F937,[1]!china_towns_second__2[[Column1]:[Y]],2,FALSE)</f>
        <v>112.6941265</v>
      </c>
      <c r="L937" t="s">
        <v>4511</v>
      </c>
      <c r="M937" t="str">
        <f>VLOOKUP(H937,CHOOSE({1,2},Table12[Native],Table12[Name]),2,0)</f>
        <v>Qìnshuǐ Xiàn</v>
      </c>
      <c r="N937" s="13" t="str">
        <f>VLOOKUP(I937,CHOOSE({1,2},Table12[Native],Table12[Name]),2,0)</f>
        <v>Jìnchéng Shì</v>
      </c>
      <c r="O937" s="13" t="str">
        <f t="shared" si="28"/>
        <v>Shizhuang Zhen (Jìnchéng Shì)</v>
      </c>
      <c r="P937" s="13" t="str">
        <f t="shared" si="29"/>
        <v>Shizhuang Zhen (Jìnchéng Shì)</v>
      </c>
    </row>
    <row r="938" spans="1:16" hidden="1" x14ac:dyDescent="0.25">
      <c r="A938" t="s">
        <v>501</v>
      </c>
      <c r="B938" t="str">
        <f>IF(COUNTIF(A:A,A938)&gt;1,_xlfn.CONCAT(A938," (",N938,")"),A938)</f>
        <v>Shīzitún Xiāng</v>
      </c>
      <c r="C938" t="str">
        <f>IF(COUNTIF(B:B,B938)&gt;1,_xlfn.CONCAT(A938," (",M938,")"),B938)</f>
        <v>Shīzitún Xiāng</v>
      </c>
      <c r="D938" t="s">
        <v>502</v>
      </c>
      <c r="E938" t="s">
        <v>17</v>
      </c>
      <c r="F938" t="str">
        <f>_xlfn.CONCAT(D938,", ",H938,", ",I938,", ","山西省")</f>
        <v>狮子屯乡, 阳高县, 大同市, 山西省</v>
      </c>
      <c r="G938">
        <v>14200</v>
      </c>
      <c r="H938" t="s">
        <v>2901</v>
      </c>
      <c r="I938" t="s">
        <v>2894</v>
      </c>
      <c r="J938" t="e">
        <f>VLOOKUP(F938,[1]!china_towns_second__2[[Column1]:[Y]],3,FALSE)</f>
        <v>#N/A</v>
      </c>
      <c r="K938" t="e">
        <f>VLOOKUP(F938,[1]!china_towns_second__2[[Column1]:[Y]],2,FALSE)</f>
        <v>#N/A</v>
      </c>
      <c r="L938" t="s">
        <v>4512</v>
      </c>
      <c r="M938" t="str">
        <f>VLOOKUP(H938,CHOOSE({1,2},Table12[Native],Table12[Name]),2,0)</f>
        <v>Yánggāo Xiàn</v>
      </c>
      <c r="N938" s="13" t="str">
        <f>VLOOKUP(I938,CHOOSE({1,2},Table12[Native],Table12[Name]),2,0)</f>
        <v>Dàtóng Shì</v>
      </c>
      <c r="O938" s="13" t="str">
        <f t="shared" si="28"/>
        <v>Shizitun Xiang (Dàtóng Shì)</v>
      </c>
      <c r="P938" s="13" t="str">
        <f t="shared" si="29"/>
        <v>Shizitun Xiang (Dàtóng Shì)</v>
      </c>
    </row>
    <row r="939" spans="1:16" hidden="1" x14ac:dyDescent="0.25">
      <c r="A939" t="s">
        <v>2348</v>
      </c>
      <c r="B939" t="str">
        <f>IF(COUNTIF(A:A,A939)&gt;1,_xlfn.CONCAT(A939," (",N939,")"),A939)</f>
        <v>Shòulù Xiāng</v>
      </c>
      <c r="C939" t="str">
        <f>IF(COUNTIF(B:B,B939)&gt;1,_xlfn.CONCAT(A939," (",M939,")"),B939)</f>
        <v>Shòulù Xiāng</v>
      </c>
      <c r="D939" t="s">
        <v>2349</v>
      </c>
      <c r="E939" t="s">
        <v>17</v>
      </c>
      <c r="F939" t="str">
        <f>_xlfn.CONCAT(D939,", ",H939,", ",I939,", ","山西省")</f>
        <v>受禄乡, 定襄县, 忻州市, 山西省</v>
      </c>
      <c r="G939">
        <v>17869</v>
      </c>
      <c r="H939" t="s">
        <v>2984</v>
      </c>
      <c r="I939" t="s">
        <v>2981</v>
      </c>
      <c r="J939" t="e">
        <f>VLOOKUP(F939,[1]!china_towns_second__2[[Column1]:[Y]],3,FALSE)</f>
        <v>#N/A</v>
      </c>
      <c r="K939" t="e">
        <f>VLOOKUP(F939,[1]!china_towns_second__2[[Column1]:[Y]],2,FALSE)</f>
        <v>#N/A</v>
      </c>
      <c r="L939" t="s">
        <v>4513</v>
      </c>
      <c r="M939" t="str">
        <f>VLOOKUP(H939,CHOOSE({1,2},Table12[Native],Table12[Name]),2,0)</f>
        <v>Dìngxiāng Xiàn</v>
      </c>
      <c r="N939" s="13" t="str">
        <f>VLOOKUP(I939,CHOOSE({1,2},Table12[Native],Table12[Name]),2,0)</f>
        <v>Xīnzhōu Shì</v>
      </c>
      <c r="O939" s="13" t="str">
        <f t="shared" si="28"/>
        <v>Shoulu Xiang (Xīnzhōu Shì)</v>
      </c>
      <c r="P939" s="13" t="str">
        <f t="shared" si="29"/>
        <v>Shoulu Xiang (Xīnzhōu Shì)</v>
      </c>
    </row>
    <row r="940" spans="1:16" hidden="1" x14ac:dyDescent="0.25">
      <c r="A940" t="s">
        <v>1622</v>
      </c>
      <c r="B940" t="str">
        <f>IF(COUNTIF(A:A,A940)&gt;1,_xlfn.CONCAT(A940," (",N940,")"),A940)</f>
        <v>Shuāngchí Zhèn</v>
      </c>
      <c r="C940" t="str">
        <f>IF(COUNTIF(B:B,B940)&gt;1,_xlfn.CONCAT(A940," (",M940,")"),B940)</f>
        <v>Shuāngchí Zhèn</v>
      </c>
      <c r="D940" t="s">
        <v>1623</v>
      </c>
      <c r="E940" t="s">
        <v>7</v>
      </c>
      <c r="F940" t="str">
        <f>_xlfn.CONCAT(D940,", ",H940,", ",I940,", ","山西省")</f>
        <v>双池镇, 交口县, 吕梁市, 山西省</v>
      </c>
      <c r="G940">
        <v>22926</v>
      </c>
      <c r="H940" t="s">
        <v>2950</v>
      </c>
      <c r="I940" t="s">
        <v>2946</v>
      </c>
      <c r="J940">
        <f>VLOOKUP(F940,[1]!china_towns_second__2[[Column1]:[Y]],3,FALSE)</f>
        <v>36.926305354574602</v>
      </c>
      <c r="K940">
        <f>VLOOKUP(F940,[1]!china_towns_second__2[[Column1]:[Y]],2,FALSE)</f>
        <v>111.4950766</v>
      </c>
      <c r="L940" t="s">
        <v>4514</v>
      </c>
      <c r="M940" t="str">
        <f>VLOOKUP(H940,CHOOSE({1,2},Table12[Native],Table12[Name]),2,0)</f>
        <v>Jiāokŏu Xiàn</v>
      </c>
      <c r="N940" s="13" t="str">
        <f>VLOOKUP(I940,CHOOSE({1,2},Table12[Native],Table12[Name]),2,0)</f>
        <v>Lǚliáng Shì</v>
      </c>
      <c r="O940" s="13" t="str">
        <f t="shared" si="28"/>
        <v>Shuangchi Zhen (Lǚliáng Shì)</v>
      </c>
      <c r="P940" s="13" t="str">
        <f t="shared" si="29"/>
        <v>Shuangchi Zhen (Lǚliáng Shì)</v>
      </c>
    </row>
    <row r="941" spans="1:16" hidden="1" x14ac:dyDescent="0.25">
      <c r="A941" t="s">
        <v>1285</v>
      </c>
      <c r="B941" t="str">
        <f>IF(COUNTIF(A:A,A941)&gt;1,_xlfn.CONCAT(A941," (",N941,")"),A941)</f>
        <v>Shuānghè Xiāng</v>
      </c>
      <c r="C941" t="str">
        <f>IF(COUNTIF(B:B,B941)&gt;1,_xlfn.CONCAT(A941," (",M941,")"),B941)</f>
        <v>Shuānghè Xiāng</v>
      </c>
      <c r="D941" t="s">
        <v>1286</v>
      </c>
      <c r="E941" t="s">
        <v>17</v>
      </c>
      <c r="F941" t="str">
        <f>_xlfn.CONCAT(D941,", ",H941,", ",I941,", ","山西省")</f>
        <v>双鹤乡, 乡宁县, 临汾市, 山西省</v>
      </c>
      <c r="G941">
        <v>22130</v>
      </c>
      <c r="H941" t="s">
        <v>2940</v>
      </c>
      <c r="I941" t="s">
        <v>2927</v>
      </c>
      <c r="J941" t="e">
        <f>VLOOKUP(F941,[1]!china_towns_second__2[[Column1]:[Y]],3,FALSE)</f>
        <v>#N/A</v>
      </c>
      <c r="K941" t="e">
        <f>VLOOKUP(F941,[1]!china_towns_second__2[[Column1]:[Y]],2,FALSE)</f>
        <v>#N/A</v>
      </c>
      <c r="L941" t="s">
        <v>4515</v>
      </c>
      <c r="M941" t="str">
        <f>VLOOKUP(H941,CHOOSE({1,2},Table12[Native],Table12[Name]),2,0)</f>
        <v>Xiāngníng Xiàn</v>
      </c>
      <c r="N941" s="13" t="str">
        <f>VLOOKUP(I941,CHOOSE({1,2},Table12[Native],Table12[Name]),2,0)</f>
        <v>Línfén Shì</v>
      </c>
      <c r="O941" s="13" t="str">
        <f t="shared" si="28"/>
        <v>Shuanghe Xiang (Línfén Shì)</v>
      </c>
      <c r="P941" s="13" t="str">
        <f t="shared" si="29"/>
        <v>Shuanghe Xiang (Línfén Shì)</v>
      </c>
    </row>
    <row r="942" spans="1:16" hidden="1" x14ac:dyDescent="0.25">
      <c r="A942" t="s">
        <v>2350</v>
      </c>
      <c r="B942" t="str">
        <f>IF(COUNTIF(A:A,A942)&gt;1,_xlfn.CONCAT(A942," (",N942,")"),A942)</f>
        <v>Shuānglù Xiāng</v>
      </c>
      <c r="C942" t="str">
        <f>IF(COUNTIF(B:B,B942)&gt;1,_xlfn.CONCAT(A942," (",M942,")"),B942)</f>
        <v>Shuānglù Xiāng</v>
      </c>
      <c r="D942" t="s">
        <v>2351</v>
      </c>
      <c r="E942" t="s">
        <v>17</v>
      </c>
      <c r="F942" t="str">
        <f>_xlfn.CONCAT(D942,", ",H942,", ",I942,", ","山西省")</f>
        <v>双路乡, 静乐县, 忻州市, 山西省</v>
      </c>
      <c r="G942">
        <v>10971</v>
      </c>
      <c r="H942" t="s">
        <v>2987</v>
      </c>
      <c r="I942" t="s">
        <v>2981</v>
      </c>
      <c r="J942" t="e">
        <f>VLOOKUP(F942,[1]!china_towns_second__2[[Column1]:[Y]],3,FALSE)</f>
        <v>#N/A</v>
      </c>
      <c r="K942" t="e">
        <f>VLOOKUP(F942,[1]!china_towns_second__2[[Column1]:[Y]],2,FALSE)</f>
        <v>#N/A</v>
      </c>
      <c r="L942" t="s">
        <v>4516</v>
      </c>
      <c r="M942" t="str">
        <f>VLOOKUP(H942,CHOOSE({1,2},Table12[Native],Table12[Name]),2,0)</f>
        <v>Jìnglè Xiàn</v>
      </c>
      <c r="N942" s="13" t="str">
        <f>VLOOKUP(I942,CHOOSE({1,2},Table12[Native],Table12[Name]),2,0)</f>
        <v>Xīnzhōu Shì</v>
      </c>
      <c r="O942" s="13" t="str">
        <f t="shared" si="28"/>
        <v>Shuanglu Xiang (Xīnzhōu Shì)</v>
      </c>
      <c r="P942" s="13" t="str">
        <f t="shared" si="29"/>
        <v>Shuanglu Xiang (Xīnzhōu Shì)</v>
      </c>
    </row>
    <row r="943" spans="1:16" hidden="1" x14ac:dyDescent="0.25">
      <c r="A943" t="s">
        <v>1814</v>
      </c>
      <c r="B943" t="str">
        <f>IF(COUNTIF(A:A,A943)&gt;1,_xlfn.CONCAT(A943," (",N943,")"),A943)</f>
        <v>Shuāngniăn Xiāng</v>
      </c>
      <c r="C943" t="str">
        <f>IF(COUNTIF(B:B,B943)&gt;1,_xlfn.CONCAT(A943," (",M943,")"),B943)</f>
        <v>Shuāngniăn Xiāng</v>
      </c>
      <c r="D943" t="s">
        <v>1815</v>
      </c>
      <c r="E943" t="s">
        <v>17</v>
      </c>
      <c r="F943" t="str">
        <f>_xlfn.CONCAT(D943,", ",H943,", ",I943,", ","山西省")</f>
        <v>双碾乡, 平鲁区, 朔州市, 山西省</v>
      </c>
      <c r="G943">
        <v>4048</v>
      </c>
      <c r="H943" t="s">
        <v>2963</v>
      </c>
      <c r="I943" t="s">
        <v>2961</v>
      </c>
      <c r="J943" t="e">
        <f>VLOOKUP(F943,[1]!china_towns_second__2[[Column1]:[Y]],3,FALSE)</f>
        <v>#N/A</v>
      </c>
      <c r="K943" t="e">
        <f>VLOOKUP(F943,[1]!china_towns_second__2[[Column1]:[Y]],2,FALSE)</f>
        <v>#N/A</v>
      </c>
      <c r="L943" t="s">
        <v>4517</v>
      </c>
      <c r="M943" t="str">
        <f>VLOOKUP(H943,CHOOSE({1,2},Table12[Native],Table12[Name]),2,0)</f>
        <v>Pínglŭ Qū</v>
      </c>
      <c r="N943" s="13" t="str">
        <f>VLOOKUP(I943,CHOOSE({1,2},Table12[Native],Table12[Name]),2,0)</f>
        <v>Shuòzhōu Shì</v>
      </c>
      <c r="O943" s="13" t="str">
        <f t="shared" si="28"/>
        <v>Shuangnian Xiang (Shuòzhōu Shì)</v>
      </c>
      <c r="P943" s="13" t="str">
        <f t="shared" si="29"/>
        <v>Shuangnian Xiang (Shuòzhōu Shì)</v>
      </c>
    </row>
    <row r="944" spans="1:16" hidden="1" x14ac:dyDescent="0.25">
      <c r="A944" t="s">
        <v>503</v>
      </c>
      <c r="B944" t="str">
        <f>IF(COUNTIF(A:A,A944)&gt;1,_xlfn.CONCAT(A944," (",N944,")"),A944)</f>
        <v>Shuĭbósì Xiāng</v>
      </c>
      <c r="C944" t="str">
        <f>IF(COUNTIF(B:B,B944)&gt;1,_xlfn.CONCAT(A944," (",M944,")"),B944)</f>
        <v>Shuĭbósì Xiāng</v>
      </c>
      <c r="D944" t="s">
        <v>504</v>
      </c>
      <c r="E944" t="s">
        <v>17</v>
      </c>
      <c r="F944" t="str">
        <f>_xlfn.CONCAT(D944,", ",H944,", ",I944,", ","山西省")</f>
        <v>水泊寺乡, 平城区, 大同市, 山西省</v>
      </c>
      <c r="G944">
        <v>82358</v>
      </c>
      <c r="H944" t="s">
        <v>2898</v>
      </c>
      <c r="I944" t="s">
        <v>2894</v>
      </c>
      <c r="J944" t="e">
        <f>VLOOKUP(F944,[1]!china_towns_second__2[[Column1]:[Y]],3,FALSE)</f>
        <v>#N/A</v>
      </c>
      <c r="K944" t="e">
        <f>VLOOKUP(F944,[1]!china_towns_second__2[[Column1]:[Y]],2,FALSE)</f>
        <v>#N/A</v>
      </c>
      <c r="L944" t="s">
        <v>4518</v>
      </c>
      <c r="M944" t="str">
        <f>VLOOKUP(H944,CHOOSE({1,2},Table12[Native],Table12[Name]),2,0)</f>
        <v>Píngchéng Qū</v>
      </c>
      <c r="N944" s="13" t="str">
        <f>VLOOKUP(I944,CHOOSE({1,2},Table12[Native],Table12[Name]),2,0)</f>
        <v>Dàtóng Shì</v>
      </c>
      <c r="O944" s="13" t="str">
        <f t="shared" si="28"/>
        <v>Shuibosi Xiang (Dàtóng Shì)</v>
      </c>
      <c r="P944" s="13" t="str">
        <f t="shared" si="29"/>
        <v>Shuibosi Xiang (Dàtóng Shì)</v>
      </c>
    </row>
    <row r="945" spans="1:16" hidden="1" x14ac:dyDescent="0.25">
      <c r="A945" t="s">
        <v>2352</v>
      </c>
      <c r="B945" t="str">
        <f>IF(COUNTIF(A:A,A945)&gt;1,_xlfn.CONCAT(A945," (",N945,")"),A945)</f>
        <v>Shuĭquán Zhèn</v>
      </c>
      <c r="C945" t="str">
        <f>IF(COUNTIF(B:B,B945)&gt;1,_xlfn.CONCAT(A945," (",M945,")"),B945)</f>
        <v>Shuĭquán Zhèn</v>
      </c>
      <c r="D945" t="s">
        <v>2353</v>
      </c>
      <c r="E945" t="s">
        <v>7</v>
      </c>
      <c r="F945" t="str">
        <f>_xlfn.CONCAT(D945,", ",H945,", ",I945,", ","山西省")</f>
        <v>水泉镇, 偏关县, 忻州市, 山西省</v>
      </c>
      <c r="G945">
        <v>3653</v>
      </c>
      <c r="H945" t="s">
        <v>2990</v>
      </c>
      <c r="I945" t="s">
        <v>2981</v>
      </c>
      <c r="J945">
        <f>VLOOKUP(F945,[1]!china_towns_second__2[[Column1]:[Y]],3,FALSE)</f>
        <v>39.576140606647201</v>
      </c>
      <c r="K945">
        <f>VLOOKUP(F945,[1]!china_towns_second__2[[Column1]:[Y]],2,FALSE)</f>
        <v>111.6807694</v>
      </c>
      <c r="L945" t="s">
        <v>4519</v>
      </c>
      <c r="M945" t="str">
        <f>VLOOKUP(H945,CHOOSE({1,2},Table12[Native],Table12[Name]),2,0)</f>
        <v>Piānguān Xiàn</v>
      </c>
      <c r="N945" s="13" t="str">
        <f>VLOOKUP(I945,CHOOSE({1,2},Table12[Native],Table12[Name]),2,0)</f>
        <v>Xīnzhōu Shì</v>
      </c>
      <c r="O945" s="13" t="str">
        <f t="shared" si="28"/>
        <v>Shuiquan Zhen (Xīnzhōu Shì)</v>
      </c>
      <c r="P945" s="13" t="str">
        <f t="shared" si="29"/>
        <v>Shuiquan Zhen (Xīnzhōu Shì)</v>
      </c>
    </row>
    <row r="946" spans="1:16" hidden="1" x14ac:dyDescent="0.25">
      <c r="A946" t="s">
        <v>1287</v>
      </c>
      <c r="B946" t="str">
        <f>IF(COUNTIF(A:A,A946)&gt;1,_xlfn.CONCAT(A946," (",N946,")"),A946)</f>
        <v>Shuĭtăjiē Jiēdào</v>
      </c>
      <c r="C946" t="str">
        <f>IF(COUNTIF(B:B,B946)&gt;1,_xlfn.CONCAT(A946," (",M946,")"),B946)</f>
        <v>Shuĭtăjiē Jiēdào</v>
      </c>
      <c r="D946" t="s">
        <v>1288</v>
      </c>
      <c r="E946" t="s">
        <v>31</v>
      </c>
      <c r="F946" t="str">
        <f>_xlfn.CONCAT(D946,", ",H946,", ",I946,", ","山西省")</f>
        <v>水塔街街道, 尧都区, 临汾市, 山西省</v>
      </c>
      <c r="G946">
        <v>33649</v>
      </c>
      <c r="H946" t="s">
        <v>2942</v>
      </c>
      <c r="I946" t="s">
        <v>2927</v>
      </c>
      <c r="J946">
        <f>VLOOKUP(F946,[1]!china_towns_second__2[[Column1]:[Y]],3,FALSE)</f>
        <v>36.091055265810603</v>
      </c>
      <c r="K946">
        <f>VLOOKUP(F946,[1]!china_towns_second__2[[Column1]:[Y]],2,FALSE)</f>
        <v>111.4992659</v>
      </c>
      <c r="L946" t="s">
        <v>4520</v>
      </c>
      <c r="M946" t="str">
        <f>VLOOKUP(H946,CHOOSE({1,2},Table12[Native],Table12[Name]),2,0)</f>
        <v>Yáodū Qū</v>
      </c>
      <c r="N946" s="13" t="str">
        <f>VLOOKUP(I946,CHOOSE({1,2},Table12[Native],Table12[Name]),2,0)</f>
        <v>Línfén Shì</v>
      </c>
      <c r="O946" s="13" t="str">
        <f t="shared" si="28"/>
        <v>Shuitajie Jiedao (Línfén Shì)</v>
      </c>
      <c r="P946" s="13" t="str">
        <f t="shared" si="29"/>
        <v>Shuitajie Jiedao (Línfén Shì)</v>
      </c>
    </row>
    <row r="947" spans="1:16" hidden="1" x14ac:dyDescent="0.25">
      <c r="A947" t="s">
        <v>1624</v>
      </c>
      <c r="B947" t="str">
        <f>IF(COUNTIF(A:A,A947)&gt;1,_xlfn.CONCAT(A947," (",N947,")"),A947)</f>
        <v>Shuĭtóu Zhèn (Lǚliáng Shì)</v>
      </c>
      <c r="C947" t="str">
        <f>IF(COUNTIF(B:B,B947)&gt;1,_xlfn.CONCAT(A947," (",M947,")"),B947)</f>
        <v>Shuĭtóu Zhèn (Lǚliáng Shì)</v>
      </c>
      <c r="D947" t="s">
        <v>1625</v>
      </c>
      <c r="E947" t="s">
        <v>7</v>
      </c>
      <c r="F947" t="str">
        <f>_xlfn.CONCAT(D947,", ",H947,", ",I947,", ","山西省")</f>
        <v>水头镇, 交口县, 吕梁市, 山西省</v>
      </c>
      <c r="G947">
        <v>29755</v>
      </c>
      <c r="H947" t="s">
        <v>2950</v>
      </c>
      <c r="I947" t="s">
        <v>2946</v>
      </c>
      <c r="J947">
        <f>VLOOKUP(F947,[1]!china_towns_second__2[[Column1]:[Y]],3,FALSE)</f>
        <v>36.988249744880001</v>
      </c>
      <c r="K947">
        <f>VLOOKUP(F947,[1]!china_towns_second__2[[Column1]:[Y]],2,FALSE)</f>
        <v>111.17639560000001</v>
      </c>
      <c r="L947" t="s">
        <v>4521</v>
      </c>
      <c r="M947" t="str">
        <f>VLOOKUP(H947,CHOOSE({1,2},Table12[Native],Table12[Name]),2,0)</f>
        <v>Jiāokŏu Xiàn</v>
      </c>
      <c r="N947" s="13" t="str">
        <f>VLOOKUP(I947,CHOOSE({1,2},Table12[Native],Table12[Name]),2,0)</f>
        <v>Lǚliáng Shì</v>
      </c>
      <c r="O947" s="13" t="str">
        <f t="shared" si="28"/>
        <v>Shuitou Zhen (Luliang Shi) (Lǚliáng Shì)</v>
      </c>
      <c r="P947" s="13" t="str">
        <f t="shared" si="29"/>
        <v>Shuitou Zhen (Luliang Shi) (Lǚliáng Shì)</v>
      </c>
    </row>
    <row r="948" spans="1:16" hidden="1" x14ac:dyDescent="0.25">
      <c r="A948" t="s">
        <v>1624</v>
      </c>
      <c r="B948" t="str">
        <f>IF(COUNTIF(A:A,A948)&gt;1,_xlfn.CONCAT(A948," (",N948,")"),A948)</f>
        <v>Shuĭtóu Zhèn (Yùnchéng Shì)</v>
      </c>
      <c r="C948" t="str">
        <f>IF(COUNTIF(B:B,B948)&gt;1,_xlfn.CONCAT(A948," (",M948,")"),B948)</f>
        <v>Shuĭtóu Zhèn (Yùnchéng Shì)</v>
      </c>
      <c r="D948" t="s">
        <v>1625</v>
      </c>
      <c r="E948" t="s">
        <v>7</v>
      </c>
      <c r="F948" t="str">
        <f>_xlfn.CONCAT(D948,", ",H948,", ",I948,", ","山西省")</f>
        <v>水头镇, 夏县, 运城市, 山西省</v>
      </c>
      <c r="G948">
        <v>45914</v>
      </c>
      <c r="H948" t="s">
        <v>3012</v>
      </c>
      <c r="I948" t="s">
        <v>3003</v>
      </c>
      <c r="J948">
        <f>VLOOKUP(F948,[1]!china_towns_second__2[[Column1]:[Y]],3,FALSE)</f>
        <v>35.238618485498698</v>
      </c>
      <c r="K948">
        <f>VLOOKUP(F948,[1]!china_towns_second__2[[Column1]:[Y]],2,FALSE)</f>
        <v>111.0983954</v>
      </c>
      <c r="L948" t="s">
        <v>4522</v>
      </c>
      <c r="M948" t="str">
        <f>VLOOKUP(H948,CHOOSE({1,2},Table12[Native],Table12[Name]),2,0)</f>
        <v>Xià Xiàn</v>
      </c>
      <c r="N948" s="13" t="str">
        <f>VLOOKUP(I948,CHOOSE({1,2},Table12[Native],Table12[Name]),2,0)</f>
        <v>Yùnchéng Shì</v>
      </c>
      <c r="O948" s="13" t="str">
        <f t="shared" si="28"/>
        <v>Shuitou Zhen (Yuncheng Shi) (Yùnchéng Shì)</v>
      </c>
      <c r="P948" s="13" t="str">
        <f t="shared" si="29"/>
        <v>Shuitou Zhen (Yuncheng Shi) (Yùnchéng Shì)</v>
      </c>
    </row>
    <row r="949" spans="1:16" hidden="1" x14ac:dyDescent="0.25">
      <c r="A949" t="s">
        <v>970</v>
      </c>
      <c r="B949" t="str">
        <f>IF(COUNTIF(A:A,A949)&gt;1,_xlfn.CONCAT(A949," (",N949,")"),A949)</f>
        <v>Shuĭxiù Xiāng</v>
      </c>
      <c r="C949" t="str">
        <f>IF(COUNTIF(B:B,B949)&gt;1,_xlfn.CONCAT(A949," (",M949,")"),B949)</f>
        <v>Shuĭxiù Xiāng</v>
      </c>
      <c r="D949" t="s">
        <v>971</v>
      </c>
      <c r="E949" t="s">
        <v>17</v>
      </c>
      <c r="F949" t="str">
        <f>_xlfn.CONCAT(D949,", ",H949,", ",I949,", ","山西省")</f>
        <v>水秀乡, 太谷区, 晋中市, 山西省</v>
      </c>
      <c r="G949">
        <v>23585</v>
      </c>
      <c r="H949" t="s">
        <v>2921</v>
      </c>
      <c r="I949" t="s">
        <v>2914</v>
      </c>
      <c r="J949" t="e">
        <f>VLOOKUP(F949,[1]!china_towns_second__2[[Column1]:[Y]],3,FALSE)</f>
        <v>#N/A</v>
      </c>
      <c r="K949" t="e">
        <f>VLOOKUP(F949,[1]!china_towns_second__2[[Column1]:[Y]],2,FALSE)</f>
        <v>#N/A</v>
      </c>
      <c r="L949" t="s">
        <v>4523</v>
      </c>
      <c r="M949" t="str">
        <f>VLOOKUP(H949,CHOOSE({1,2},Table12[Native],Table12[Name]),2,0)</f>
        <v>Tàigŭ Qū</v>
      </c>
      <c r="N949" s="13" t="str">
        <f>VLOOKUP(I949,CHOOSE({1,2},Table12[Native],Table12[Name]),2,0)</f>
        <v>Jìnzhōng Shì</v>
      </c>
      <c r="O949" s="13" t="str">
        <f t="shared" si="28"/>
        <v>Shuixiu Xiang (Jìnzhōng Shì)</v>
      </c>
      <c r="P949" s="13" t="str">
        <f t="shared" si="29"/>
        <v>Shuixiu Xiang (Jìnzhōng Shì)</v>
      </c>
    </row>
    <row r="950" spans="1:16" hidden="1" x14ac:dyDescent="0.25">
      <c r="A950" t="s">
        <v>505</v>
      </c>
      <c r="B950" t="str">
        <f>IF(COUNTIF(A:A,A950)&gt;1,_xlfn.CONCAT(A950," (",N950,")"),A950)</f>
        <v>Shuĭyáo Xiāng</v>
      </c>
      <c r="C950" t="str">
        <f>IF(COUNTIF(B:B,B950)&gt;1,_xlfn.CONCAT(A950," (",M950,")"),B950)</f>
        <v>Shuĭyáo Xiāng</v>
      </c>
      <c r="D950" t="s">
        <v>506</v>
      </c>
      <c r="E950" t="s">
        <v>17</v>
      </c>
      <c r="F950" t="str">
        <f>_xlfn.CONCAT(D950,", ",H950,", ",I950,", ","山西省")</f>
        <v>水窑乡, 左云县, 大同市, 山西省</v>
      </c>
      <c r="G950">
        <v>5373</v>
      </c>
      <c r="H950" t="s">
        <v>2904</v>
      </c>
      <c r="I950" t="s">
        <v>2894</v>
      </c>
      <c r="J950" t="e">
        <f>VLOOKUP(F950,[1]!china_towns_second__2[[Column1]:[Y]],3,FALSE)</f>
        <v>#N/A</v>
      </c>
      <c r="K950" t="e">
        <f>VLOOKUP(F950,[1]!china_towns_second__2[[Column1]:[Y]],2,FALSE)</f>
        <v>#N/A</v>
      </c>
      <c r="L950" t="s">
        <v>4524</v>
      </c>
      <c r="M950" t="str">
        <f>VLOOKUP(H950,CHOOSE({1,2},Table12[Native],Table12[Name]),2,0)</f>
        <v>Zuǒyún Xiàn</v>
      </c>
      <c r="N950" s="13" t="str">
        <f>VLOOKUP(I950,CHOOSE({1,2},Table12[Native],Table12[Name]),2,0)</f>
        <v>Dàtóng Shì</v>
      </c>
      <c r="O950" s="13" t="str">
        <f t="shared" si="28"/>
        <v>Shuiyao Xiang (Dàtóng Shì)</v>
      </c>
      <c r="P950" s="13" t="str">
        <f t="shared" si="29"/>
        <v>Shuiyao Xiang (Dàtóng Shì)</v>
      </c>
    </row>
    <row r="951" spans="1:16" hidden="1" x14ac:dyDescent="0.25">
      <c r="A951" t="s">
        <v>2354</v>
      </c>
      <c r="B951" t="str">
        <f>IF(COUNTIF(A:A,A951)&gt;1,_xlfn.CONCAT(A951," (",N951,")"),A951)</f>
        <v>Shuĭyùguàn Xiāng</v>
      </c>
      <c r="C951" t="str">
        <f>IF(COUNTIF(B:B,B951)&gt;1,_xlfn.CONCAT(A951," (",M951,")"),B951)</f>
        <v>Shuĭyùguàn Xiāng</v>
      </c>
      <c r="D951" t="s">
        <v>2355</v>
      </c>
      <c r="E951" t="s">
        <v>17</v>
      </c>
      <c r="F951" t="str">
        <f>_xlfn.CONCAT(D951,", ",H951,", ",I951,", ","山西省")</f>
        <v>水峪贯乡, 岢岚县, 忻州市, 山西省</v>
      </c>
      <c r="G951">
        <v>4224</v>
      </c>
      <c r="H951" t="s">
        <v>2988</v>
      </c>
      <c r="I951" t="s">
        <v>2981</v>
      </c>
      <c r="J951" t="e">
        <f>VLOOKUP(F951,[1]!china_towns_second__2[[Column1]:[Y]],3,FALSE)</f>
        <v>#N/A</v>
      </c>
      <c r="K951" t="e">
        <f>VLOOKUP(F951,[1]!china_towns_second__2[[Column1]:[Y]],2,FALSE)</f>
        <v>#N/A</v>
      </c>
      <c r="L951" t="s">
        <v>4525</v>
      </c>
      <c r="M951" t="str">
        <f>VLOOKUP(H951,CHOOSE({1,2},Table12[Native],Table12[Name]),2,0)</f>
        <v>Kĕlán Xiàn</v>
      </c>
      <c r="N951" s="13" t="str">
        <f>VLOOKUP(I951,CHOOSE({1,2},Table12[Native],Table12[Name]),2,0)</f>
        <v>Xīnzhōu Shì</v>
      </c>
      <c r="O951" s="13" t="str">
        <f t="shared" si="28"/>
        <v>Shuiyuguan Xiang (Xīnzhōu Shì)</v>
      </c>
      <c r="P951" s="13" t="str">
        <f t="shared" si="29"/>
        <v>Shuiyuguan Xiang (Xīnzhōu Shì)</v>
      </c>
    </row>
    <row r="952" spans="1:16" hidden="1" x14ac:dyDescent="0.25">
      <c r="A952" t="s">
        <v>1626</v>
      </c>
      <c r="B952" t="str">
        <f>IF(COUNTIF(A:A,A952)&gt;1,_xlfn.CONCAT(A952," (",N952,")"),A952)</f>
        <v>Shuĭyùguàn Zhèn</v>
      </c>
      <c r="C952" t="str">
        <f>IF(COUNTIF(B:B,B952)&gt;1,_xlfn.CONCAT(A952," (",M952,")"),B952)</f>
        <v>Shuĭyùguàn Zhèn</v>
      </c>
      <c r="D952" t="s">
        <v>1627</v>
      </c>
      <c r="E952" t="s">
        <v>7</v>
      </c>
      <c r="F952" t="str">
        <f>_xlfn.CONCAT(D952,", ",H952,", ",I952,", ","山西省")</f>
        <v>水峪贯镇, 交城县, 吕梁市, 山西省</v>
      </c>
      <c r="G952">
        <v>13292</v>
      </c>
      <c r="H952" t="s">
        <v>2949</v>
      </c>
      <c r="I952" t="s">
        <v>2946</v>
      </c>
      <c r="J952">
        <f>VLOOKUP(F952,[1]!china_towns_second__2[[Column1]:[Y]],3,FALSE)</f>
        <v>37.677744734573402</v>
      </c>
      <c r="K952">
        <f>VLOOKUP(F952,[1]!china_towns_second__2[[Column1]:[Y]],2,FALSE)</f>
        <v>111.91098890000001</v>
      </c>
      <c r="L952" t="s">
        <v>4526</v>
      </c>
      <c r="M952" t="str">
        <f>VLOOKUP(H952,CHOOSE({1,2},Table12[Native],Table12[Name]),2,0)</f>
        <v>Jiāochéng Xiàn</v>
      </c>
      <c r="N952" s="13" t="str">
        <f>VLOOKUP(I952,CHOOSE({1,2},Table12[Native],Table12[Name]),2,0)</f>
        <v>Lǚliáng Shì</v>
      </c>
      <c r="O952" s="13" t="str">
        <f t="shared" si="28"/>
        <v>Shuiyuguan Zhen (Lǚliáng Shì)</v>
      </c>
      <c r="P952" s="13" t="str">
        <f t="shared" si="29"/>
        <v>Shuiyuguan Zhen (Lǚliáng Shì)</v>
      </c>
    </row>
    <row r="953" spans="1:16" hidden="1" x14ac:dyDescent="0.25">
      <c r="A953" t="s">
        <v>1628</v>
      </c>
      <c r="B953" t="str">
        <f>IF(COUNTIF(A:A,A953)&gt;1,_xlfn.CONCAT(A953," (",N953,")"),A953)</f>
        <v>Shùnhuì Xiāng</v>
      </c>
      <c r="C953" t="str">
        <f>IF(COUNTIF(B:B,B953)&gt;1,_xlfn.CONCAT(A953," (",M953,")"),B953)</f>
        <v>Shùnhuì Xiāng</v>
      </c>
      <c r="D953" t="s">
        <v>1629</v>
      </c>
      <c r="E953" t="s">
        <v>17</v>
      </c>
      <c r="F953" t="str">
        <f>_xlfn.CONCAT(D953,", ",H953,", ",I953,", ","山西省")</f>
        <v>顺会乡, 岚县, 吕梁市, 山西省</v>
      </c>
      <c r="G953">
        <v>8437</v>
      </c>
      <c r="H953" t="s">
        <v>2951</v>
      </c>
      <c r="I953" t="s">
        <v>2946</v>
      </c>
      <c r="J953" t="e">
        <f>VLOOKUP(F953,[1]!china_towns_second__2[[Column1]:[Y]],3,FALSE)</f>
        <v>#N/A</v>
      </c>
      <c r="K953" t="e">
        <f>VLOOKUP(F953,[1]!china_towns_second__2[[Column1]:[Y]],2,FALSE)</f>
        <v>#N/A</v>
      </c>
      <c r="L953" t="s">
        <v>4527</v>
      </c>
      <c r="M953" t="str">
        <f>VLOOKUP(H953,CHOOSE({1,2},Table12[Native],Table12[Name]),2,0)</f>
        <v>Lán Xiàn</v>
      </c>
      <c r="N953" s="13" t="str">
        <f>VLOOKUP(I953,CHOOSE({1,2},Table12[Native],Table12[Name]),2,0)</f>
        <v>Lǚliáng Shì</v>
      </c>
      <c r="O953" s="13" t="str">
        <f t="shared" si="28"/>
        <v>Shunhui Xiang (Lǚliáng Shì)</v>
      </c>
      <c r="P953" s="13" t="str">
        <f t="shared" si="29"/>
        <v>Shunhui Xiang (Lǚliáng Shì)</v>
      </c>
    </row>
    <row r="954" spans="1:16" hidden="1" x14ac:dyDescent="0.25">
      <c r="A954" t="s">
        <v>1816</v>
      </c>
      <c r="B954" t="str">
        <f>IF(COUNTIF(A:A,A954)&gt;1,_xlfn.CONCAT(A954," (",N954,")"),A954)</f>
        <v>Shuòzhōu Shì Kāifāqū Guănwĕihuì [Shuozhou Development Zone]</v>
      </c>
      <c r="C954" t="str">
        <f>IF(COUNTIF(B:B,B954)&gt;1,_xlfn.CONCAT(A954," (",M954,")"),B954)</f>
        <v>Shuòzhōu Shì Kāifāqū Guănwĕihuì [Shuozhou Development Zone]</v>
      </c>
      <c r="D954" t="s">
        <v>1817</v>
      </c>
      <c r="E954" t="s">
        <v>35</v>
      </c>
      <c r="F954" t="str">
        <f>_xlfn.CONCAT(D954,", ",H954,", ",I954,", ","山西省")</f>
        <v>朔州市开发区管委会, 朔城区, 朔州市, 山西省</v>
      </c>
      <c r="G954">
        <v>25066</v>
      </c>
      <c r="H954" t="s">
        <v>2965</v>
      </c>
      <c r="I954" t="s">
        <v>2961</v>
      </c>
      <c r="J954">
        <f>VLOOKUP(F954,[1]!china_towns_second__2[[Column1]:[Y]],3,FALSE)</f>
        <v>39.232904236644401</v>
      </c>
      <c r="K954">
        <f>VLOOKUP(F954,[1]!china_towns_second__2[[Column1]:[Y]],2,FALSE)</f>
        <v>112.4404151</v>
      </c>
      <c r="L954" t="s">
        <v>4528</v>
      </c>
      <c r="M954" t="str">
        <f>VLOOKUP(H954,CHOOSE({1,2},Table12[Native],Table12[Name]),2,0)</f>
        <v>Shuòchéng Qū</v>
      </c>
      <c r="N954" s="13" t="str">
        <f>VLOOKUP(I954,CHOOSE({1,2},Table12[Native],Table12[Name]),2,0)</f>
        <v>Shuòzhōu Shì</v>
      </c>
      <c r="O954" s="13" t="str">
        <f t="shared" si="28"/>
        <v>Shuozhou Shi Kaifaqu Guanweihui [Shuozhou Development Zone] (Shuòzhōu Shì)</v>
      </c>
      <c r="P954" s="13" t="str">
        <f t="shared" si="29"/>
        <v>Shuozhou Shi Kaifaqu Guanweihui [Shuozhou Development Zone] (Shuòzhōu Shì)</v>
      </c>
    </row>
    <row r="955" spans="1:16" hidden="1" x14ac:dyDescent="0.25">
      <c r="A955" t="s">
        <v>231</v>
      </c>
      <c r="B955" t="str">
        <f>IF(COUNTIF(A:A,A955)&gt;1,_xlfn.CONCAT(A955," (",N955,")"),A955)</f>
        <v>Shùzhăng Zhèn</v>
      </c>
      <c r="C955" t="str">
        <f>IF(COUNTIF(B:B,B955)&gt;1,_xlfn.CONCAT(A955," (",M955,")"),B955)</f>
        <v>Shùzhăng Zhèn</v>
      </c>
      <c r="D955" t="s">
        <v>232</v>
      </c>
      <c r="E955" t="s">
        <v>7</v>
      </c>
      <c r="F955" t="str">
        <f>_xlfn.CONCAT(D955,", ",H955,", ",I955,", ","山西省")</f>
        <v>树掌镇, 壶关县, 长治市, 山西省</v>
      </c>
      <c r="G955">
        <v>11057</v>
      </c>
      <c r="H955" t="s">
        <v>2881</v>
      </c>
      <c r="I955" t="s">
        <v>2878</v>
      </c>
      <c r="J955">
        <f>VLOOKUP(F955,[1]!china_towns_second__2[[Column1]:[Y]],3,FALSE)</f>
        <v>35.887997507129498</v>
      </c>
      <c r="K955">
        <f>VLOOKUP(F955,[1]!china_towns_second__2[[Column1]:[Y]],2,FALSE)</f>
        <v>113.40898919999999</v>
      </c>
      <c r="L955" t="s">
        <v>4529</v>
      </c>
      <c r="M955" t="str">
        <f>VLOOKUP(H955,CHOOSE({1,2},Table12[Native],Table12[Name]),2,0)</f>
        <v>Húguān Xiàn</v>
      </c>
      <c r="N955" s="13" t="str">
        <f>VLOOKUP(I955,CHOOSE({1,2},Table12[Native],Table12[Name]),2,0)</f>
        <v>Chángzhì Shì</v>
      </c>
      <c r="O955" s="13" t="str">
        <f t="shared" si="28"/>
        <v>Shuzhang Zhen (Chángzhì Shì)</v>
      </c>
      <c r="P955" s="13" t="str">
        <f t="shared" si="29"/>
        <v>Shuzhang Zhen (Chángzhì Shì)</v>
      </c>
    </row>
    <row r="956" spans="1:16" hidden="1" x14ac:dyDescent="0.25">
      <c r="A956" t="s">
        <v>2790</v>
      </c>
      <c r="B956" t="str">
        <f>IF(COUNTIF(A:A,A956)&gt;1,_xlfn.CONCAT(A956," (",N956,")"),A956)</f>
        <v>Sìjiāo Zhèn</v>
      </c>
      <c r="C956" t="str">
        <f>IF(COUNTIF(B:B,B956)&gt;1,_xlfn.CONCAT(A956," (",M956,")"),B956)</f>
        <v>Sìjiāo Zhèn</v>
      </c>
      <c r="D956" t="s">
        <v>2791</v>
      </c>
      <c r="E956" t="s">
        <v>7</v>
      </c>
      <c r="F956" t="str">
        <f>_xlfn.CONCAT(D956,", ",H956,", ",I956,", ","山西省")</f>
        <v>泗交镇, 夏县, 运城市, 山西省</v>
      </c>
      <c r="G956">
        <v>9326</v>
      </c>
      <c r="H956" t="s">
        <v>3012</v>
      </c>
      <c r="I956" t="s">
        <v>3003</v>
      </c>
      <c r="J956">
        <f>VLOOKUP(F956,[1]!china_towns_second__2[[Column1]:[Y]],3,FALSE)</f>
        <v>35.097490604175</v>
      </c>
      <c r="K956">
        <f>VLOOKUP(F956,[1]!china_towns_second__2[[Column1]:[Y]],2,FALSE)</f>
        <v>111.4464566</v>
      </c>
      <c r="L956" t="s">
        <v>4530</v>
      </c>
      <c r="M956" t="str">
        <f>VLOOKUP(H956,CHOOSE({1,2},Table12[Native],Table12[Name]),2,0)</f>
        <v>Xià Xiàn</v>
      </c>
      <c r="N956" s="13" t="str">
        <f>VLOOKUP(I956,CHOOSE({1,2},Table12[Native],Table12[Name]),2,0)</f>
        <v>Yùnchéng Shì</v>
      </c>
      <c r="O956" s="13" t="str">
        <f t="shared" si="28"/>
        <v>Sijiao Zhen (Yùnchéng Shì)</v>
      </c>
      <c r="P956" s="13" t="str">
        <f t="shared" si="29"/>
        <v>Sijiao Zhen (Yùnchéng Shì)</v>
      </c>
    </row>
    <row r="957" spans="1:16" hidden="1" x14ac:dyDescent="0.25">
      <c r="A957" t="s">
        <v>507</v>
      </c>
      <c r="B957" t="str">
        <f>IF(COUNTIF(A:A,A957)&gt;1,_xlfn.CONCAT(A957," (",N957,")"),A957)</f>
        <v>Sìlăogōu Jiēdào</v>
      </c>
      <c r="C957" t="str">
        <f>IF(COUNTIF(B:B,B957)&gt;1,_xlfn.CONCAT(A957," (",M957,")"),B957)</f>
        <v>Sìlăogōu Jiēdào</v>
      </c>
      <c r="D957" t="s">
        <v>508</v>
      </c>
      <c r="E957" t="s">
        <v>31</v>
      </c>
      <c r="F957" t="str">
        <f>_xlfn.CONCAT(D957,", ",H957,", ",I957,", ","山西省")</f>
        <v>四老沟街道, 云冈区, 大同市, 山西省</v>
      </c>
      <c r="G957">
        <v>8046</v>
      </c>
      <c r="H957" t="s">
        <v>2902</v>
      </c>
      <c r="I957" t="s">
        <v>2894</v>
      </c>
      <c r="J957" t="e">
        <f>VLOOKUP(F957,[1]!china_towns_second__2[[Column1]:[Y]],3,FALSE)</f>
        <v>#N/A</v>
      </c>
      <c r="K957" t="e">
        <f>VLOOKUP(F957,[1]!china_towns_second__2[[Column1]:[Y]],2,FALSE)</f>
        <v>#N/A</v>
      </c>
      <c r="L957" t="s">
        <v>4531</v>
      </c>
      <c r="M957" t="str">
        <f>VLOOKUP(H957,CHOOSE({1,2},Table12[Native],Table12[Name]),2,0)</f>
        <v>Yúngāng Qū</v>
      </c>
      <c r="N957" s="13" t="str">
        <f>VLOOKUP(I957,CHOOSE({1,2},Table12[Native],Table12[Name]),2,0)</f>
        <v>Dàtóng Shì</v>
      </c>
      <c r="O957" s="13" t="str">
        <f t="shared" si="28"/>
        <v>Silaogou Jiedao (Dàtóng Shì)</v>
      </c>
      <c r="P957" s="13" t="str">
        <f t="shared" si="29"/>
        <v>Silaogou Jiedao (Dàtóng Shì)</v>
      </c>
    </row>
    <row r="958" spans="1:16" hidden="1" x14ac:dyDescent="0.25">
      <c r="A958" t="s">
        <v>509</v>
      </c>
      <c r="B958" t="str">
        <f>IF(COUNTIF(A:A,A958)&gt;1,_xlfn.CONCAT(A958," (",N958,")"),A958)</f>
        <v>Sìtáigōu Jiēdào</v>
      </c>
      <c r="C958" t="str">
        <f>IF(COUNTIF(B:B,B958)&gt;1,_xlfn.CONCAT(A958," (",M958,")"),B958)</f>
        <v>Sìtáigōu Jiēdào</v>
      </c>
      <c r="D958" t="s">
        <v>510</v>
      </c>
      <c r="E958" t="s">
        <v>31</v>
      </c>
      <c r="F958" t="str">
        <f>_xlfn.CONCAT(D958,", ",H958,", ",I958,", ","山西省")</f>
        <v>四台沟街道, 云冈区, 大同市, 山西省</v>
      </c>
      <c r="G958">
        <v>8813</v>
      </c>
      <c r="H958" t="s">
        <v>2902</v>
      </c>
      <c r="I958" t="s">
        <v>2894</v>
      </c>
      <c r="J958" t="e">
        <f>VLOOKUP(F958,[1]!china_towns_second__2[[Column1]:[Y]],3,FALSE)</f>
        <v>#N/A</v>
      </c>
      <c r="K958" t="e">
        <f>VLOOKUP(F958,[1]!china_towns_second__2[[Column1]:[Y]],2,FALSE)</f>
        <v>#N/A</v>
      </c>
      <c r="L958" t="s">
        <v>4532</v>
      </c>
      <c r="M958" t="str">
        <f>VLOOKUP(H958,CHOOSE({1,2},Table12[Native],Table12[Name]),2,0)</f>
        <v>Yúngāng Qū</v>
      </c>
      <c r="N958" s="13" t="str">
        <f>VLOOKUP(I958,CHOOSE({1,2},Table12[Native],Table12[Name]),2,0)</f>
        <v>Dàtóng Shì</v>
      </c>
      <c r="O958" s="13" t="str">
        <f t="shared" si="28"/>
        <v>Sitaigou Jiedao (Dàtóng Shì)</v>
      </c>
      <c r="P958" s="13" t="str">
        <f t="shared" si="29"/>
        <v>Sitaigou Jiedao (Dàtóng Shì)</v>
      </c>
    </row>
    <row r="959" spans="1:16" hidden="1" x14ac:dyDescent="0.25">
      <c r="A959" t="s">
        <v>745</v>
      </c>
      <c r="B959" t="str">
        <f>IF(COUNTIF(A:A,A959)&gt;1,_xlfn.CONCAT(A959," (",N959,")"),A959)</f>
        <v>Sìtóu Xiāng</v>
      </c>
      <c r="C959" t="str">
        <f>IF(COUNTIF(B:B,B959)&gt;1,_xlfn.CONCAT(A959," (",M959,")"),B959)</f>
        <v>Sìtóu Xiāng</v>
      </c>
      <c r="D959" t="s">
        <v>746</v>
      </c>
      <c r="E959" t="s">
        <v>17</v>
      </c>
      <c r="F959" t="str">
        <f>_xlfn.CONCAT(D959,", ",H959,", ",I959,", ","山西省")</f>
        <v>寺头乡, 阳城县, 晋城市, 山西省</v>
      </c>
      <c r="G959">
        <v>8786</v>
      </c>
      <c r="H959" t="s">
        <v>2911</v>
      </c>
      <c r="I959" t="s">
        <v>2906</v>
      </c>
      <c r="J959" t="e">
        <f>VLOOKUP(F959,[1]!china_towns_second__2[[Column1]:[Y]],3,FALSE)</f>
        <v>#N/A</v>
      </c>
      <c r="K959" t="e">
        <f>VLOOKUP(F959,[1]!china_towns_second__2[[Column1]:[Y]],2,FALSE)</f>
        <v>#N/A</v>
      </c>
      <c r="L959" t="s">
        <v>4533</v>
      </c>
      <c r="M959" t="str">
        <f>VLOOKUP(H959,CHOOSE({1,2},Table12[Native],Table12[Name]),2,0)</f>
        <v>Yángchéng Xiàn</v>
      </c>
      <c r="N959" s="13" t="str">
        <f>VLOOKUP(I959,CHOOSE({1,2},Table12[Native],Table12[Name]),2,0)</f>
        <v>Jìnchéng Shì</v>
      </c>
      <c r="O959" s="13" t="str">
        <f t="shared" si="28"/>
        <v>Sitou Xiang (Jìnchéng Shì)</v>
      </c>
      <c r="P959" s="13" t="str">
        <f t="shared" si="29"/>
        <v>Sitou Xiang (Jìnchéng Shì)</v>
      </c>
    </row>
    <row r="960" spans="1:16" hidden="1" x14ac:dyDescent="0.25">
      <c r="A960" t="s">
        <v>747</v>
      </c>
      <c r="B960" t="str">
        <f>IF(COUNTIF(A:A,A960)&gt;1,_xlfn.CONCAT(A960," (",N960,")"),A960)</f>
        <v>Sìzhuāng Zhèn</v>
      </c>
      <c r="C960" t="str">
        <f>IF(COUNTIF(B:B,B960)&gt;1,_xlfn.CONCAT(A960," (",M960,")"),B960)</f>
        <v>Sìzhuāng Zhèn</v>
      </c>
      <c r="D960" t="s">
        <v>748</v>
      </c>
      <c r="E960" t="s">
        <v>7</v>
      </c>
      <c r="F960" t="str">
        <f>_xlfn.CONCAT(D960,", ",H960,", ",I960,", ","山西省")</f>
        <v>寺庄镇, 高平市, 晋城市, 山西省</v>
      </c>
      <c r="G960">
        <v>42936</v>
      </c>
      <c r="H960" t="s">
        <v>2908</v>
      </c>
      <c r="I960" t="s">
        <v>2906</v>
      </c>
      <c r="J960">
        <f>VLOOKUP(F960,[1]!china_towns_second__2[[Column1]:[Y]],3,FALSE)</f>
        <v>35.909473487234301</v>
      </c>
      <c r="K960">
        <f>VLOOKUP(F960,[1]!china_towns_second__2[[Column1]:[Y]],2,FALSE)</f>
        <v>112.8297962</v>
      </c>
      <c r="L960" t="s">
        <v>4534</v>
      </c>
      <c r="M960" t="str">
        <f>VLOOKUP(H960,CHOOSE({1,2},Table12[Native],Table12[Name]),2,0)</f>
        <v>Gāopíng Shì</v>
      </c>
      <c r="N960" s="13" t="str">
        <f>VLOOKUP(I960,CHOOSE({1,2},Table12[Native],Table12[Name]),2,0)</f>
        <v>Jìnchéng Shì</v>
      </c>
      <c r="O960" s="13" t="str">
        <f t="shared" si="28"/>
        <v>Sizhuang Zhen (Jìnchéng Shì)</v>
      </c>
      <c r="P960" s="13" t="str">
        <f t="shared" si="29"/>
        <v>Sizhuang Zhen (Jìnchéng Shì)</v>
      </c>
    </row>
    <row r="961" spans="1:16" hidden="1" x14ac:dyDescent="0.25">
      <c r="A961" t="s">
        <v>233</v>
      </c>
      <c r="B961" t="str">
        <f>IF(COUNTIF(A:A,A961)&gt;1,_xlfn.CONCAT(A961," (",N961,")"),A961)</f>
        <v>Sòngcūn Xiāng</v>
      </c>
      <c r="C961" t="str">
        <f>IF(COUNTIF(B:B,B961)&gt;1,_xlfn.CONCAT(A961," (",M961,")"),B961)</f>
        <v>Sòngcūn Xiāng</v>
      </c>
      <c r="D961" t="s">
        <v>234</v>
      </c>
      <c r="E961" t="s">
        <v>17</v>
      </c>
      <c r="F961" t="str">
        <f>_xlfn.CONCAT(D961,", ",H961,", ",I961,", ","山西省")</f>
        <v>宋村乡, 长子县, 长治市, 山西省</v>
      </c>
      <c r="G961">
        <v>34376</v>
      </c>
      <c r="H961" t="s">
        <v>2880</v>
      </c>
      <c r="I961" t="s">
        <v>2878</v>
      </c>
      <c r="J961" t="e">
        <f>VLOOKUP(F961,[1]!china_towns_second__2[[Column1]:[Y]],3,FALSE)</f>
        <v>#N/A</v>
      </c>
      <c r="K961" t="e">
        <f>VLOOKUP(F961,[1]!china_towns_second__2[[Column1]:[Y]],2,FALSE)</f>
        <v>#N/A</v>
      </c>
      <c r="L961" t="s">
        <v>4535</v>
      </c>
      <c r="M961" t="str">
        <f>VLOOKUP(H961,CHOOSE({1,2},Table12[Native],Table12[Name]),2,0)</f>
        <v>Chángzi Xiàn</v>
      </c>
      <c r="N961" s="13" t="str">
        <f>VLOOKUP(I961,CHOOSE({1,2},Table12[Native],Table12[Name]),2,0)</f>
        <v>Chángzhì Shì</v>
      </c>
      <c r="O961" s="13" t="str">
        <f t="shared" si="28"/>
        <v>Songcun Xiang (Chángzhì Shì)</v>
      </c>
      <c r="P961" s="13" t="str">
        <f t="shared" si="29"/>
        <v>Songcun Xiang (Chángzi Xiàn)</v>
      </c>
    </row>
    <row r="962" spans="1:16" hidden="1" x14ac:dyDescent="0.25">
      <c r="A962" t="s">
        <v>235</v>
      </c>
      <c r="B962" t="str">
        <f>IF(COUNTIF(A:A,A962)&gt;1,_xlfn.CONCAT(A962," (",N962,")"),A962)</f>
        <v>Sōngcūn Xiāng</v>
      </c>
      <c r="C962" t="str">
        <f>IF(COUNTIF(B:B,B962)&gt;1,_xlfn.CONCAT(A962," (",M962,")"),B962)</f>
        <v>Sōngcūn Xiāng</v>
      </c>
      <c r="D962" t="s">
        <v>236</v>
      </c>
      <c r="E962" t="s">
        <v>17</v>
      </c>
      <c r="F962" t="str">
        <f>_xlfn.CONCAT(D962,", ",H962,", ",I962,", ","山西省")</f>
        <v>松村乡, 沁县, 长治市, 山西省</v>
      </c>
      <c r="G962">
        <v>10506</v>
      </c>
      <c r="H962" t="s">
        <v>2887</v>
      </c>
      <c r="I962" t="s">
        <v>2878</v>
      </c>
      <c r="J962" t="e">
        <f>VLOOKUP(F962,[1]!china_towns_second__2[[Column1]:[Y]],3,FALSE)</f>
        <v>#N/A</v>
      </c>
      <c r="K962" t="e">
        <f>VLOOKUP(F962,[1]!china_towns_second__2[[Column1]:[Y]],2,FALSE)</f>
        <v>#N/A</v>
      </c>
      <c r="L962" t="s">
        <v>4535</v>
      </c>
      <c r="M962" t="str">
        <f>VLOOKUP(H962,CHOOSE({1,2},Table12[Native],Table12[Name]),2,0)</f>
        <v>Qìn Xiàn</v>
      </c>
      <c r="N962" s="13" t="str">
        <f>VLOOKUP(I962,CHOOSE({1,2},Table12[Native],Table12[Name]),2,0)</f>
        <v>Chángzhì Shì</v>
      </c>
      <c r="O962" s="13" t="str">
        <f t="shared" ref="O962:O1025" si="30">_xlfn.CONCAT(L962," (",N962,")")</f>
        <v>Songcun Xiang (Chángzhì Shì)</v>
      </c>
      <c r="P962" s="13" t="str">
        <f t="shared" ref="P962:P1025" si="31">IF(COUNTIF(O:O,O962)&gt;1,_xlfn.CONCAT(L962," (",M962,")"),O962)</f>
        <v>Songcun Xiang (Qìn Xiàn)</v>
      </c>
    </row>
    <row r="963" spans="1:16" hidden="1" x14ac:dyDescent="0.25">
      <c r="A963" t="s">
        <v>972</v>
      </c>
      <c r="B963" t="str">
        <f>IF(COUNTIF(A:A,A963)&gt;1,_xlfn.CONCAT(A963," (",N963,")"),A963)</f>
        <v>Sònggŭ Xiāng</v>
      </c>
      <c r="C963" t="str">
        <f>IF(COUNTIF(B:B,B963)&gt;1,_xlfn.CONCAT(A963," (",M963,")"),B963)</f>
        <v>Sònggŭ Xiāng</v>
      </c>
      <c r="D963" t="s">
        <v>973</v>
      </c>
      <c r="E963" t="s">
        <v>17</v>
      </c>
      <c r="F963" t="str">
        <f>_xlfn.CONCAT(D963,", ",H963,", ",I963,", ","山西省")</f>
        <v>宋古乡, 介休市, 晋中市, 山西省</v>
      </c>
      <c r="G963">
        <v>36456</v>
      </c>
      <c r="H963" t="s">
        <v>2916</v>
      </c>
      <c r="I963" t="s">
        <v>2914</v>
      </c>
      <c r="J963" t="e">
        <f>VLOOKUP(F963,[1]!china_towns_second__2[[Column1]:[Y]],3,FALSE)</f>
        <v>#N/A</v>
      </c>
      <c r="K963" t="e">
        <f>VLOOKUP(F963,[1]!china_towns_second__2[[Column1]:[Y]],2,FALSE)</f>
        <v>#N/A</v>
      </c>
      <c r="L963" t="s">
        <v>4536</v>
      </c>
      <c r="M963" t="str">
        <f>VLOOKUP(H963,CHOOSE({1,2},Table12[Native],Table12[Name]),2,0)</f>
        <v>Jièxiū Shì</v>
      </c>
      <c r="N963" s="13" t="str">
        <f>VLOOKUP(I963,CHOOSE({1,2},Table12[Native],Table12[Name]),2,0)</f>
        <v>Jìnzhōng Shì</v>
      </c>
      <c r="O963" s="13" t="str">
        <f t="shared" si="30"/>
        <v>Songgu Xiang (Jìnzhōng Shì)</v>
      </c>
      <c r="P963" s="13" t="str">
        <f t="shared" si="31"/>
        <v>Songgu Xiang (Jìnzhōng Shì)</v>
      </c>
    </row>
    <row r="964" spans="1:16" hidden="1" x14ac:dyDescent="0.25">
      <c r="A964" t="s">
        <v>2356</v>
      </c>
      <c r="B964" t="str">
        <f>IF(COUNTIF(A:A,A964)&gt;1,_xlfn.CONCAT(A964," (",N964,")"),A964)</f>
        <v>Sòngjiāgōu Xiāng</v>
      </c>
      <c r="C964" t="str">
        <f>IF(COUNTIF(B:B,B964)&gt;1,_xlfn.CONCAT(A964," (",M964,")"),B964)</f>
        <v>Sòngjiāgōu Xiāng</v>
      </c>
      <c r="D964" t="s">
        <v>2357</v>
      </c>
      <c r="E964" t="s">
        <v>17</v>
      </c>
      <c r="F964" t="str">
        <f>_xlfn.CONCAT(D964,", ",H964,", ",I964,", ","山西省")</f>
        <v>宋家沟乡, 岢岚县, 忻州市, 山西省</v>
      </c>
      <c r="G964">
        <v>6049</v>
      </c>
      <c r="H964" t="s">
        <v>2988</v>
      </c>
      <c r="I964" t="s">
        <v>2981</v>
      </c>
      <c r="J964" t="e">
        <f>VLOOKUP(F964,[1]!china_towns_second__2[[Column1]:[Y]],3,FALSE)</f>
        <v>#N/A</v>
      </c>
      <c r="K964" t="e">
        <f>VLOOKUP(F964,[1]!china_towns_second__2[[Column1]:[Y]],2,FALSE)</f>
        <v>#N/A</v>
      </c>
      <c r="L964" t="s">
        <v>4537</v>
      </c>
      <c r="M964" t="str">
        <f>VLOOKUP(H964,CHOOSE({1,2},Table12[Native],Table12[Name]),2,0)</f>
        <v>Kĕlán Xiàn</v>
      </c>
      <c r="N964" s="13" t="str">
        <f>VLOOKUP(I964,CHOOSE({1,2},Table12[Native],Table12[Name]),2,0)</f>
        <v>Xīnzhōu Shì</v>
      </c>
      <c r="O964" s="13" t="str">
        <f t="shared" si="30"/>
        <v>Songjiagou Xiang (Xīnzhōu Shì)</v>
      </c>
      <c r="P964" s="13" t="str">
        <f t="shared" si="31"/>
        <v>Songjiagou Xiang (Xīnzhōu Shì)</v>
      </c>
    </row>
    <row r="965" spans="1:16" hidden="1" x14ac:dyDescent="0.25">
      <c r="A965" t="s">
        <v>974</v>
      </c>
      <c r="B965" t="str">
        <f>IF(COUNTIF(A:A,A965)&gt;1,_xlfn.CONCAT(A965," (",N965,")"),A965)</f>
        <v>Sōngtă Zhèn</v>
      </c>
      <c r="C965" t="str">
        <f>IF(COUNTIF(B:B,B965)&gt;1,_xlfn.CONCAT(A965," (",M965,")"),B965)</f>
        <v>Sōngtă Zhèn</v>
      </c>
      <c r="D965" t="s">
        <v>975</v>
      </c>
      <c r="E965" t="s">
        <v>7</v>
      </c>
      <c r="F965" t="str">
        <f>_xlfn.CONCAT(D965,", ",H965,", ",I965,", ","山西省")</f>
        <v>松塔镇, 寿阳县, 晋中市, 山西省</v>
      </c>
      <c r="G965">
        <v>7802</v>
      </c>
      <c r="H965" t="s">
        <v>2920</v>
      </c>
      <c r="I965" t="s">
        <v>2914</v>
      </c>
      <c r="J965">
        <f>VLOOKUP(F965,[1]!china_towns_second__2[[Column1]:[Y]],3,FALSE)</f>
        <v>37.661356399533503</v>
      </c>
      <c r="K965">
        <f>VLOOKUP(F965,[1]!china_towns_second__2[[Column1]:[Y]],2,FALSE)</f>
        <v>113.2884998</v>
      </c>
      <c r="L965" t="s">
        <v>4538</v>
      </c>
      <c r="M965" t="str">
        <f>VLOOKUP(H965,CHOOSE({1,2},Table12[Native],Table12[Name]),2,0)</f>
        <v>Shòuyáng Xiàn</v>
      </c>
      <c r="N965" s="13" t="str">
        <f>VLOOKUP(I965,CHOOSE({1,2},Table12[Native],Table12[Name]),2,0)</f>
        <v>Jìnzhōng Shì</v>
      </c>
      <c r="O965" s="13" t="str">
        <f t="shared" si="30"/>
        <v>Songta Zhen (Jìnzhōng Shì)</v>
      </c>
      <c r="P965" s="13" t="str">
        <f t="shared" si="31"/>
        <v>Songta Zhen (Jìnzhōng Shì)</v>
      </c>
    </row>
    <row r="966" spans="1:16" hidden="1" x14ac:dyDescent="0.25">
      <c r="A966" t="s">
        <v>976</v>
      </c>
      <c r="B966" t="str">
        <f>IF(COUNTIF(A:A,A966)&gt;1,_xlfn.CONCAT(A966," (",N966,")"),A966)</f>
        <v>Sōngyān Zhèn</v>
      </c>
      <c r="C966" t="str">
        <f>IF(COUNTIF(B:B,B966)&gt;1,_xlfn.CONCAT(A966," (",M966,")"),B966)</f>
        <v>Sōngyān Zhèn</v>
      </c>
      <c r="D966" t="s">
        <v>977</v>
      </c>
      <c r="E966" t="s">
        <v>7</v>
      </c>
      <c r="F966" t="str">
        <f>_xlfn.CONCAT(D966,", ",H966,", ",I966,", ","山西省")</f>
        <v>松烟镇, 和顺县, 晋中市, 山西省</v>
      </c>
      <c r="G966">
        <v>13521</v>
      </c>
      <c r="H966" t="s">
        <v>2915</v>
      </c>
      <c r="I966" t="s">
        <v>2914</v>
      </c>
      <c r="J966">
        <f>VLOOKUP(F966,[1]!china_towns_second__2[[Column1]:[Y]],3,FALSE)</f>
        <v>37.171044130617297</v>
      </c>
      <c r="K966">
        <f>VLOOKUP(F966,[1]!china_towns_second__2[[Column1]:[Y]],2,FALSE)</f>
        <v>113.7044635</v>
      </c>
      <c r="L966" t="s">
        <v>4539</v>
      </c>
      <c r="M966" t="str">
        <f>VLOOKUP(H966,CHOOSE({1,2},Table12[Native],Table12[Name]),2,0)</f>
        <v>Héshùn Xiàn</v>
      </c>
      <c r="N966" s="13" t="str">
        <f>VLOOKUP(I966,CHOOSE({1,2},Table12[Native],Table12[Name]),2,0)</f>
        <v>Jìnzhōng Shì</v>
      </c>
      <c r="O966" s="13" t="str">
        <f t="shared" si="30"/>
        <v>Songyan Zhen (Jìnzhōng Shì)</v>
      </c>
      <c r="P966" s="13" t="str">
        <f t="shared" si="31"/>
        <v>Songyan Zhen (Jìnzhōng Shì)</v>
      </c>
    </row>
    <row r="967" spans="1:16" hidden="1" x14ac:dyDescent="0.25">
      <c r="A967" t="s">
        <v>1289</v>
      </c>
      <c r="B967" t="str">
        <f>IF(COUNTIF(A:A,A967)&gt;1,_xlfn.CONCAT(A967," (",N967,")"),A967)</f>
        <v>Sūbăo Zhèn</v>
      </c>
      <c r="C967" t="str">
        <f>IF(COUNTIF(B:B,B967)&gt;1,_xlfn.CONCAT(A967," (",M967,")"),B967)</f>
        <v>Sūbăo Zhèn</v>
      </c>
      <c r="D967" t="s">
        <v>1290</v>
      </c>
      <c r="E967" t="s">
        <v>7</v>
      </c>
      <c r="F967" t="str">
        <f>_xlfn.CONCAT(D967,", ",H967,", ",I967,", ","山西省")</f>
        <v>苏堡镇, 洪洞县, 临汾市, 山西省</v>
      </c>
      <c r="G967">
        <v>27875</v>
      </c>
      <c r="H967" t="s">
        <v>2933</v>
      </c>
      <c r="I967" t="s">
        <v>2927</v>
      </c>
      <c r="J967">
        <f>VLOOKUP(F967,[1]!china_towns_second__2[[Column1]:[Y]],3,FALSE)</f>
        <v>36.252919613805602</v>
      </c>
      <c r="K967">
        <f>VLOOKUP(F967,[1]!china_towns_second__2[[Column1]:[Y]],2,FALSE)</f>
        <v>111.8186882</v>
      </c>
      <c r="L967" t="s">
        <v>4540</v>
      </c>
      <c r="M967" t="str">
        <f>VLOOKUP(H967,CHOOSE({1,2},Table12[Native],Table12[Name]),2,0)</f>
        <v>Hóngdòng Xiàn</v>
      </c>
      <c r="N967" s="13" t="str">
        <f>VLOOKUP(I967,CHOOSE({1,2},Table12[Native],Table12[Name]),2,0)</f>
        <v>Línfén Shì</v>
      </c>
      <c r="O967" s="13" t="str">
        <f t="shared" si="30"/>
        <v>Subao Zhen (Línfén Shì)</v>
      </c>
      <c r="P967" s="13" t="str">
        <f t="shared" si="31"/>
        <v>Subao Zhen (Línfén Shì)</v>
      </c>
    </row>
    <row r="968" spans="1:16" hidden="1" x14ac:dyDescent="0.25">
      <c r="A968" t="s">
        <v>978</v>
      </c>
      <c r="B968" t="str">
        <f>IF(COUNTIF(A:A,A968)&gt;1,_xlfn.CONCAT(A968," (",N968,")"),A968)</f>
        <v>Sùchéng Xiāng</v>
      </c>
      <c r="C968" t="str">
        <f>IF(COUNTIF(B:B,B968)&gt;1,_xlfn.CONCAT(A968," (",M968,")"),B968)</f>
        <v>Sùchéng Xiāng</v>
      </c>
      <c r="D968" t="s">
        <v>979</v>
      </c>
      <c r="E968" t="s">
        <v>17</v>
      </c>
      <c r="F968" t="str">
        <f>_xlfn.CONCAT(D968,", ",H968,", ",I968,", ","山西省")</f>
        <v>粟城乡, 左权县, 晋中市, 山西省</v>
      </c>
      <c r="G968">
        <v>8818</v>
      </c>
      <c r="H968" t="s">
        <v>2925</v>
      </c>
      <c r="I968" t="s">
        <v>2914</v>
      </c>
      <c r="J968" t="e">
        <f>VLOOKUP(F968,[1]!china_towns_second__2[[Column1]:[Y]],3,FALSE)</f>
        <v>#N/A</v>
      </c>
      <c r="K968" t="e">
        <f>VLOOKUP(F968,[1]!china_towns_second__2[[Column1]:[Y]],2,FALSE)</f>
        <v>#N/A</v>
      </c>
      <c r="L968" t="s">
        <v>4541</v>
      </c>
      <c r="M968" t="str">
        <f>VLOOKUP(H968,CHOOSE({1,2},Table12[Native],Table12[Name]),2,0)</f>
        <v>Zuǒquán Xiàn</v>
      </c>
      <c r="N968" s="13" t="str">
        <f>VLOOKUP(I968,CHOOSE({1,2},Table12[Native],Table12[Name]),2,0)</f>
        <v>Jìnzhōng Shì</v>
      </c>
      <c r="O968" s="13" t="str">
        <f t="shared" si="30"/>
        <v>Sucheng Xiang (Jìnzhōng Shì)</v>
      </c>
      <c r="P968" s="13" t="str">
        <f t="shared" si="31"/>
        <v>Sucheng Xiang (Jìnzhōng Shì)</v>
      </c>
    </row>
    <row r="969" spans="1:16" hidden="1" x14ac:dyDescent="0.25">
      <c r="A969" t="s">
        <v>237</v>
      </c>
      <c r="B969" t="str">
        <f>IF(COUNTIF(A:A,A969)&gt;1,_xlfn.CONCAT(A969," (",N969,")"),A969)</f>
        <v>Sūdiàn Zhèn</v>
      </c>
      <c r="C969" t="str">
        <f>IF(COUNTIF(B:B,B969)&gt;1,_xlfn.CONCAT(A969," (",M969,")"),B969)</f>
        <v>Sūdiàn Zhèn</v>
      </c>
      <c r="D969" t="s">
        <v>238</v>
      </c>
      <c r="E969" t="s">
        <v>7</v>
      </c>
      <c r="F969" t="str">
        <f>_xlfn.CONCAT(D969,", ",H969,", ",I969,", ","山西省")</f>
        <v>苏店镇, 上党区, 长治市, 山西省</v>
      </c>
      <c r="G969">
        <v>42732</v>
      </c>
      <c r="H969" t="s">
        <v>2889</v>
      </c>
      <c r="I969" t="s">
        <v>2878</v>
      </c>
      <c r="J969">
        <f>VLOOKUP(F969,[1]!china_towns_second__2[[Column1]:[Y]],3,FALSE)</f>
        <v>36.107470772534199</v>
      </c>
      <c r="K969">
        <f>VLOOKUP(F969,[1]!china_towns_second__2[[Column1]:[Y]],2,FALSE)</f>
        <v>113.07500899999999</v>
      </c>
      <c r="L969" t="s">
        <v>4542</v>
      </c>
      <c r="M969" t="str">
        <f>VLOOKUP(H969,CHOOSE({1,2},Table12[Native],Table12[Name]),2,0)</f>
        <v>Shàngdăng Qū</v>
      </c>
      <c r="N969" s="13" t="str">
        <f>VLOOKUP(I969,CHOOSE({1,2},Table12[Native],Table12[Name]),2,0)</f>
        <v>Chángzhì Shì</v>
      </c>
      <c r="O969" s="13" t="str">
        <f t="shared" si="30"/>
        <v>Sudian Zhen (Chángzhì Shì)</v>
      </c>
      <c r="P969" s="13" t="str">
        <f t="shared" si="31"/>
        <v>Sudian Zhen (Chángzhì Shì)</v>
      </c>
    </row>
    <row r="970" spans="1:16" hidden="1" x14ac:dyDescent="0.25">
      <c r="A970" t="s">
        <v>2358</v>
      </c>
      <c r="B970" t="str">
        <f>IF(COUNTIF(A:A,A970)&gt;1,_xlfn.CONCAT(A970," (",N970,")"),A970)</f>
        <v>Sūlóngkŏu Zhèn</v>
      </c>
      <c r="C970" t="str">
        <f>IF(COUNTIF(B:B,B970)&gt;1,_xlfn.CONCAT(A970," (",M970,")"),B970)</f>
        <v>Sūlóngkŏu Zhèn</v>
      </c>
      <c r="D970" t="s">
        <v>2359</v>
      </c>
      <c r="E970" t="s">
        <v>7</v>
      </c>
      <c r="F970" t="str">
        <f>_xlfn.CONCAT(D970,", ",H970,", ",I970,", ","山西省")</f>
        <v>苏龙口镇, 原平市, 忻州市, 山西省</v>
      </c>
      <c r="G970">
        <v>15347</v>
      </c>
      <c r="H970" t="s">
        <v>2995</v>
      </c>
      <c r="I970" t="s">
        <v>2981</v>
      </c>
      <c r="J970">
        <f>VLOOKUP(F970,[1]!china_towns_second__2[[Column1]:[Y]],3,FALSE)</f>
        <v>38.873461397783302</v>
      </c>
      <c r="K970">
        <f>VLOOKUP(F970,[1]!china_towns_second__2[[Column1]:[Y]],2,FALSE)</f>
        <v>112.90430430000001</v>
      </c>
      <c r="L970" t="s">
        <v>4543</v>
      </c>
      <c r="M970" t="str">
        <f>VLOOKUP(H970,CHOOSE({1,2},Table12[Native],Table12[Name]),2,0)</f>
        <v>Yuánpíng Shì</v>
      </c>
      <c r="N970" s="13" t="str">
        <f>VLOOKUP(I970,CHOOSE({1,2},Table12[Native],Table12[Name]),2,0)</f>
        <v>Xīnzhōu Shì</v>
      </c>
      <c r="O970" s="13" t="str">
        <f t="shared" si="30"/>
        <v>Sulongkou Zhen (Xīnzhōu Shì)</v>
      </c>
      <c r="P970" s="13" t="str">
        <f t="shared" si="31"/>
        <v>Sulongkou Zhen (Xīnzhōu Shì)</v>
      </c>
    </row>
    <row r="971" spans="1:16" hidden="1" x14ac:dyDescent="0.25">
      <c r="A971" t="s">
        <v>2792</v>
      </c>
      <c r="B971" t="str">
        <f>IF(COUNTIF(A:A,A971)&gt;1,_xlfn.CONCAT(A971," (",N971,")"),A971)</f>
        <v>Sūnjí Zhèn</v>
      </c>
      <c r="C971" t="str">
        <f>IF(COUNTIF(B:B,B971)&gt;1,_xlfn.CONCAT(A971," (",M971,")"),B971)</f>
        <v>Sūnjí Zhèn</v>
      </c>
      <c r="D971" t="s">
        <v>2793</v>
      </c>
      <c r="E971" t="s">
        <v>7</v>
      </c>
      <c r="F971" t="str">
        <f>_xlfn.CONCAT(D971,", ",H971,", ",I971,", ","山西省")</f>
        <v>孙吉镇, 临猗县, 运城市, 山西省</v>
      </c>
      <c r="G971">
        <v>54976</v>
      </c>
      <c r="H971" t="s">
        <v>3007</v>
      </c>
      <c r="I971" t="s">
        <v>3003</v>
      </c>
      <c r="J971">
        <f>VLOOKUP(F971,[1]!china_towns_second__2[[Column1]:[Y]],3,FALSE)</f>
        <v>35.235326642522601</v>
      </c>
      <c r="K971">
        <f>VLOOKUP(F971,[1]!china_towns_second__2[[Column1]:[Y]],2,FALSE)</f>
        <v>110.4508721</v>
      </c>
      <c r="L971" t="s">
        <v>4544</v>
      </c>
      <c r="M971" t="str">
        <f>VLOOKUP(H971,CHOOSE({1,2},Table12[Native],Table12[Name]),2,0)</f>
        <v>Línyī Xiàn</v>
      </c>
      <c r="N971" s="13" t="str">
        <f>VLOOKUP(I971,CHOOSE({1,2},Table12[Native],Table12[Name]),2,0)</f>
        <v>Yùnchéng Shì</v>
      </c>
      <c r="O971" s="13" t="str">
        <f t="shared" si="30"/>
        <v>Sunji Zhen (Yùnchéng Shì)</v>
      </c>
      <c r="P971" s="13" t="str">
        <f t="shared" si="31"/>
        <v>Sunji Zhen (Yùnchéng Shì)</v>
      </c>
    </row>
    <row r="972" spans="1:16" hidden="1" x14ac:dyDescent="0.25">
      <c r="A972" t="s">
        <v>2360</v>
      </c>
      <c r="B972" t="str">
        <f>IF(COUNTIF(A:A,A972)&gt;1,_xlfn.CONCAT(A972," (",N972,")"),A972)</f>
        <v>Sūnjiāgōu Xiāng</v>
      </c>
      <c r="C972" t="str">
        <f>IF(COUNTIF(B:B,B972)&gt;1,_xlfn.CONCAT(A972," (",M972,")"),B972)</f>
        <v>Sūnjiāgōu Xiāng</v>
      </c>
      <c r="D972" t="s">
        <v>2361</v>
      </c>
      <c r="E972" t="s">
        <v>17</v>
      </c>
      <c r="F972" t="str">
        <f>_xlfn.CONCAT(D972,", ",H972,", ",I972,", ","山西省")</f>
        <v>孙家沟乡, 保德县, 忻州市, 山西省</v>
      </c>
      <c r="G972">
        <v>7550</v>
      </c>
      <c r="H972" t="s">
        <v>2982</v>
      </c>
      <c r="I972" t="s">
        <v>2981</v>
      </c>
      <c r="J972" t="e">
        <f>VLOOKUP(F972,[1]!china_towns_second__2[[Column1]:[Y]],3,FALSE)</f>
        <v>#N/A</v>
      </c>
      <c r="K972" t="e">
        <f>VLOOKUP(F972,[1]!china_towns_second__2[[Column1]:[Y]],2,FALSE)</f>
        <v>#N/A</v>
      </c>
      <c r="L972" t="s">
        <v>4545</v>
      </c>
      <c r="M972" t="str">
        <f>VLOOKUP(H972,CHOOSE({1,2},Table12[Native],Table12[Name]),2,0)</f>
        <v>Băodé Xiàn</v>
      </c>
      <c r="N972" s="13" t="str">
        <f>VLOOKUP(I972,CHOOSE({1,2},Table12[Native],Table12[Name]),2,0)</f>
        <v>Xīnzhōu Shì</v>
      </c>
      <c r="O972" s="13" t="str">
        <f t="shared" si="30"/>
        <v>Sunjiagou Xiang (Xīnzhōu Shì)</v>
      </c>
      <c r="P972" s="13" t="str">
        <f t="shared" si="31"/>
        <v>Sunjiagou Xiang (Xīnzhōu Shì)</v>
      </c>
    </row>
    <row r="973" spans="1:16" hidden="1" x14ac:dyDescent="0.25">
      <c r="A973" t="s">
        <v>2362</v>
      </c>
      <c r="B973" t="str">
        <f>IF(COUNTIF(A:A,A973)&gt;1,_xlfn.CONCAT(A973," (",N973,")"),A973)</f>
        <v>Sūnjiāpíng Xiāng</v>
      </c>
      <c r="C973" t="str">
        <f>IF(COUNTIF(B:B,B973)&gt;1,_xlfn.CONCAT(A973," (",M973,")"),B973)</f>
        <v>Sūnjiāpíng Xiāng</v>
      </c>
      <c r="D973" t="s">
        <v>2363</v>
      </c>
      <c r="E973" t="s">
        <v>17</v>
      </c>
      <c r="F973" t="str">
        <f>_xlfn.CONCAT(D973,", ",H973,", ",I973,", ","山西省")</f>
        <v>孙家坪乡, 五寨县, 忻州市, 山西省</v>
      </c>
      <c r="G973">
        <v>4392</v>
      </c>
      <c r="H973" t="s">
        <v>2993</v>
      </c>
      <c r="I973" t="s">
        <v>2981</v>
      </c>
      <c r="J973" t="e">
        <f>VLOOKUP(F973,[1]!china_towns_second__2[[Column1]:[Y]],3,FALSE)</f>
        <v>#N/A</v>
      </c>
      <c r="K973" t="e">
        <f>VLOOKUP(F973,[1]!china_towns_second__2[[Column1]:[Y]],2,FALSE)</f>
        <v>#N/A</v>
      </c>
      <c r="L973" t="s">
        <v>4546</v>
      </c>
      <c r="M973" t="str">
        <f>VLOOKUP(H973,CHOOSE({1,2},Table12[Native],Table12[Name]),2,0)</f>
        <v>Wŭzhài Xiàn</v>
      </c>
      <c r="N973" s="13" t="str">
        <f>VLOOKUP(I973,CHOOSE({1,2},Table12[Native],Table12[Name]),2,0)</f>
        <v>Xīnzhōu Shì</v>
      </c>
      <c r="O973" s="13" t="str">
        <f t="shared" si="30"/>
        <v>Sunjiaping Xiang (Xīnzhōu Shì)</v>
      </c>
      <c r="P973" s="13" t="str">
        <f t="shared" si="31"/>
        <v>Sunjiaping Xiang (Xīnzhōu Shì)</v>
      </c>
    </row>
    <row r="974" spans="1:16" hidden="1" x14ac:dyDescent="0.25">
      <c r="A974" t="s">
        <v>2550</v>
      </c>
      <c r="B974" t="str">
        <f>IF(COUNTIF(A:A,A974)&gt;1,_xlfn.CONCAT(A974," (",N974,")"),A974)</f>
        <v>Sūnjiāzhuāng Zhèn</v>
      </c>
      <c r="C974" t="str">
        <f>IF(COUNTIF(B:B,B974)&gt;1,_xlfn.CONCAT(A974," (",M974,")"),B974)</f>
        <v>Sūnjiāzhuāng Zhèn</v>
      </c>
      <c r="D974" t="s">
        <v>2551</v>
      </c>
      <c r="E974" t="s">
        <v>7</v>
      </c>
      <c r="F974" t="str">
        <f>_xlfn.CONCAT(D974,", ",H974,", ",I974,", ","山西省")</f>
        <v>孙家庄镇, 盂县, 阳泉市, 山西省</v>
      </c>
      <c r="G974">
        <v>26898</v>
      </c>
      <c r="H974" t="s">
        <v>3001</v>
      </c>
      <c r="I974" t="s">
        <v>2997</v>
      </c>
      <c r="J974">
        <f>VLOOKUP(F974,[1]!china_towns_second__2[[Column1]:[Y]],3,FALSE)</f>
        <v>38.1468740627801</v>
      </c>
      <c r="K974">
        <f>VLOOKUP(F974,[1]!china_towns_second__2[[Column1]:[Y]],2,FALSE)</f>
        <v>113.4594689</v>
      </c>
      <c r="L974" t="s">
        <v>4547</v>
      </c>
      <c r="M974" t="str">
        <f>VLOOKUP(H974,CHOOSE({1,2},Table12[Native],Table12[Name]),2,0)</f>
        <v>Yú Xiàn</v>
      </c>
      <c r="N974" s="13" t="str">
        <f>VLOOKUP(I974,CHOOSE({1,2},Table12[Native],Table12[Name]),2,0)</f>
        <v>Yángquán Shì</v>
      </c>
      <c r="O974" s="13" t="str">
        <f t="shared" si="30"/>
        <v>Sunjiazhuang Zhen (Yángquán Shì)</v>
      </c>
      <c r="P974" s="13" t="str">
        <f t="shared" si="31"/>
        <v>Sunjiazhuang Zhen (Yángquán Shì)</v>
      </c>
    </row>
    <row r="975" spans="1:16" hidden="1" x14ac:dyDescent="0.25">
      <c r="A975" t="s">
        <v>2552</v>
      </c>
      <c r="B975" t="str">
        <f>IF(COUNTIF(A:A,A975)&gt;1,_xlfn.CONCAT(A975," (",N975,")"),A975)</f>
        <v>Suŏhuáng Zhèn</v>
      </c>
      <c r="C975" t="str">
        <f>IF(COUNTIF(B:B,B975)&gt;1,_xlfn.CONCAT(A975," (",M975,")"),B975)</f>
        <v>Suŏhuáng Zhèn</v>
      </c>
      <c r="D975" t="s">
        <v>2553</v>
      </c>
      <c r="E975" t="s">
        <v>7</v>
      </c>
      <c r="F975" t="str">
        <f>_xlfn.CONCAT(D975,", ",H975,", ",I975,", ","山西省")</f>
        <v>锁簧镇, 平定县, 阳泉市, 山西省</v>
      </c>
      <c r="G975">
        <v>31978</v>
      </c>
      <c r="H975" t="s">
        <v>3000</v>
      </c>
      <c r="I975" t="s">
        <v>2997</v>
      </c>
      <c r="J975">
        <f>VLOOKUP(F975,[1]!china_towns_second__2[[Column1]:[Y]],3,FALSE)</f>
        <v>37.737771786685499</v>
      </c>
      <c r="K975">
        <f>VLOOKUP(F975,[1]!china_towns_second__2[[Column1]:[Y]],2,FALSE)</f>
        <v>113.68104750000001</v>
      </c>
      <c r="L975" t="s">
        <v>4548</v>
      </c>
      <c r="M975" t="str">
        <f>VLOOKUP(H975,CHOOSE({1,2},Table12[Native],Table12[Name]),2,0)</f>
        <v>Píngdìng Xiàn</v>
      </c>
      <c r="N975" s="13" t="str">
        <f>VLOOKUP(I975,CHOOSE({1,2},Table12[Native],Table12[Name]),2,0)</f>
        <v>Yángquán Shì</v>
      </c>
      <c r="O975" s="13" t="str">
        <f t="shared" si="30"/>
        <v>Suohuang Zhen (Yángquán Shì)</v>
      </c>
      <c r="P975" s="13" t="str">
        <f t="shared" si="31"/>
        <v>Suohuang Zhen (Yángquán Shì)</v>
      </c>
    </row>
    <row r="976" spans="1:16" hidden="1" x14ac:dyDescent="0.25">
      <c r="A976" t="s">
        <v>2364</v>
      </c>
      <c r="B976" t="str">
        <f>IF(COUNTIF(A:A,A976)&gt;1,_xlfn.CONCAT(A976," (",N976,")"),A976)</f>
        <v>Suōpó Xiāng</v>
      </c>
      <c r="C976" t="str">
        <f>IF(COUNTIF(B:B,B976)&gt;1,_xlfn.CONCAT(A976," (",M976,")"),B976)</f>
        <v>Suōpó Xiāng</v>
      </c>
      <c r="D976" t="s">
        <v>2365</v>
      </c>
      <c r="E976" t="s">
        <v>17</v>
      </c>
      <c r="F976" t="str">
        <f>_xlfn.CONCAT(D976,", ",H976,", ",I976,", ","山西省")</f>
        <v>娑婆乡, 静乐县, 忻州市, 山西省</v>
      </c>
      <c r="G976">
        <v>5633</v>
      </c>
      <c r="H976" t="s">
        <v>2987</v>
      </c>
      <c r="I976" t="s">
        <v>2981</v>
      </c>
      <c r="J976" t="e">
        <f>VLOOKUP(F976,[1]!china_towns_second__2[[Column1]:[Y]],3,FALSE)</f>
        <v>#N/A</v>
      </c>
      <c r="K976" t="e">
        <f>VLOOKUP(F976,[1]!china_towns_second__2[[Column1]:[Y]],2,FALSE)</f>
        <v>#N/A</v>
      </c>
      <c r="L976" t="s">
        <v>4549</v>
      </c>
      <c r="M976" t="str">
        <f>VLOOKUP(H976,CHOOSE({1,2},Table12[Native],Table12[Name]),2,0)</f>
        <v>Jìnglè Xiàn</v>
      </c>
      <c r="N976" s="13" t="str">
        <f>VLOOKUP(I976,CHOOSE({1,2},Table12[Native],Table12[Name]),2,0)</f>
        <v>Xīnzhōu Shì</v>
      </c>
      <c r="O976" s="13" t="str">
        <f t="shared" si="30"/>
        <v>Suopo Xiang (Xīnzhōu Shì)</v>
      </c>
      <c r="P976" s="13" t="str">
        <f t="shared" si="31"/>
        <v>Suopo Xiang (Xīnzhōu Shì)</v>
      </c>
    </row>
    <row r="977" spans="1:16" hidden="1" x14ac:dyDescent="0.25">
      <c r="A977" t="s">
        <v>2024</v>
      </c>
      <c r="B977" t="str">
        <f>IF(COUNTIF(A:A,A977)&gt;1,_xlfn.CONCAT(A977," (",N977,")"),A977)</f>
        <v>Suōyù Xiāng</v>
      </c>
      <c r="C977" t="str">
        <f>IF(COUNTIF(B:B,B977)&gt;1,_xlfn.CONCAT(A977," (",M977,")"),B977)</f>
        <v>Suōyù Xiāng</v>
      </c>
      <c r="D977" t="s">
        <v>2025</v>
      </c>
      <c r="E977" t="s">
        <v>17</v>
      </c>
      <c r="F977" t="str">
        <f>_xlfn.CONCAT(D977,", ",H977,", ",I977,", ","山西省")</f>
        <v>梭峪乡, 古交市, 太原市, 山西省</v>
      </c>
      <c r="G977">
        <v>16521</v>
      </c>
      <c r="H977" t="s">
        <v>2970</v>
      </c>
      <c r="I977" t="s">
        <v>2969</v>
      </c>
      <c r="J977" t="e">
        <f>VLOOKUP(F977,[1]!china_towns_second__2[[Column1]:[Y]],3,FALSE)</f>
        <v>#N/A</v>
      </c>
      <c r="K977" t="e">
        <f>VLOOKUP(F977,[1]!china_towns_second__2[[Column1]:[Y]],2,FALSE)</f>
        <v>#N/A</v>
      </c>
      <c r="L977" t="s">
        <v>4550</v>
      </c>
      <c r="M977" t="str">
        <f>VLOOKUP(H977,CHOOSE({1,2},Table12[Native],Table12[Name]),2,0)</f>
        <v>Gŭjiāo Shì</v>
      </c>
      <c r="N977" s="13" t="str">
        <f>VLOOKUP(I977,CHOOSE({1,2},Table12[Native],Table12[Name]),2,0)</f>
        <v>Tàiyuán Shì</v>
      </c>
      <c r="O977" s="13" t="str">
        <f t="shared" si="30"/>
        <v>Suoyu Xiang (Tàiyuán Shì)</v>
      </c>
      <c r="P977" s="13" t="str">
        <f t="shared" si="31"/>
        <v>Suoyu Xiang (Tàiyuán Shì)</v>
      </c>
    </row>
    <row r="978" spans="1:16" hidden="1" x14ac:dyDescent="0.25">
      <c r="A978" t="s">
        <v>749</v>
      </c>
      <c r="B978" t="str">
        <f>IF(COUNTIF(A:A,A978)&gt;1,_xlfn.CONCAT(A978," (",N978,")"),A978)</f>
        <v>Sūzhuāng Xiāng</v>
      </c>
      <c r="C978" t="str">
        <f>IF(COUNTIF(B:B,B978)&gt;1,_xlfn.CONCAT(A978," (",M978,")"),B978)</f>
        <v>Sūzhuāng Xiāng</v>
      </c>
      <c r="D978" t="s">
        <v>750</v>
      </c>
      <c r="E978" t="s">
        <v>17</v>
      </c>
      <c r="F978" t="str">
        <f>_xlfn.CONCAT(D978,", ",H978,", ",I978,", ","山西省")</f>
        <v>苏庄乡, 沁水县, 晋城市, 山西省</v>
      </c>
      <c r="G978">
        <v>1421</v>
      </c>
      <c r="H978" t="s">
        <v>2910</v>
      </c>
      <c r="I978" t="s">
        <v>2906</v>
      </c>
      <c r="J978" t="e">
        <f>VLOOKUP(F978,[1]!china_towns_second__2[[Column1]:[Y]],3,FALSE)</f>
        <v>#N/A</v>
      </c>
      <c r="K978" t="e">
        <f>VLOOKUP(F978,[1]!china_towns_second__2[[Column1]:[Y]],2,FALSE)</f>
        <v>#N/A</v>
      </c>
      <c r="L978" t="s">
        <v>4551</v>
      </c>
      <c r="M978" t="str">
        <f>VLOOKUP(H978,CHOOSE({1,2},Table12[Native],Table12[Name]),2,0)</f>
        <v>Qìnshuǐ Xiàn</v>
      </c>
      <c r="N978" s="13" t="str">
        <f>VLOOKUP(I978,CHOOSE({1,2},Table12[Native],Table12[Name]),2,0)</f>
        <v>Jìnchéng Shì</v>
      </c>
      <c r="O978" s="13" t="str">
        <f t="shared" si="30"/>
        <v>Suzhuang Xiang (Jìnchéng Shì)</v>
      </c>
      <c r="P978" s="13" t="str">
        <f t="shared" si="31"/>
        <v>Suzhuang Xiang (Jìnchéng Shì)</v>
      </c>
    </row>
    <row r="979" spans="1:16" hidden="1" x14ac:dyDescent="0.25">
      <c r="A979" t="s">
        <v>2366</v>
      </c>
      <c r="B979" t="str">
        <f>IF(COUNTIF(A:A,A979)&gt;1,_xlfn.CONCAT(A979," (",N979,")"),A979)</f>
        <v>Táichéng Zhèn</v>
      </c>
      <c r="C979" t="str">
        <f>IF(COUNTIF(B:B,B979)&gt;1,_xlfn.CONCAT(A979," (",M979,")"),B979)</f>
        <v>Táichéng Zhèn</v>
      </c>
      <c r="D979" t="s">
        <v>2367</v>
      </c>
      <c r="E979" t="s">
        <v>7</v>
      </c>
      <c r="F979" t="str">
        <f>_xlfn.CONCAT(D979,", ",H979,", ",I979,", ","山西省")</f>
        <v>台城镇, 五台县, 忻州市, 山西省</v>
      </c>
      <c r="G979">
        <v>40145</v>
      </c>
      <c r="H979" t="s">
        <v>2992</v>
      </c>
      <c r="I979" t="s">
        <v>2981</v>
      </c>
      <c r="J979">
        <f>VLOOKUP(F979,[1]!china_towns_second__2[[Column1]:[Y]],3,FALSE)</f>
        <v>38.7413324506349</v>
      </c>
      <c r="K979">
        <f>VLOOKUP(F979,[1]!china_towns_second__2[[Column1]:[Y]],2,FALSE)</f>
        <v>113.2058937</v>
      </c>
      <c r="L979" t="s">
        <v>4552</v>
      </c>
      <c r="M979" t="str">
        <f>VLOOKUP(H979,CHOOSE({1,2},Table12[Native],Table12[Name]),2,0)</f>
        <v>Wŭtái Xiàn</v>
      </c>
      <c r="N979" s="13" t="str">
        <f>VLOOKUP(I979,CHOOSE({1,2},Table12[Native],Table12[Name]),2,0)</f>
        <v>Xīnzhōu Shì</v>
      </c>
      <c r="O979" s="13" t="str">
        <f t="shared" si="30"/>
        <v>Taicheng Zhen (Xīnzhōu Shì)</v>
      </c>
      <c r="P979" s="13" t="str">
        <f t="shared" si="31"/>
        <v>Taicheng Zhen (Xīnzhōu Shì)</v>
      </c>
    </row>
    <row r="980" spans="1:16" hidden="1" x14ac:dyDescent="0.25">
      <c r="A980" t="s">
        <v>1291</v>
      </c>
      <c r="B980" t="str">
        <f>IF(COUNTIF(A:A,A980)&gt;1,_xlfn.CONCAT(A980," (",N980,")"),A980)</f>
        <v>Tàidé Xiāng</v>
      </c>
      <c r="C980" t="str">
        <f>IF(COUNTIF(B:B,B980)&gt;1,_xlfn.CONCAT(A980," (",M980,")"),B980)</f>
        <v>Tàidé Xiāng</v>
      </c>
      <c r="D980" t="s">
        <v>1292</v>
      </c>
      <c r="E980" t="s">
        <v>17</v>
      </c>
      <c r="F980" t="str">
        <f>_xlfn.CONCAT(D980,", ",H980,", ",I980,", ","山西省")</f>
        <v>太德乡, 大宁县, 临汾市, 山西省</v>
      </c>
      <c r="G980">
        <v>3940</v>
      </c>
      <c r="H980" t="s">
        <v>2929</v>
      </c>
      <c r="I980" t="s">
        <v>2927</v>
      </c>
      <c r="J980" t="e">
        <f>VLOOKUP(F980,[1]!china_towns_second__2[[Column1]:[Y]],3,FALSE)</f>
        <v>#N/A</v>
      </c>
      <c r="K980" t="e">
        <f>VLOOKUP(F980,[1]!china_towns_second__2[[Column1]:[Y]],2,FALSE)</f>
        <v>#N/A</v>
      </c>
      <c r="L980" t="s">
        <v>4553</v>
      </c>
      <c r="M980" t="str">
        <f>VLOOKUP(H980,CHOOSE({1,2},Table12[Native],Table12[Name]),2,0)</f>
        <v>Dàníng Xiàn</v>
      </c>
      <c r="N980" s="13" t="str">
        <f>VLOOKUP(I980,CHOOSE({1,2},Table12[Native],Table12[Name]),2,0)</f>
        <v>Línfén Shì</v>
      </c>
      <c r="O980" s="13" t="str">
        <f t="shared" si="30"/>
        <v>Taide Xiang (Línfén Shì)</v>
      </c>
      <c r="P980" s="13" t="str">
        <f t="shared" si="31"/>
        <v>Taide Xiang (Línfén Shì)</v>
      </c>
    </row>
    <row r="981" spans="1:16" hidden="1" x14ac:dyDescent="0.25">
      <c r="A981" t="s">
        <v>1293</v>
      </c>
      <c r="B981" t="str">
        <f>IF(COUNTIF(A:A,A981)&gt;1,_xlfn.CONCAT(A981," (",N981,")"),A981)</f>
        <v>Tàigŭ Xiāng</v>
      </c>
      <c r="C981" t="str">
        <f>IF(COUNTIF(B:B,B981)&gt;1,_xlfn.CONCAT(A981," (",M981,")"),B981)</f>
        <v>Tàigŭ Xiāng</v>
      </c>
      <c r="D981" t="s">
        <v>1294</v>
      </c>
      <c r="E981" t="s">
        <v>17</v>
      </c>
      <c r="F981" t="str">
        <f>_xlfn.CONCAT(D981,", ",H981,", ",I981,", ","山西省")</f>
        <v>太古乡, 大宁县, 临汾市, 山西省</v>
      </c>
      <c r="G981">
        <v>3838</v>
      </c>
      <c r="H981" t="s">
        <v>2929</v>
      </c>
      <c r="I981" t="s">
        <v>2927</v>
      </c>
      <c r="J981" t="e">
        <f>VLOOKUP(F981,[1]!china_towns_second__2[[Column1]:[Y]],3,FALSE)</f>
        <v>#N/A</v>
      </c>
      <c r="K981" t="e">
        <f>VLOOKUP(F981,[1]!china_towns_second__2[[Column1]:[Y]],2,FALSE)</f>
        <v>#N/A</v>
      </c>
      <c r="L981" t="s">
        <v>4554</v>
      </c>
      <c r="M981" t="str">
        <f>VLOOKUP(H981,CHOOSE({1,2},Table12[Native],Table12[Name]),2,0)</f>
        <v>Dàníng Xiàn</v>
      </c>
      <c r="N981" s="13" t="str">
        <f>VLOOKUP(I981,CHOOSE({1,2},Table12[Native],Table12[Name]),2,0)</f>
        <v>Línfén Shì</v>
      </c>
      <c r="O981" s="13" t="str">
        <f t="shared" si="30"/>
        <v>Taigu Xiang (Línfén Shì)</v>
      </c>
      <c r="P981" s="13" t="str">
        <f t="shared" si="31"/>
        <v>Taigu Xiang (Línfén Shì)</v>
      </c>
    </row>
    <row r="982" spans="1:16" hidden="1" x14ac:dyDescent="0.25">
      <c r="A982" t="s">
        <v>1630</v>
      </c>
      <c r="B982" t="str">
        <f>IF(COUNTIF(A:A,A982)&gt;1,_xlfn.CONCAT(A982," (",N982,")"),A982)</f>
        <v>Tàihéqiáo Jiēdào</v>
      </c>
      <c r="C982" t="str">
        <f>IF(COUNTIF(B:B,B982)&gt;1,_xlfn.CONCAT(A982," (",M982,")"),B982)</f>
        <v>Tàihéqiáo Jiēdào</v>
      </c>
      <c r="D982" t="s">
        <v>1631</v>
      </c>
      <c r="E982" t="s">
        <v>31</v>
      </c>
      <c r="F982" t="str">
        <f>_xlfn.CONCAT(D982,", ",H982,", ",I982,", ","山西省")</f>
        <v>太和桥街道, 汾阳市, 吕梁市, 山西省</v>
      </c>
      <c r="G982">
        <v>39867</v>
      </c>
      <c r="H982" t="s">
        <v>2948</v>
      </c>
      <c r="I982" t="s">
        <v>2946</v>
      </c>
      <c r="J982">
        <f>VLOOKUP(F982,[1]!china_towns_second__2[[Column1]:[Y]],3,FALSE)</f>
        <v>37.266576390265897</v>
      </c>
      <c r="K982">
        <f>VLOOKUP(F982,[1]!china_towns_second__2[[Column1]:[Y]],2,FALSE)</f>
        <v>111.78101049999999</v>
      </c>
      <c r="L982" t="s">
        <v>4555</v>
      </c>
      <c r="M982" t="str">
        <f>VLOOKUP(H982,CHOOSE({1,2},Table12[Native],Table12[Name]),2,0)</f>
        <v>Fényáng Shì</v>
      </c>
      <c r="N982" s="13" t="str">
        <f>VLOOKUP(I982,CHOOSE({1,2},Table12[Native],Table12[Name]),2,0)</f>
        <v>Lǚliáng Shì</v>
      </c>
      <c r="O982" s="13" t="str">
        <f t="shared" si="30"/>
        <v>Taiheqiao Jiedao (Lǚliáng Shì)</v>
      </c>
      <c r="P982" s="13" t="str">
        <f t="shared" si="31"/>
        <v>Taiheqiao Jiedao (Lǚliáng Shì)</v>
      </c>
    </row>
    <row r="983" spans="1:16" hidden="1" x14ac:dyDescent="0.25">
      <c r="A983" t="s">
        <v>2368</v>
      </c>
      <c r="B983" t="str">
        <f>IF(COUNTIF(A:A,A983)&gt;1,_xlfn.CONCAT(A983," (",N983,")"),A983)</f>
        <v>Táihuái Zhèn</v>
      </c>
      <c r="C983" t="str">
        <f>IF(COUNTIF(B:B,B983)&gt;1,_xlfn.CONCAT(A983," (",M983,")"),B983)</f>
        <v>Táihuái Zhèn</v>
      </c>
      <c r="D983" t="s">
        <v>2369</v>
      </c>
      <c r="E983" t="s">
        <v>7</v>
      </c>
      <c r="F983" t="str">
        <f>_xlfn.CONCAT(D983,", ",H983,", ",I983,", ","山西省")</f>
        <v>台怀镇, 五台县, 忻州市, 山西省</v>
      </c>
      <c r="G983">
        <v>11814</v>
      </c>
      <c r="H983" t="s">
        <v>2992</v>
      </c>
      <c r="I983" t="s">
        <v>2981</v>
      </c>
      <c r="J983">
        <f>VLOOKUP(F983,[1]!china_towns_second__2[[Column1]:[Y]],3,FALSE)</f>
        <v>38.992550945215498</v>
      </c>
      <c r="K983">
        <f>VLOOKUP(F983,[1]!china_towns_second__2[[Column1]:[Y]],2,FALSE)</f>
        <v>113.579503</v>
      </c>
      <c r="L983" t="s">
        <v>4556</v>
      </c>
      <c r="M983" t="str">
        <f>VLOOKUP(H983,CHOOSE({1,2},Table12[Native],Table12[Name]),2,0)</f>
        <v>Wŭtái Xiàn</v>
      </c>
      <c r="N983" s="13" t="str">
        <f>VLOOKUP(I983,CHOOSE({1,2},Table12[Native],Table12[Name]),2,0)</f>
        <v>Xīnzhōu Shì</v>
      </c>
      <c r="O983" s="13" t="str">
        <f t="shared" si="30"/>
        <v>Taihuai Zhen (Xīnzhōu Shì)</v>
      </c>
      <c r="P983" s="13" t="str">
        <f t="shared" si="31"/>
        <v>Taihuai Zhen (Xīnzhōu Shì)</v>
      </c>
    </row>
    <row r="984" spans="1:16" hidden="1" x14ac:dyDescent="0.25">
      <c r="A984" t="s">
        <v>1295</v>
      </c>
      <c r="B984" t="str">
        <f>IF(COUNTIF(A:A,A984)&gt;1,_xlfn.CONCAT(A984," (",N984,")"),A984)</f>
        <v>Tàilín Xiāng</v>
      </c>
      <c r="C984" t="str">
        <f>IF(COUNTIF(B:B,B984)&gt;1,_xlfn.CONCAT(A984," (",M984,")"),B984)</f>
        <v>Tàilín Xiāng</v>
      </c>
      <c r="D984" t="s">
        <v>1296</v>
      </c>
      <c r="E984" t="s">
        <v>17</v>
      </c>
      <c r="F984" t="str">
        <f>_xlfn.CONCAT(D984,", ",H984,", ",I984,", ","山西省")</f>
        <v>太林乡, 蒲县, 临汾市, 山西省</v>
      </c>
      <c r="G984">
        <v>9019</v>
      </c>
      <c r="H984" t="s">
        <v>2937</v>
      </c>
      <c r="I984" t="s">
        <v>2927</v>
      </c>
      <c r="J984" t="e">
        <f>VLOOKUP(F984,[1]!china_towns_second__2[[Column1]:[Y]],3,FALSE)</f>
        <v>#N/A</v>
      </c>
      <c r="K984" t="e">
        <f>VLOOKUP(F984,[1]!china_towns_second__2[[Column1]:[Y]],2,FALSE)</f>
        <v>#N/A</v>
      </c>
      <c r="L984" t="s">
        <v>4557</v>
      </c>
      <c r="M984" t="str">
        <f>VLOOKUP(H984,CHOOSE({1,2},Table12[Native],Table12[Name]),2,0)</f>
        <v>Pú Xiàn</v>
      </c>
      <c r="N984" s="13" t="str">
        <f>VLOOKUP(I984,CHOOSE({1,2},Table12[Native],Table12[Name]),2,0)</f>
        <v>Línfén Shì</v>
      </c>
      <c r="O984" s="13" t="str">
        <f t="shared" si="30"/>
        <v>Tailin Xiang (Línfén Shì)</v>
      </c>
      <c r="P984" s="13" t="str">
        <f t="shared" si="31"/>
        <v>Tailin Xiang (Línfén Shì)</v>
      </c>
    </row>
    <row r="985" spans="1:16" hidden="1" x14ac:dyDescent="0.25">
      <c r="A985" t="s">
        <v>2370</v>
      </c>
      <c r="B985" t="str">
        <f>IF(COUNTIF(A:A,A985)&gt;1,_xlfn.CONCAT(A985," (",N985,")"),A985)</f>
        <v>Tàipíngzhuāng Xiāng</v>
      </c>
      <c r="C985" t="str">
        <f>IF(COUNTIF(B:B,B985)&gt;1,_xlfn.CONCAT(A985," (",M985,")"),B985)</f>
        <v>Tàipíngzhuāng Xiāng</v>
      </c>
      <c r="D985" t="s">
        <v>2371</v>
      </c>
      <c r="E985" t="s">
        <v>17</v>
      </c>
      <c r="F985" t="str">
        <f>_xlfn.CONCAT(D985,", ",H985,", ",I985,", ","山西省")</f>
        <v>太平庄乡, 神池县, 忻州市, 山西省</v>
      </c>
      <c r="G985">
        <v>6650</v>
      </c>
      <c r="H985" t="s">
        <v>2991</v>
      </c>
      <c r="I985" t="s">
        <v>2981</v>
      </c>
      <c r="J985" t="e">
        <f>VLOOKUP(F985,[1]!china_towns_second__2[[Column1]:[Y]],3,FALSE)</f>
        <v>#N/A</v>
      </c>
      <c r="K985" t="e">
        <f>VLOOKUP(F985,[1]!china_towns_second__2[[Column1]:[Y]],2,FALSE)</f>
        <v>#N/A</v>
      </c>
      <c r="L985" t="s">
        <v>4558</v>
      </c>
      <c r="M985" t="str">
        <f>VLOOKUP(H985,CHOOSE({1,2},Table12[Native],Table12[Name]),2,0)</f>
        <v>Shénchí Xiàn</v>
      </c>
      <c r="N985" s="13" t="str">
        <f>VLOOKUP(I985,CHOOSE({1,2},Table12[Native],Table12[Name]),2,0)</f>
        <v>Xīnzhōu Shì</v>
      </c>
      <c r="O985" s="13" t="str">
        <f t="shared" si="30"/>
        <v>Taipingzhuang Xiang (Xīnzhōu Shì)</v>
      </c>
      <c r="P985" s="13" t="str">
        <f t="shared" si="31"/>
        <v>Taipingzhuang Xiang (Xīnzhōu Shì)</v>
      </c>
    </row>
    <row r="986" spans="1:16" hidden="1" x14ac:dyDescent="0.25">
      <c r="A986" t="s">
        <v>1297</v>
      </c>
      <c r="B986" t="str">
        <f>IF(COUNTIF(A:A,A986)&gt;1,_xlfn.CONCAT(A986," (",N986,")"),A986)</f>
        <v>Táitóu Zhèn</v>
      </c>
      <c r="C986" t="str">
        <f>IF(COUNTIF(B:B,B986)&gt;1,_xlfn.CONCAT(A986," (",M986,")"),B986)</f>
        <v>Táitóu Zhèn</v>
      </c>
      <c r="D986" t="s">
        <v>1298</v>
      </c>
      <c r="E986" t="s">
        <v>7</v>
      </c>
      <c r="F986" t="str">
        <f>_xlfn.CONCAT(D986,", ",H986,", ",I986,", ","山西省")</f>
        <v>台头镇, 乡宁县, 临汾市, 山西省</v>
      </c>
      <c r="G986">
        <v>13588</v>
      </c>
      <c r="H986" t="s">
        <v>2940</v>
      </c>
      <c r="I986" t="s">
        <v>2927</v>
      </c>
      <c r="J986">
        <f>VLOOKUP(F986,[1]!china_towns_second__2[[Column1]:[Y]],3,FALSE)</f>
        <v>36.095430502871501</v>
      </c>
      <c r="K986">
        <f>VLOOKUP(F986,[1]!china_towns_second__2[[Column1]:[Y]],2,FALSE)</f>
        <v>111.1162424</v>
      </c>
      <c r="L986" t="s">
        <v>4559</v>
      </c>
      <c r="M986" t="str">
        <f>VLOOKUP(H986,CHOOSE({1,2},Table12[Native],Table12[Name]),2,0)</f>
        <v>Xiāngníng Xiàn</v>
      </c>
      <c r="N986" s="13" t="str">
        <f>VLOOKUP(I986,CHOOSE({1,2},Table12[Native],Table12[Name]),2,0)</f>
        <v>Línfén Shì</v>
      </c>
      <c r="O986" s="13" t="str">
        <f t="shared" si="30"/>
        <v>Taitou Zhen (Línfén Shì)</v>
      </c>
      <c r="P986" s="13" t="str">
        <f t="shared" si="31"/>
        <v>Taitou Zhen (Línfén Shì)</v>
      </c>
    </row>
    <row r="987" spans="1:16" hidden="1" x14ac:dyDescent="0.25">
      <c r="A987" t="s">
        <v>239</v>
      </c>
      <c r="B987" t="str">
        <f>IF(COUNTIF(A:A,A987)&gt;1,_xlfn.CONCAT(A987," (",N987,")"),A987)</f>
        <v>Tàixíng Dōngjiē Jiēdào</v>
      </c>
      <c r="C987" t="str">
        <f>IF(COUNTIF(B:B,B987)&gt;1,_xlfn.CONCAT(A987," (",M987,")"),B987)</f>
        <v>Tàixíng Dōngjiē Jiēdào</v>
      </c>
      <c r="D987" t="s">
        <v>240</v>
      </c>
      <c r="E987" t="s">
        <v>31</v>
      </c>
      <c r="F987" t="str">
        <f>_xlfn.CONCAT(D987,", ",H987,", ",I987,", ","山西省")</f>
        <v>太行东街街道, 潞州区, 长治市, 山西省</v>
      </c>
      <c r="G987">
        <v>53340</v>
      </c>
      <c r="H987" t="s">
        <v>2885</v>
      </c>
      <c r="I987" t="s">
        <v>2878</v>
      </c>
      <c r="J987" t="e">
        <f>VLOOKUP(F987,[1]!china_towns_second__2[[Column1]:[Y]],3,FALSE)</f>
        <v>#N/A</v>
      </c>
      <c r="K987" t="e">
        <f>VLOOKUP(F987,[1]!china_towns_second__2[[Column1]:[Y]],2,FALSE)</f>
        <v>#N/A</v>
      </c>
      <c r="L987" t="s">
        <v>4560</v>
      </c>
      <c r="M987" t="str">
        <f>VLOOKUP(H987,CHOOSE({1,2},Table12[Native],Table12[Name]),2,0)</f>
        <v>Lùzhōu Qū</v>
      </c>
      <c r="N987" s="13" t="str">
        <f>VLOOKUP(I987,CHOOSE({1,2},Table12[Native],Table12[Name]),2,0)</f>
        <v>Chángzhì Shì</v>
      </c>
      <c r="O987" s="13" t="str">
        <f t="shared" si="30"/>
        <v>Taixing Dongjie Jiedao (Chángzhì Shì)</v>
      </c>
      <c r="P987" s="13" t="str">
        <f t="shared" si="31"/>
        <v>Taixing Dongjie Jiedao (Chángzhì Shì)</v>
      </c>
    </row>
    <row r="988" spans="1:16" hidden="1" x14ac:dyDescent="0.25">
      <c r="A988" t="s">
        <v>241</v>
      </c>
      <c r="B988" t="str">
        <f>IF(COUNTIF(A:A,A988)&gt;1,_xlfn.CONCAT(A988," (",N988,")"),A988)</f>
        <v>Tàixíng Xījiē Jiēdào</v>
      </c>
      <c r="C988" t="str">
        <f>IF(COUNTIF(B:B,B988)&gt;1,_xlfn.CONCAT(A988," (",M988,")"),B988)</f>
        <v>Tàixíng Xījiē Jiēdào</v>
      </c>
      <c r="D988" t="s">
        <v>242</v>
      </c>
      <c r="E988" t="s">
        <v>31</v>
      </c>
      <c r="F988" t="str">
        <f>_xlfn.CONCAT(D988,", ",H988,", ",I988,", ","山西省")</f>
        <v>太行西街街道, 潞州区, 长治市, 山西省</v>
      </c>
      <c r="G988">
        <v>37786</v>
      </c>
      <c r="H988" t="s">
        <v>2885</v>
      </c>
      <c r="I988" t="s">
        <v>2878</v>
      </c>
      <c r="J988" t="e">
        <f>VLOOKUP(F988,[1]!china_towns_second__2[[Column1]:[Y]],3,FALSE)</f>
        <v>#N/A</v>
      </c>
      <c r="K988" t="e">
        <f>VLOOKUP(F988,[1]!china_towns_second__2[[Column1]:[Y]],2,FALSE)</f>
        <v>#N/A</v>
      </c>
      <c r="L988" t="s">
        <v>4561</v>
      </c>
      <c r="M988" t="str">
        <f>VLOOKUP(H988,CHOOSE({1,2},Table12[Native],Table12[Name]),2,0)</f>
        <v>Lùzhōu Qū</v>
      </c>
      <c r="N988" s="13" t="str">
        <f>VLOOKUP(I988,CHOOSE({1,2},Table12[Native],Table12[Name]),2,0)</f>
        <v>Chángzhì Shì</v>
      </c>
      <c r="O988" s="13" t="str">
        <f t="shared" si="30"/>
        <v>Taixing Xijie Jiedao (Chángzhì Shì)</v>
      </c>
      <c r="P988" s="13" t="str">
        <f t="shared" si="31"/>
        <v>Taixing Xijie Jiedao (Chángzhì Shì)</v>
      </c>
    </row>
    <row r="989" spans="1:16" hidden="1" x14ac:dyDescent="0.25">
      <c r="A989" t="s">
        <v>2794</v>
      </c>
      <c r="B989" t="str">
        <f>IF(COUNTIF(A:A,A989)&gt;1,_xlfn.CONCAT(A989," (",N989,")"),A989)</f>
        <v>Tàiyáng Xiāng</v>
      </c>
      <c r="C989" t="str">
        <f>IF(COUNTIF(B:B,B989)&gt;1,_xlfn.CONCAT(A989," (",M989,")"),B989)</f>
        <v>Tàiyáng Xiāng</v>
      </c>
      <c r="D989" t="s">
        <v>2795</v>
      </c>
      <c r="E989" t="s">
        <v>17</v>
      </c>
      <c r="F989" t="str">
        <f>_xlfn.CONCAT(D989,", ",H989,", ",I989,", ","山西省")</f>
        <v>太阳乡, 稷山县, 运城市, 山西省</v>
      </c>
      <c r="G989">
        <v>49872</v>
      </c>
      <c r="H989" t="s">
        <v>3006</v>
      </c>
      <c r="I989" t="s">
        <v>3003</v>
      </c>
      <c r="J989" t="e">
        <f>VLOOKUP(F989,[1]!china_towns_second__2[[Column1]:[Y]],3,FALSE)</f>
        <v>#N/A</v>
      </c>
      <c r="K989" t="e">
        <f>VLOOKUP(F989,[1]!china_towns_second__2[[Column1]:[Y]],2,FALSE)</f>
        <v>#N/A</v>
      </c>
      <c r="L989" t="s">
        <v>4562</v>
      </c>
      <c r="M989" t="str">
        <f>VLOOKUP(H989,CHOOSE({1,2},Table12[Native],Table12[Name]),2,0)</f>
        <v>Jìshān Xiàn</v>
      </c>
      <c r="N989" s="13" t="str">
        <f>VLOOKUP(I989,CHOOSE({1,2},Table12[Native],Table12[Name]),2,0)</f>
        <v>Yùnchéng Shì</v>
      </c>
      <c r="O989" s="13" t="str">
        <f t="shared" si="30"/>
        <v>Taiyang Xiang (Yùnchéng Shì)</v>
      </c>
      <c r="P989" s="13" t="str">
        <f t="shared" si="31"/>
        <v>Taiyang Xiang (Yùnchéng Shì)</v>
      </c>
    </row>
    <row r="990" spans="1:16" hidden="1" x14ac:dyDescent="0.25">
      <c r="A990" t="s">
        <v>2026</v>
      </c>
      <c r="B990" t="str">
        <f>IF(COUNTIF(A:A,A990)&gt;1,_xlfn.CONCAT(A990," (",N990,")"),A990)</f>
        <v>Tàiyuán Gāoxīn Jìshù Chănyè Kāifāqū [Taiyuan High-tech Industrial Development Zone]</v>
      </c>
      <c r="C990" t="str">
        <f>IF(COUNTIF(B:B,B990)&gt;1,_xlfn.CONCAT(A990," (",M990,")"),B990)</f>
        <v>Tàiyuán Gāoxīn Jìshù Chănyè Kāifāqū [Taiyuan High-tech Industrial Development Zone]</v>
      </c>
      <c r="D990" t="s">
        <v>2027</v>
      </c>
      <c r="E990" t="s">
        <v>35</v>
      </c>
      <c r="F990" t="str">
        <f>_xlfn.CONCAT(D990,", ",H990,", ",I990,", ","山西省")</f>
        <v>太原高新技术产业开发区, 小店区, 太原市, 山西省</v>
      </c>
      <c r="G990">
        <v>9914</v>
      </c>
      <c r="H990" t="s">
        <v>2976</v>
      </c>
      <c r="I990" t="s">
        <v>2969</v>
      </c>
      <c r="J990">
        <f>VLOOKUP(F990,[1]!china_towns_second__2[[Column1]:[Y]],3,FALSE)</f>
        <v>37.790096483180598</v>
      </c>
      <c r="K990">
        <f>VLOOKUP(F990,[1]!china_towns_second__2[[Column1]:[Y]],2,FALSE)</f>
        <v>112.5517309</v>
      </c>
      <c r="L990" t="s">
        <v>4563</v>
      </c>
      <c r="M990" t="str">
        <f>VLOOKUP(H990,CHOOSE({1,2},Table12[Native],Table12[Name]),2,0)</f>
        <v>Xiăodiàn Qū</v>
      </c>
      <c r="N990" s="13" t="str">
        <f>VLOOKUP(I990,CHOOSE({1,2},Table12[Native],Table12[Name]),2,0)</f>
        <v>Tàiyuán Shì</v>
      </c>
      <c r="O990" s="13" t="str">
        <f t="shared" si="30"/>
        <v>Taiyuan Gaoxin Jishu Chanye Kaifaqu [Taiyuan High-tech Industrial Development Zone] (Tàiyuán Shì)</v>
      </c>
      <c r="P990" s="13" t="str">
        <f t="shared" si="31"/>
        <v>Taiyuan Gaoxin Jishu Chanye Kaifaqu [Taiyuan High-tech Industrial Development Zone] (Tàiyuán Shì)</v>
      </c>
    </row>
    <row r="991" spans="1:16" hidden="1" x14ac:dyDescent="0.25">
      <c r="A991" t="s">
        <v>2028</v>
      </c>
      <c r="B991" t="str">
        <f>IF(COUNTIF(A:A,A991)&gt;1,_xlfn.CONCAT(A991," (",N991,")"),A991)</f>
        <v>Tàiyuán Jīngjì Jìshù Kāifāqū [Taiyuan Economic and Technological Development Zone]</v>
      </c>
      <c r="C991" t="str">
        <f>IF(COUNTIF(B:B,B991)&gt;1,_xlfn.CONCAT(A991," (",M991,")"),B991)</f>
        <v>Tàiyuán Jīngjì Jìshù Kāifāqū [Taiyuan Economic and Technological Development Zone]</v>
      </c>
      <c r="D991" t="s">
        <v>2029</v>
      </c>
      <c r="E991" t="s">
        <v>35</v>
      </c>
      <c r="F991" t="str">
        <f>_xlfn.CONCAT(D991,", ",H991,", ",I991,", ","山西省")</f>
        <v>太原经济技术开发区, 小店区, 太原市, 山西省</v>
      </c>
      <c r="G991">
        <v>44521</v>
      </c>
      <c r="H991" t="s">
        <v>2976</v>
      </c>
      <c r="I991" t="s">
        <v>2969</v>
      </c>
      <c r="J991">
        <f>VLOOKUP(F991,[1]!china_towns_second__2[[Column1]:[Y]],3,FALSE)</f>
        <v>37.717659474836204</v>
      </c>
      <c r="K991">
        <f>VLOOKUP(F991,[1]!china_towns_second__2[[Column1]:[Y]],2,FALSE)</f>
        <v>112.5923804</v>
      </c>
      <c r="L991" t="s">
        <v>4564</v>
      </c>
      <c r="M991" t="str">
        <f>VLOOKUP(H991,CHOOSE({1,2},Table12[Native],Table12[Name]),2,0)</f>
        <v>Xiăodiàn Qū</v>
      </c>
      <c r="N991" s="13" t="str">
        <f>VLOOKUP(I991,CHOOSE({1,2},Table12[Native],Table12[Name]),2,0)</f>
        <v>Tàiyuán Shì</v>
      </c>
      <c r="O991" s="13" t="str">
        <f t="shared" si="30"/>
        <v>Taiyuan Jingji Jishu Kaifaqu [Taiyuan Economic and Technological Development Zone] (Tàiyuán Shì)</v>
      </c>
      <c r="P991" s="13" t="str">
        <f t="shared" si="31"/>
        <v>Taiyuan Jingji Jishu Kaifaqu [Taiyuan Economic and Technological Development Zone] (Tàiyuán Shì)</v>
      </c>
    </row>
    <row r="992" spans="1:16" hidden="1" x14ac:dyDescent="0.25">
      <c r="A992" t="s">
        <v>1299</v>
      </c>
      <c r="B992" t="str">
        <f>IF(COUNTIF(A:A,A992)&gt;1,_xlfn.CONCAT(A992," (",N992,")"),A992)</f>
        <v>Tángchéng Zhèn</v>
      </c>
      <c r="C992" t="str">
        <f>IF(COUNTIF(B:B,B992)&gt;1,_xlfn.CONCAT(A992," (",M992,")"),B992)</f>
        <v>Tángchéng Zhèn</v>
      </c>
      <c r="D992" t="s">
        <v>1300</v>
      </c>
      <c r="E992" t="s">
        <v>7</v>
      </c>
      <c r="F992" t="str">
        <f>_xlfn.CONCAT(D992,", ",H992,", ",I992,", ","山西省")</f>
        <v>唐城镇, 安泽县, 临汾市, 山西省</v>
      </c>
      <c r="G992">
        <v>11944</v>
      </c>
      <c r="H992" t="s">
        <v>2928</v>
      </c>
      <c r="I992" t="s">
        <v>2927</v>
      </c>
      <c r="J992">
        <f>VLOOKUP(F992,[1]!china_towns_second__2[[Column1]:[Y]],3,FALSE)</f>
        <v>36.394598468374397</v>
      </c>
      <c r="K992">
        <f>VLOOKUP(F992,[1]!china_towns_second__2[[Column1]:[Y]],2,FALSE)</f>
        <v>112.15613810000001</v>
      </c>
      <c r="L992" t="s">
        <v>4565</v>
      </c>
      <c r="M992" t="str">
        <f>VLOOKUP(H992,CHOOSE({1,2},Table12[Native],Table12[Name]),2,0)</f>
        <v>Ānzé Xiàn</v>
      </c>
      <c r="N992" s="13" t="str">
        <f>VLOOKUP(I992,CHOOSE({1,2},Table12[Native],Table12[Name]),2,0)</f>
        <v>Línfén Shì</v>
      </c>
      <c r="O992" s="13" t="str">
        <f t="shared" si="30"/>
        <v>Tangcheng Zhen (Línfén Shì)</v>
      </c>
      <c r="P992" s="13" t="str">
        <f t="shared" si="31"/>
        <v>Tangcheng Zhen (Línfén Shì)</v>
      </c>
    </row>
    <row r="993" spans="1:16" hidden="1" x14ac:dyDescent="0.25">
      <c r="A993" t="s">
        <v>2372</v>
      </c>
      <c r="B993" t="str">
        <f>IF(COUNTIF(A:A,A993)&gt;1,_xlfn.CONCAT(A993," (",N993,")"),A993)</f>
        <v>Táng'ĕrshàng Xiāng</v>
      </c>
      <c r="C993" t="str">
        <f>IF(COUNTIF(B:B,B993)&gt;1,_xlfn.CONCAT(A993," (",M993,")"),B993)</f>
        <v>Táng'ĕrshàng Xiāng</v>
      </c>
      <c r="D993" t="s">
        <v>2373</v>
      </c>
      <c r="E993" t="s">
        <v>17</v>
      </c>
      <c r="F993" t="str">
        <f>_xlfn.CONCAT(D993,", ",H993,", ",I993,", ","山西省")</f>
        <v>堂尔上乡, 静乐县, 忻州市, 山西省</v>
      </c>
      <c r="G993">
        <v>3720</v>
      </c>
      <c r="H993" t="s">
        <v>2987</v>
      </c>
      <c r="I993" t="s">
        <v>2981</v>
      </c>
      <c r="J993" t="e">
        <f>VLOOKUP(F993,[1]!china_towns_second__2[[Column1]:[Y]],3,FALSE)</f>
        <v>#N/A</v>
      </c>
      <c r="K993" t="e">
        <f>VLOOKUP(F993,[1]!china_towns_second__2[[Column1]:[Y]],2,FALSE)</f>
        <v>#N/A</v>
      </c>
      <c r="L993" t="s">
        <v>4566</v>
      </c>
      <c r="M993" t="str">
        <f>VLOOKUP(H993,CHOOSE({1,2},Table12[Native],Table12[Name]),2,0)</f>
        <v>Jìnglè Xiàn</v>
      </c>
      <c r="N993" s="13" t="str">
        <f>VLOOKUP(I993,CHOOSE({1,2},Table12[Native],Table12[Name]),2,0)</f>
        <v>Xīnzhōu Shì</v>
      </c>
      <c r="O993" s="13" t="str">
        <f t="shared" si="30"/>
        <v>Tang'ershang Xiang (Xīnzhōu Shì)</v>
      </c>
      <c r="P993" s="13" t="str">
        <f t="shared" si="31"/>
        <v>Tang'ershang Xiang (Xīnzhōu Shì)</v>
      </c>
    </row>
    <row r="994" spans="1:16" hidden="1" x14ac:dyDescent="0.25">
      <c r="A994" t="s">
        <v>1301</v>
      </c>
      <c r="B994" t="str">
        <f>IF(COUNTIF(A:A,A994)&gt;1,_xlfn.CONCAT(A994," (",N994,")"),A994)</f>
        <v>Tángxīng Zhèn</v>
      </c>
      <c r="C994" t="str">
        <f>IF(COUNTIF(B:B,B994)&gt;1,_xlfn.CONCAT(A994," (",M994,")"),B994)</f>
        <v>Tángxīng Zhèn</v>
      </c>
      <c r="D994" t="s">
        <v>1302</v>
      </c>
      <c r="E994" t="s">
        <v>7</v>
      </c>
      <c r="F994" t="str">
        <f>_xlfn.CONCAT(D994,", ",H994,", ",I994,", ","山西省")</f>
        <v>唐兴镇, 翼城县, 临汾市, 山西省</v>
      </c>
      <c r="G994">
        <v>86862</v>
      </c>
      <c r="H994" t="s">
        <v>2943</v>
      </c>
      <c r="I994" t="s">
        <v>2927</v>
      </c>
      <c r="J994">
        <f>VLOOKUP(F994,[1]!china_towns_second__2[[Column1]:[Y]],3,FALSE)</f>
        <v>35.7426042468961</v>
      </c>
      <c r="K994">
        <f>VLOOKUP(F994,[1]!china_towns_second__2[[Column1]:[Y]],2,FALSE)</f>
        <v>111.6994608</v>
      </c>
      <c r="L994" t="s">
        <v>4567</v>
      </c>
      <c r="M994" t="str">
        <f>VLOOKUP(H994,CHOOSE({1,2},Table12[Native],Table12[Name]),2,0)</f>
        <v>Yìchéng Xiàn</v>
      </c>
      <c r="N994" s="13" t="str">
        <f>VLOOKUP(I994,CHOOSE({1,2},Table12[Native],Table12[Name]),2,0)</f>
        <v>Línfén Shì</v>
      </c>
      <c r="O994" s="13" t="str">
        <f t="shared" si="30"/>
        <v>Tangxing Zhen (Línfén Shì)</v>
      </c>
      <c r="P994" s="13" t="str">
        <f t="shared" si="31"/>
        <v>Tangxing Zhen (Línfén Shì)</v>
      </c>
    </row>
    <row r="995" spans="1:16" hidden="1" x14ac:dyDescent="0.25">
      <c r="A995" t="s">
        <v>2374</v>
      </c>
      <c r="B995" t="str">
        <f>IF(COUNTIF(A:A,A995)&gt;1,_xlfn.CONCAT(A995," (",N995,")"),A995)</f>
        <v>Tānshàng Zhèn</v>
      </c>
      <c r="C995" t="str">
        <f>IF(COUNTIF(B:B,B995)&gt;1,_xlfn.CONCAT(A995," (",M995,")"),B995)</f>
        <v>Tānshàng Zhèn</v>
      </c>
      <c r="D995" t="s">
        <v>2375</v>
      </c>
      <c r="E995" t="s">
        <v>7</v>
      </c>
      <c r="F995" t="str">
        <f>_xlfn.CONCAT(D995,", ",H995,", ",I995,", ","山西省")</f>
        <v>滩上镇, 代县, 忻州市, 山西省</v>
      </c>
      <c r="G995">
        <v>5811</v>
      </c>
      <c r="H995" t="s">
        <v>2983</v>
      </c>
      <c r="I995" t="s">
        <v>2981</v>
      </c>
      <c r="J995">
        <f>VLOOKUP(F995,[1]!china_towns_second__2[[Column1]:[Y]],3,FALSE)</f>
        <v>38.9419383789919</v>
      </c>
      <c r="K995">
        <f>VLOOKUP(F995,[1]!china_towns_second__2[[Column1]:[Y]],2,FALSE)</f>
        <v>113.16791069999999</v>
      </c>
      <c r="L995" t="s">
        <v>4568</v>
      </c>
      <c r="M995" t="str">
        <f>VLOOKUP(H995,CHOOSE({1,2},Table12[Native],Table12[Name]),2,0)</f>
        <v>Dài Xiàn</v>
      </c>
      <c r="N995" s="13" t="str">
        <f>VLOOKUP(I995,CHOOSE({1,2},Table12[Native],Table12[Name]),2,0)</f>
        <v>Xīnzhōu Shì</v>
      </c>
      <c r="O995" s="13" t="str">
        <f t="shared" si="30"/>
        <v>Tanshang Zhen (Xīnzhōu Shì)</v>
      </c>
      <c r="P995" s="13" t="str">
        <f t="shared" si="31"/>
        <v>Tanshang Zhen (Xīnzhōu Shì)</v>
      </c>
    </row>
    <row r="996" spans="1:16" hidden="1" x14ac:dyDescent="0.25">
      <c r="A996" t="s">
        <v>980</v>
      </c>
      <c r="B996" t="str">
        <f>IF(COUNTIF(A:A,A996)&gt;1,_xlfn.CONCAT(A996," (",N996,")"),A996)</f>
        <v>Tánzhèn Xiāng</v>
      </c>
      <c r="C996" t="str">
        <f>IF(COUNTIF(B:B,B996)&gt;1,_xlfn.CONCAT(A996," (",M996,")"),B996)</f>
        <v>Tánzhèn Xiāng</v>
      </c>
      <c r="D996" t="s">
        <v>981</v>
      </c>
      <c r="E996" t="s">
        <v>17</v>
      </c>
      <c r="F996" t="str">
        <f>_xlfn.CONCAT(D996,", ",H996,", ",I996,", ","山西省")</f>
        <v>坛镇乡, 灵石县, 晋中市, 山西省</v>
      </c>
      <c r="G996">
        <v>6751</v>
      </c>
      <c r="H996" t="s">
        <v>2917</v>
      </c>
      <c r="I996" t="s">
        <v>2914</v>
      </c>
      <c r="J996" t="e">
        <f>VLOOKUP(F996,[1]!china_towns_second__2[[Column1]:[Y]],3,FALSE)</f>
        <v>#N/A</v>
      </c>
      <c r="K996" t="e">
        <f>VLOOKUP(F996,[1]!china_towns_second__2[[Column1]:[Y]],2,FALSE)</f>
        <v>#N/A</v>
      </c>
      <c r="L996" t="s">
        <v>4569</v>
      </c>
      <c r="M996" t="str">
        <f>VLOOKUP(H996,CHOOSE({1,2},Table12[Native],Table12[Name]),2,0)</f>
        <v>Língshí Xiàn</v>
      </c>
      <c r="N996" s="13" t="str">
        <f>VLOOKUP(I996,CHOOSE({1,2},Table12[Native],Table12[Name]),2,0)</f>
        <v>Jìnzhōng Shì</v>
      </c>
      <c r="O996" s="13" t="str">
        <f t="shared" si="30"/>
        <v>Tanzhen Xiang (Jìnzhōng Shì)</v>
      </c>
      <c r="P996" s="13" t="str">
        <f t="shared" si="31"/>
        <v>Tanzhen Xiang (Jìnzhōng Shì)</v>
      </c>
    </row>
    <row r="997" spans="1:16" hidden="1" x14ac:dyDescent="0.25">
      <c r="A997" t="s">
        <v>1818</v>
      </c>
      <c r="B997" t="str">
        <f>IF(COUNTIF(A:A,A997)&gt;1,_xlfn.CONCAT(A997," (",N997,")"),A997)</f>
        <v>Táocūn Xiāng</v>
      </c>
      <c r="C997" t="str">
        <f>IF(COUNTIF(B:B,B997)&gt;1,_xlfn.CONCAT(A997," (",M997,")"),B997)</f>
        <v>Táocūn Xiāng</v>
      </c>
      <c r="D997" t="s">
        <v>1819</v>
      </c>
      <c r="E997" t="s">
        <v>17</v>
      </c>
      <c r="F997" t="str">
        <f>_xlfn.CONCAT(D997,", ",H997,", ",I997,", ","山西省")</f>
        <v>陶村乡, 平鲁区, 朔州市, 山西省</v>
      </c>
      <c r="G997">
        <v>13387</v>
      </c>
      <c r="H997" t="s">
        <v>2963</v>
      </c>
      <c r="I997" t="s">
        <v>2961</v>
      </c>
      <c r="J997" t="e">
        <f>VLOOKUP(F997,[1]!china_towns_second__2[[Column1]:[Y]],3,FALSE)</f>
        <v>#N/A</v>
      </c>
      <c r="K997" t="e">
        <f>VLOOKUP(F997,[1]!china_towns_second__2[[Column1]:[Y]],2,FALSE)</f>
        <v>#N/A</v>
      </c>
      <c r="L997" t="s">
        <v>4570</v>
      </c>
      <c r="M997" t="str">
        <f>VLOOKUP(H997,CHOOSE({1,2},Table12[Native],Table12[Name]),2,0)</f>
        <v>Pínglŭ Qū</v>
      </c>
      <c r="N997" s="13" t="str">
        <f>VLOOKUP(I997,CHOOSE({1,2},Table12[Native],Table12[Name]),2,0)</f>
        <v>Shuòzhōu Shì</v>
      </c>
      <c r="O997" s="13" t="str">
        <f t="shared" si="30"/>
        <v>Taocun Xiang (Shuòzhōu Shì)</v>
      </c>
      <c r="P997" s="13" t="str">
        <f t="shared" si="31"/>
        <v>Taocun Xiang (Shuòzhōu Shì)</v>
      </c>
    </row>
    <row r="998" spans="1:16" hidden="1" x14ac:dyDescent="0.25">
      <c r="A998" t="s">
        <v>2796</v>
      </c>
      <c r="B998" t="str">
        <f>IF(COUNTIF(A:A,A998)&gt;1,_xlfn.CONCAT(A998," (",N998,")"),A998)</f>
        <v>Táocūn Zhèn</v>
      </c>
      <c r="C998" t="str">
        <f>IF(COUNTIF(B:B,B998)&gt;1,_xlfn.CONCAT(A998," (",M998,")"),B998)</f>
        <v>Táocūn Zhèn</v>
      </c>
      <c r="D998" t="s">
        <v>2797</v>
      </c>
      <c r="E998" t="s">
        <v>7</v>
      </c>
      <c r="F998" t="str">
        <f>_xlfn.CONCAT(D998,", ",H998,", ",I998,", ","山西省")</f>
        <v>陶村镇, 盐湖区, 运城市, 山西省</v>
      </c>
      <c r="G998">
        <v>24943</v>
      </c>
      <c r="H998" t="s">
        <v>3014</v>
      </c>
      <c r="I998" t="s">
        <v>3003</v>
      </c>
      <c r="J998">
        <f>VLOOKUP(F998,[1]!china_towns_second__2[[Column1]:[Y]],3,FALSE)</f>
        <v>35.141713292532899</v>
      </c>
      <c r="K998">
        <f>VLOOKUP(F998,[1]!china_towns_second__2[[Column1]:[Y]],2,FALSE)</f>
        <v>111.06108810000001</v>
      </c>
      <c r="L998" t="s">
        <v>4571</v>
      </c>
      <c r="M998" t="str">
        <f>VLOOKUP(H998,CHOOSE({1,2},Table12[Native],Table12[Name]),2,0)</f>
        <v>Yánhú Qū</v>
      </c>
      <c r="N998" s="13" t="str">
        <f>VLOOKUP(I998,CHOOSE({1,2},Table12[Native],Table12[Name]),2,0)</f>
        <v>Yùnchéng Shì</v>
      </c>
      <c r="O998" s="13" t="str">
        <f t="shared" si="30"/>
        <v>Taocun Zhen (Yùnchéng Shì)</v>
      </c>
      <c r="P998" s="13" t="str">
        <f t="shared" si="31"/>
        <v>Taocun Zhen (Yùnchéng Shì)</v>
      </c>
    </row>
    <row r="999" spans="1:16" hidden="1" x14ac:dyDescent="0.25">
      <c r="A999" t="s">
        <v>1632</v>
      </c>
      <c r="B999" t="str">
        <f>IF(COUNTIF(A:A,A999)&gt;1,_xlfn.CONCAT(A999," (",N999,")"),A999)</f>
        <v>Táohóngpō Zhèn</v>
      </c>
      <c r="C999" t="str">
        <f>IF(COUNTIF(B:B,B999)&gt;1,_xlfn.CONCAT(A999," (",M999,")"),B999)</f>
        <v>Táohóngpō Zhèn</v>
      </c>
      <c r="D999" t="s">
        <v>1633</v>
      </c>
      <c r="E999" t="s">
        <v>7</v>
      </c>
      <c r="F999" t="str">
        <f>_xlfn.CONCAT(D999,", ",H999,", ",I999,", ","山西省")</f>
        <v>桃红坡镇, 交口县, 吕梁市, 山西省</v>
      </c>
      <c r="G999">
        <v>16378</v>
      </c>
      <c r="H999" t="s">
        <v>2950</v>
      </c>
      <c r="I999" t="s">
        <v>2946</v>
      </c>
      <c r="J999">
        <f>VLOOKUP(F999,[1]!china_towns_second__2[[Column1]:[Y]],3,FALSE)</f>
        <v>37.022382115116301</v>
      </c>
      <c r="K999">
        <f>VLOOKUP(F999,[1]!china_towns_second__2[[Column1]:[Y]],2,FALSE)</f>
        <v>111.3642624</v>
      </c>
      <c r="L999" t="s">
        <v>4572</v>
      </c>
      <c r="M999" t="str">
        <f>VLOOKUP(H999,CHOOSE({1,2},Table12[Native],Table12[Name]),2,0)</f>
        <v>Jiāokŏu Xiàn</v>
      </c>
      <c r="N999" s="13" t="str">
        <f>VLOOKUP(I999,CHOOSE({1,2},Table12[Native],Table12[Name]),2,0)</f>
        <v>Lǚliáng Shì</v>
      </c>
      <c r="O999" s="13" t="str">
        <f t="shared" si="30"/>
        <v>Taohongpo Zhen (Lǚliáng Shì)</v>
      </c>
      <c r="P999" s="13" t="str">
        <f t="shared" si="31"/>
        <v>Taohongpo Zhen (Lǚliáng Shì)</v>
      </c>
    </row>
    <row r="1000" spans="1:16" hidden="1" x14ac:dyDescent="0.25">
      <c r="A1000" t="s">
        <v>1303</v>
      </c>
      <c r="B1000" t="str">
        <f>IF(COUNTIF(A:A,A1000)&gt;1,_xlfn.CONCAT(A1000," (",N1000,")"),A1000)</f>
        <v>Táosì Xiāng</v>
      </c>
      <c r="C1000" t="str">
        <f>IF(COUNTIF(B:B,B1000)&gt;1,_xlfn.CONCAT(A1000," (",M1000,")"),B1000)</f>
        <v>Táosì Xiāng</v>
      </c>
      <c r="D1000" t="s">
        <v>1304</v>
      </c>
      <c r="E1000" t="s">
        <v>17</v>
      </c>
      <c r="F1000" t="str">
        <f>_xlfn.CONCAT(D1000,", ",H1000,", ",I1000,", ","山西省")</f>
        <v>陶寺乡, 襄汾县, 临汾市, 山西省</v>
      </c>
      <c r="G1000">
        <v>19723</v>
      </c>
      <c r="H1000" t="s">
        <v>2939</v>
      </c>
      <c r="I1000" t="s">
        <v>2927</v>
      </c>
      <c r="J1000" t="e">
        <f>VLOOKUP(F1000,[1]!china_towns_second__2[[Column1]:[Y]],3,FALSE)</f>
        <v>#N/A</v>
      </c>
      <c r="K1000" t="e">
        <f>VLOOKUP(F1000,[1]!china_towns_second__2[[Column1]:[Y]],2,FALSE)</f>
        <v>#N/A</v>
      </c>
      <c r="L1000" t="s">
        <v>4573</v>
      </c>
      <c r="M1000" t="str">
        <f>VLOOKUP(H1000,CHOOSE({1,2},Table12[Native],Table12[Name]),2,0)</f>
        <v>Xiāngfén Xiàn</v>
      </c>
      <c r="N1000" s="13" t="str">
        <f>VLOOKUP(I1000,CHOOSE({1,2},Table12[Native],Table12[Name]),2,0)</f>
        <v>Línfén Shì</v>
      </c>
      <c r="O1000" s="13" t="str">
        <f t="shared" si="30"/>
        <v>Taosi Xiang (Línfén Shì)</v>
      </c>
      <c r="P1000" s="13" t="str">
        <f t="shared" si="31"/>
        <v>Taosi Xiang (Línfén Shì)</v>
      </c>
    </row>
    <row r="1001" spans="1:16" hidden="1" x14ac:dyDescent="0.25">
      <c r="A1001" t="s">
        <v>1305</v>
      </c>
      <c r="B1001" t="str">
        <f>IF(COUNTIF(A:A,A1001)&gt;1,_xlfn.CONCAT(A1001," (",N1001,")"),A1001)</f>
        <v>Táotángyù Xiāng</v>
      </c>
      <c r="C1001" t="str">
        <f>IF(COUNTIF(B:B,B1001)&gt;1,_xlfn.CONCAT(A1001," (",M1001,")"),B1001)</f>
        <v>Táotángyù Xiāng</v>
      </c>
      <c r="D1001" t="s">
        <v>1306</v>
      </c>
      <c r="E1001" t="s">
        <v>17</v>
      </c>
      <c r="F1001" t="str">
        <f>_xlfn.CONCAT(D1001,", ",H1001,", ",I1001,", ","山西省")</f>
        <v>陶唐峪乡, 霍州市, 临汾市, 山西省</v>
      </c>
      <c r="G1001">
        <v>16719</v>
      </c>
      <c r="H1001" t="s">
        <v>2935</v>
      </c>
      <c r="I1001" t="s">
        <v>2927</v>
      </c>
      <c r="J1001" t="e">
        <f>VLOOKUP(F1001,[1]!china_towns_second__2[[Column1]:[Y]],3,FALSE)</f>
        <v>#N/A</v>
      </c>
      <c r="K1001" t="e">
        <f>VLOOKUP(F1001,[1]!china_towns_second__2[[Column1]:[Y]],2,FALSE)</f>
        <v>#N/A</v>
      </c>
      <c r="L1001" t="s">
        <v>4574</v>
      </c>
      <c r="M1001" t="str">
        <f>VLOOKUP(H1001,CHOOSE({1,2},Table12[Native],Table12[Name]),2,0)</f>
        <v>Huòzhōu Shì</v>
      </c>
      <c r="N1001" s="13" t="str">
        <f>VLOOKUP(I1001,CHOOSE({1,2},Table12[Native],Table12[Name]),2,0)</f>
        <v>Línfén Shì</v>
      </c>
      <c r="O1001" s="13" t="str">
        <f t="shared" si="30"/>
        <v>Taotangyu Xiang (Línfén Shì)</v>
      </c>
      <c r="P1001" s="13" t="str">
        <f t="shared" si="31"/>
        <v>Taotangyu Xiang (Línfén Shì)</v>
      </c>
    </row>
    <row r="1002" spans="1:16" hidden="1" x14ac:dyDescent="0.25">
      <c r="A1002" t="s">
        <v>2030</v>
      </c>
      <c r="B1002" t="str">
        <f>IF(COUNTIF(A:A,A1002)&gt;1,_xlfn.CONCAT(A1002," (",N1002,")"),A1002)</f>
        <v>Táoyuán Jiēdào</v>
      </c>
      <c r="C1002" t="str">
        <f>IF(COUNTIF(B:B,B1002)&gt;1,_xlfn.CONCAT(A1002," (",M1002,")"),B1002)</f>
        <v>Táoyuán Jiēdào</v>
      </c>
      <c r="D1002" t="s">
        <v>2031</v>
      </c>
      <c r="E1002" t="s">
        <v>31</v>
      </c>
      <c r="F1002" t="str">
        <f>_xlfn.CONCAT(D1002,", ",H1002,", ",I1002,", ","山西省")</f>
        <v>桃园街道, 古交市, 太原市, 山西省</v>
      </c>
      <c r="G1002">
        <v>38515</v>
      </c>
      <c r="H1002" t="s">
        <v>2970</v>
      </c>
      <c r="I1002" t="s">
        <v>2969</v>
      </c>
      <c r="J1002">
        <f>VLOOKUP(F1002,[1]!china_towns_second__2[[Column1]:[Y]],3,FALSE)</f>
        <v>37.865905198134897</v>
      </c>
      <c r="K1002">
        <f>VLOOKUP(F1002,[1]!china_towns_second__2[[Column1]:[Y]],2,FALSE)</f>
        <v>112.13184</v>
      </c>
      <c r="L1002" t="s">
        <v>4575</v>
      </c>
      <c r="M1002" t="str">
        <f>VLOOKUP(H1002,CHOOSE({1,2},Table12[Native],Table12[Name]),2,0)</f>
        <v>Gŭjiāo Shì</v>
      </c>
      <c r="N1002" s="13" t="str">
        <f>VLOOKUP(I1002,CHOOSE({1,2},Table12[Native],Table12[Name]),2,0)</f>
        <v>Tàiyuán Shì</v>
      </c>
      <c r="O1002" s="13" t="str">
        <f t="shared" si="30"/>
        <v>Taoyuan Jiedao (Tàiyuán Shì)</v>
      </c>
      <c r="P1002" s="13" t="str">
        <f t="shared" si="31"/>
        <v>Taoyuan Jiedao (Tàiyuán Shì)</v>
      </c>
    </row>
    <row r="1003" spans="1:16" hidden="1" x14ac:dyDescent="0.25">
      <c r="A1003" t="s">
        <v>2032</v>
      </c>
      <c r="B1003" t="str">
        <f>IF(COUNTIF(A:A,A1003)&gt;1,_xlfn.CONCAT(A1003," (",N1003,")"),A1003)</f>
        <v>Tiānchídiàn Xiāng</v>
      </c>
      <c r="C1003" t="str">
        <f>IF(COUNTIF(B:B,B1003)&gt;1,_xlfn.CONCAT(A1003," (",M1003,")"),B1003)</f>
        <v>Tiānchídiàn Xiāng</v>
      </c>
      <c r="D1003" t="s">
        <v>2033</v>
      </c>
      <c r="E1003" t="s">
        <v>17</v>
      </c>
      <c r="F1003" t="str">
        <f>_xlfn.CONCAT(D1003,", ",H1003,", ",I1003,", ","山西省")</f>
        <v>天池店乡, 娄烦县, 太原市, 山西省</v>
      </c>
      <c r="G1003">
        <v>9578</v>
      </c>
      <c r="H1003" t="s">
        <v>2973</v>
      </c>
      <c r="I1003" t="s">
        <v>2969</v>
      </c>
      <c r="J1003" t="e">
        <f>VLOOKUP(F1003,[1]!china_towns_second__2[[Column1]:[Y]],3,FALSE)</f>
        <v>#N/A</v>
      </c>
      <c r="K1003" t="e">
        <f>VLOOKUP(F1003,[1]!china_towns_second__2[[Column1]:[Y]],2,FALSE)</f>
        <v>#N/A</v>
      </c>
      <c r="L1003" t="s">
        <v>4576</v>
      </c>
      <c r="M1003" t="str">
        <f>VLOOKUP(H1003,CHOOSE({1,2},Table12[Native],Table12[Name]),2,0)</f>
        <v>Lóufán Xiàn</v>
      </c>
      <c r="N1003" s="13" t="str">
        <f>VLOOKUP(I1003,CHOOSE({1,2},Table12[Native],Table12[Name]),2,0)</f>
        <v>Tàiyuán Shì</v>
      </c>
      <c r="O1003" s="13" t="str">
        <f t="shared" si="30"/>
        <v>Tianchidian Xiang (Tàiyuán Shì)</v>
      </c>
      <c r="P1003" s="13" t="str">
        <f t="shared" si="31"/>
        <v>Tianchidian Xiang (Tàiyuán Shì)</v>
      </c>
    </row>
    <row r="1004" spans="1:16" hidden="1" x14ac:dyDescent="0.25">
      <c r="A1004" t="s">
        <v>2376</v>
      </c>
      <c r="B1004" t="str">
        <f>IF(COUNTIF(A:A,A1004)&gt;1,_xlfn.CONCAT(A1004," (",N1004,")"),A1004)</f>
        <v>Tiānfēngpíng Zhèn</v>
      </c>
      <c r="C1004" t="str">
        <f>IF(COUNTIF(B:B,B1004)&gt;1,_xlfn.CONCAT(A1004," (",M1004,")"),B1004)</f>
        <v>Tiānfēngpíng Zhèn</v>
      </c>
      <c r="D1004" t="s">
        <v>2377</v>
      </c>
      <c r="E1004" t="s">
        <v>7</v>
      </c>
      <c r="F1004" t="str">
        <f>_xlfn.CONCAT(D1004,", ",H1004,", ",I1004,", ","山西省")</f>
        <v>天峰坪镇, 偏关县, 忻州市, 山西省</v>
      </c>
      <c r="G1004">
        <v>6337</v>
      </c>
      <c r="H1004" t="s">
        <v>2990</v>
      </c>
      <c r="I1004" t="s">
        <v>2981</v>
      </c>
      <c r="J1004">
        <f>VLOOKUP(F1004,[1]!china_towns_second__2[[Column1]:[Y]],3,FALSE)</f>
        <v>39.482975002424801</v>
      </c>
      <c r="K1004">
        <f>VLOOKUP(F1004,[1]!china_towns_second__2[[Column1]:[Y]],2,FALSE)</f>
        <v>111.4241351</v>
      </c>
      <c r="L1004" t="s">
        <v>4577</v>
      </c>
      <c r="M1004" t="str">
        <f>VLOOKUP(H1004,CHOOSE({1,2},Table12[Native],Table12[Name]),2,0)</f>
        <v>Piānguān Xiàn</v>
      </c>
      <c r="N1004" s="13" t="str">
        <f>VLOOKUP(I1004,CHOOSE({1,2},Table12[Native],Table12[Name]),2,0)</f>
        <v>Xīnzhōu Shì</v>
      </c>
      <c r="O1004" s="13" t="str">
        <f t="shared" si="30"/>
        <v>Tianfengping Zhen (Xīnzhōu Shì)</v>
      </c>
      <c r="P1004" s="13" t="str">
        <f t="shared" si="31"/>
        <v>Tianfengping Zhen (Xīnzhōu Shì)</v>
      </c>
    </row>
    <row r="1005" spans="1:16" hidden="1" x14ac:dyDescent="0.25">
      <c r="A1005" t="s">
        <v>1634</v>
      </c>
      <c r="B1005" t="str">
        <f>IF(COUNTIF(A:A,A1005)&gt;1,_xlfn.CONCAT(A1005," (",N1005,")"),A1005)</f>
        <v>Tiánjiāhuì Jiēdào</v>
      </c>
      <c r="C1005" t="str">
        <f>IF(COUNTIF(B:B,B1005)&gt;1,_xlfn.CONCAT(A1005," (",M1005,")"),B1005)</f>
        <v>Tiánjiāhuì Jiēdào</v>
      </c>
      <c r="D1005" t="s">
        <v>1635</v>
      </c>
      <c r="E1005" t="s">
        <v>31</v>
      </c>
      <c r="F1005" t="str">
        <f>_xlfn.CONCAT(D1005,", ",H1005,", ",I1005,", ","山西省")</f>
        <v>田家会街道, 离石区, 吕梁市, 山西省</v>
      </c>
      <c r="G1005">
        <v>14904</v>
      </c>
      <c r="H1005" t="s">
        <v>2953</v>
      </c>
      <c r="I1005" t="s">
        <v>2946</v>
      </c>
      <c r="J1005">
        <f>VLOOKUP(F1005,[1]!china_towns_second__2[[Column1]:[Y]],3,FALSE)</f>
        <v>37.529874556025803</v>
      </c>
      <c r="K1005">
        <f>VLOOKUP(F1005,[1]!china_towns_second__2[[Column1]:[Y]],2,FALSE)</f>
        <v>111.22894599999999</v>
      </c>
      <c r="L1005" t="s">
        <v>4578</v>
      </c>
      <c r="M1005" t="str">
        <f>VLOOKUP(H1005,CHOOSE({1,2},Table12[Native],Table12[Name]),2,0)</f>
        <v>Líshí Qū</v>
      </c>
      <c r="N1005" s="13" t="str">
        <f>VLOOKUP(I1005,CHOOSE({1,2},Table12[Native],Table12[Name]),2,0)</f>
        <v>Lǚliáng Shì</v>
      </c>
      <c r="O1005" s="13" t="str">
        <f t="shared" si="30"/>
        <v>Tianjiahui Jiedao (Lǚliáng Shì)</v>
      </c>
      <c r="P1005" s="13" t="str">
        <f t="shared" si="31"/>
        <v>Tianjiahui Jiedao (Lǚliáng Shì)</v>
      </c>
    </row>
    <row r="1006" spans="1:16" hidden="1" x14ac:dyDescent="0.25">
      <c r="A1006" t="s">
        <v>1636</v>
      </c>
      <c r="B1006" t="str">
        <f>IF(COUNTIF(A:A,A1006)&gt;1,_xlfn.CONCAT(A1006," (",N1006,")"),A1006)</f>
        <v>Tiānníng Zhèn</v>
      </c>
      <c r="C1006" t="str">
        <f>IF(COUNTIF(B:B,B1006)&gt;1,_xlfn.CONCAT(A1006," (",M1006,")"),B1006)</f>
        <v>Tiānníng Zhèn</v>
      </c>
      <c r="D1006" t="s">
        <v>1637</v>
      </c>
      <c r="E1006" t="s">
        <v>7</v>
      </c>
      <c r="F1006" t="str">
        <f>_xlfn.CONCAT(D1006,", ",H1006,", ",I1006,", ","山西省")</f>
        <v>天宁镇, 交城县, 吕梁市, 山西省</v>
      </c>
      <c r="G1006">
        <v>100523</v>
      </c>
      <c r="H1006" t="s">
        <v>2949</v>
      </c>
      <c r="I1006" t="s">
        <v>2946</v>
      </c>
      <c r="J1006">
        <f>VLOOKUP(F1006,[1]!china_towns_second__2[[Column1]:[Y]],3,FALSE)</f>
        <v>37.565162009377602</v>
      </c>
      <c r="K1006">
        <f>VLOOKUP(F1006,[1]!china_towns_second__2[[Column1]:[Y]],2,FALSE)</f>
        <v>112.14595129999999</v>
      </c>
      <c r="L1006" t="s">
        <v>4579</v>
      </c>
      <c r="M1006" t="str">
        <f>VLOOKUP(H1006,CHOOSE({1,2},Table12[Native],Table12[Name]),2,0)</f>
        <v>Jiāochéng Xiàn</v>
      </c>
      <c r="N1006" s="13" t="str">
        <f>VLOOKUP(I1006,CHOOSE({1,2},Table12[Native],Table12[Name]),2,0)</f>
        <v>Lǚliáng Shì</v>
      </c>
      <c r="O1006" s="13" t="str">
        <f t="shared" si="30"/>
        <v>Tianning Zhen (Lǚliáng Shì)</v>
      </c>
      <c r="P1006" s="13" t="str">
        <f t="shared" si="31"/>
        <v>Tianning Zhen (Lǚliáng Shì)</v>
      </c>
    </row>
    <row r="1007" spans="1:16" hidden="1" x14ac:dyDescent="0.25">
      <c r="A1007" t="s">
        <v>1307</v>
      </c>
      <c r="B1007" t="str">
        <f>IF(COUNTIF(A:A,A1007)&gt;1,_xlfn.CONCAT(A1007," (",N1007,")"),A1007)</f>
        <v>Tiāntán Zhèn</v>
      </c>
      <c r="C1007" t="str">
        <f>IF(COUNTIF(B:B,B1007)&gt;1,_xlfn.CONCAT(A1007," (",M1007,")"),B1007)</f>
        <v>Tiāntán Zhèn</v>
      </c>
      <c r="D1007" t="s">
        <v>1308</v>
      </c>
      <c r="E1007" t="s">
        <v>7</v>
      </c>
      <c r="F1007" t="str">
        <f>_xlfn.CONCAT(D1007,", ",H1007,", ",I1007,", ","山西省")</f>
        <v>天坛镇, 浮山县, 临汾市, 山西省</v>
      </c>
      <c r="G1007">
        <v>47736</v>
      </c>
      <c r="H1007" t="s">
        <v>2931</v>
      </c>
      <c r="I1007" t="s">
        <v>2927</v>
      </c>
      <c r="J1007">
        <f>VLOOKUP(F1007,[1]!china_towns_second__2[[Column1]:[Y]],3,FALSE)</f>
        <v>35.965616650630103</v>
      </c>
      <c r="K1007">
        <f>VLOOKUP(F1007,[1]!china_towns_second__2[[Column1]:[Y]],2,FALSE)</f>
        <v>111.90855430000001</v>
      </c>
      <c r="L1007" t="s">
        <v>4580</v>
      </c>
      <c r="M1007" t="str">
        <f>VLOOKUP(H1007,CHOOSE({1,2},Table12[Native],Table12[Name]),2,0)</f>
        <v>Fúshān Xiàn</v>
      </c>
      <c r="N1007" s="13" t="str">
        <f>VLOOKUP(I1007,CHOOSE({1,2},Table12[Native],Table12[Name]),2,0)</f>
        <v>Línfén Shì</v>
      </c>
      <c r="O1007" s="13" t="str">
        <f t="shared" si="30"/>
        <v>Tiantan Zhen (Línfén Shì)</v>
      </c>
      <c r="P1007" s="13" t="str">
        <f t="shared" si="31"/>
        <v>Tiantan Zhen (Línfén Shì)</v>
      </c>
    </row>
    <row r="1008" spans="1:16" hidden="1" x14ac:dyDescent="0.25">
      <c r="A1008" t="s">
        <v>1309</v>
      </c>
      <c r="B1008" t="str">
        <f>IF(COUNTIF(A:A,A1008)&gt;1,_xlfn.CONCAT(A1008," (",N1008,")"),A1008)</f>
        <v>Tiĕlùdōng Jiēdào</v>
      </c>
      <c r="C1008" t="str">
        <f>IF(COUNTIF(B:B,B1008)&gt;1,_xlfn.CONCAT(A1008," (",M1008,")"),B1008)</f>
        <v>Tiĕlùdōng Jiēdào</v>
      </c>
      <c r="D1008" t="s">
        <v>1310</v>
      </c>
      <c r="E1008" t="s">
        <v>31</v>
      </c>
      <c r="F1008" t="str">
        <f>_xlfn.CONCAT(D1008,", ",H1008,", ",I1008,", ","山西省")</f>
        <v>铁路东街道, 尧都区, 临汾市, 山西省</v>
      </c>
      <c r="G1008">
        <v>94098</v>
      </c>
      <c r="H1008" t="s">
        <v>2942</v>
      </c>
      <c r="I1008" t="s">
        <v>2927</v>
      </c>
      <c r="J1008">
        <f>VLOOKUP(F1008,[1]!china_towns_second__2[[Column1]:[Y]],3,FALSE)</f>
        <v>36.079525308265097</v>
      </c>
      <c r="K1008">
        <f>VLOOKUP(F1008,[1]!china_towns_second__2[[Column1]:[Y]],2,FALSE)</f>
        <v>111.54844749999999</v>
      </c>
      <c r="L1008" t="s">
        <v>4581</v>
      </c>
      <c r="M1008" t="str">
        <f>VLOOKUP(H1008,CHOOSE({1,2},Table12[Native],Table12[Name]),2,0)</f>
        <v>Yáodū Qū</v>
      </c>
      <c r="N1008" s="13" t="str">
        <f>VLOOKUP(I1008,CHOOSE({1,2},Table12[Native],Table12[Name]),2,0)</f>
        <v>Línfén Shì</v>
      </c>
      <c r="O1008" s="13" t="str">
        <f t="shared" si="30"/>
        <v>Tieludong Jiedao (Línfén Shì)</v>
      </c>
      <c r="P1008" s="13" t="str">
        <f t="shared" si="31"/>
        <v>Tieludong Jiedao (Línfén Shì)</v>
      </c>
    </row>
    <row r="1009" spans="1:16" hidden="1" x14ac:dyDescent="0.25">
      <c r="A1009" t="s">
        <v>243</v>
      </c>
      <c r="B1009" t="str">
        <f>IF(COUNTIF(A:A,A1009)&gt;1,_xlfn.CONCAT(A1009," (",N1009,")"),A1009)</f>
        <v>Tínghépū Xiāng</v>
      </c>
      <c r="C1009" t="str">
        <f>IF(COUNTIF(B:B,B1009)&gt;1,_xlfn.CONCAT(A1009," (",M1009,")"),B1009)</f>
        <v>Tínghépū Xiāng</v>
      </c>
      <c r="D1009" t="s">
        <v>244</v>
      </c>
      <c r="E1009" t="s">
        <v>17</v>
      </c>
      <c r="F1009" t="str">
        <f>_xlfn.CONCAT(D1009,", ",H1009,", ",I1009,", ","山西省")</f>
        <v>停河铺乡, 黎城县, 长治市, 山西省</v>
      </c>
      <c r="G1009">
        <v>7582</v>
      </c>
      <c r="H1009" t="s">
        <v>2882</v>
      </c>
      <c r="I1009" t="s">
        <v>2878</v>
      </c>
      <c r="J1009" t="e">
        <f>VLOOKUP(F1009,[1]!china_towns_second__2[[Column1]:[Y]],3,FALSE)</f>
        <v>#N/A</v>
      </c>
      <c r="K1009" t="e">
        <f>VLOOKUP(F1009,[1]!china_towns_second__2[[Column1]:[Y]],2,FALSE)</f>
        <v>#N/A</v>
      </c>
      <c r="L1009" t="s">
        <v>4582</v>
      </c>
      <c r="M1009" t="str">
        <f>VLOOKUP(H1009,CHOOSE({1,2},Table12[Native],Table12[Name]),2,0)</f>
        <v>Líchéng Xiàn</v>
      </c>
      <c r="N1009" s="13" t="str">
        <f>VLOOKUP(I1009,CHOOSE({1,2},Table12[Native],Table12[Name]),2,0)</f>
        <v>Chángzhì Shì</v>
      </c>
      <c r="O1009" s="13" t="str">
        <f t="shared" si="30"/>
        <v>Tinghepu Xiang (Chángzhì Shì)</v>
      </c>
      <c r="P1009" s="13" t="str">
        <f t="shared" si="31"/>
        <v>Tinghepu Xiang (Chángzhì Shì)</v>
      </c>
    </row>
    <row r="1010" spans="1:16" hidden="1" x14ac:dyDescent="0.25">
      <c r="A1010" t="s">
        <v>2798</v>
      </c>
      <c r="B1010" t="str">
        <f>IF(COUNTIF(A:A,A1010)&gt;1,_xlfn.CONCAT(A1010," (",N1010,")"),A1010)</f>
        <v>Tóngchéng Zhèn</v>
      </c>
      <c r="C1010" t="str">
        <f>IF(COUNTIF(B:B,B1010)&gt;1,_xlfn.CONCAT(A1010," (",M1010,")"),B1010)</f>
        <v>Tóngchéng Zhèn</v>
      </c>
      <c r="D1010" t="s">
        <v>2799</v>
      </c>
      <c r="E1010" t="s">
        <v>7</v>
      </c>
      <c r="F1010" t="str">
        <f>_xlfn.CONCAT(D1010,", ",H1010,", ",I1010,", ","山西省")</f>
        <v>桐城镇, 闻喜县, 运城市, 山西省</v>
      </c>
      <c r="G1010">
        <v>118513</v>
      </c>
      <c r="H1010" t="s">
        <v>3011</v>
      </c>
      <c r="I1010" t="s">
        <v>3003</v>
      </c>
      <c r="J1010">
        <f>VLOOKUP(F1010,[1]!china_towns_second__2[[Column1]:[Y]],3,FALSE)</f>
        <v>35.371405358818699</v>
      </c>
      <c r="K1010">
        <f>VLOOKUP(F1010,[1]!china_towns_second__2[[Column1]:[Y]],2,FALSE)</f>
        <v>111.2200789</v>
      </c>
      <c r="L1010" t="s">
        <v>4583</v>
      </c>
      <c r="M1010" t="str">
        <f>VLOOKUP(H1010,CHOOSE({1,2},Table12[Native],Table12[Name]),2,0)</f>
        <v>Wénxĭ Xiàn</v>
      </c>
      <c r="N1010" s="13" t="str">
        <f>VLOOKUP(I1010,CHOOSE({1,2},Table12[Native],Table12[Name]),2,0)</f>
        <v>Yùnchéng Shì</v>
      </c>
      <c r="O1010" s="13" t="str">
        <f t="shared" si="30"/>
        <v>Tongcheng Zhen (Yùnchéng Shì)</v>
      </c>
      <c r="P1010" s="13" t="str">
        <f t="shared" si="31"/>
        <v>Tongcheng Zhen (Yùnchéng Shì)</v>
      </c>
    </row>
    <row r="1011" spans="1:16" hidden="1" x14ac:dyDescent="0.25">
      <c r="A1011" t="s">
        <v>2800</v>
      </c>
      <c r="B1011" t="str">
        <f>IF(COUNTIF(A:A,A1011)&gt;1,_xlfn.CONCAT(A1011," (",N1011,")"),A1011)</f>
        <v>Tōnghuà Zhèn</v>
      </c>
      <c r="C1011" t="str">
        <f>IF(COUNTIF(B:B,B1011)&gt;1,_xlfn.CONCAT(A1011," (",M1011,")"),B1011)</f>
        <v>Tōnghuà Zhèn</v>
      </c>
      <c r="D1011" t="s">
        <v>2801</v>
      </c>
      <c r="E1011" t="s">
        <v>7</v>
      </c>
      <c r="F1011" t="str">
        <f>_xlfn.CONCAT(D1011,", ",H1011,", ",I1011,", ","山西省")</f>
        <v>通化镇, 万荣县, 运城市, 山西省</v>
      </c>
      <c r="G1011">
        <v>29718</v>
      </c>
      <c r="H1011" t="s">
        <v>3010</v>
      </c>
      <c r="I1011" t="s">
        <v>3003</v>
      </c>
      <c r="J1011">
        <f>VLOOKUP(F1011,[1]!china_towns_second__2[[Column1]:[Y]],3,FALSE)</f>
        <v>35.464152830725801</v>
      </c>
      <c r="K1011">
        <f>VLOOKUP(F1011,[1]!china_towns_second__2[[Column1]:[Y]],2,FALSE)</f>
        <v>110.71358669999999</v>
      </c>
      <c r="L1011" t="s">
        <v>4584</v>
      </c>
      <c r="M1011" t="str">
        <f>VLOOKUP(H1011,CHOOSE({1,2},Table12[Native],Table12[Name]),2,0)</f>
        <v>Wànróng Xiàn</v>
      </c>
      <c r="N1011" s="13" t="str">
        <f>VLOOKUP(I1011,CHOOSE({1,2},Table12[Native],Table12[Name]),2,0)</f>
        <v>Yùnchéng Shì</v>
      </c>
      <c r="O1011" s="13" t="str">
        <f t="shared" si="30"/>
        <v>Tonghua Zhen (Yùnchéng Shì)</v>
      </c>
      <c r="P1011" s="13" t="str">
        <f t="shared" si="31"/>
        <v>Tonghua Zhen (Yùnchéng Shì)</v>
      </c>
    </row>
    <row r="1012" spans="1:16" hidden="1" x14ac:dyDescent="0.25">
      <c r="A1012" t="s">
        <v>511</v>
      </c>
      <c r="B1012" t="str">
        <f>IF(COUNTIF(A:A,A1012)&gt;1,_xlfn.CONCAT(A1012," (",N1012,")"),A1012)</f>
        <v>Tóngjiāliáng Jiēdào</v>
      </c>
      <c r="C1012" t="str">
        <f>IF(COUNTIF(B:B,B1012)&gt;1,_xlfn.CONCAT(A1012," (",M1012,")"),B1012)</f>
        <v>Tóngjiāliáng Jiēdào</v>
      </c>
      <c r="D1012" t="s">
        <v>512</v>
      </c>
      <c r="E1012" t="s">
        <v>31</v>
      </c>
      <c r="F1012" t="str">
        <f>_xlfn.CONCAT(D1012,", ",H1012,", ",I1012,", ","山西省")</f>
        <v>同家梁街道, 云冈区, 大同市, 山西省</v>
      </c>
      <c r="G1012">
        <v>9411</v>
      </c>
      <c r="H1012" t="s">
        <v>2902</v>
      </c>
      <c r="I1012" t="s">
        <v>2894</v>
      </c>
      <c r="J1012" t="e">
        <f>VLOOKUP(F1012,[1]!china_towns_second__2[[Column1]:[Y]],3,FALSE)</f>
        <v>#N/A</v>
      </c>
      <c r="K1012" t="e">
        <f>VLOOKUP(F1012,[1]!china_towns_second__2[[Column1]:[Y]],2,FALSE)</f>
        <v>#N/A</v>
      </c>
      <c r="L1012" t="s">
        <v>4585</v>
      </c>
      <c r="M1012" t="str">
        <f>VLOOKUP(H1012,CHOOSE({1,2},Table12[Native],Table12[Name]),2,0)</f>
        <v>Yúngāng Qū</v>
      </c>
      <c r="N1012" s="13" t="str">
        <f>VLOOKUP(I1012,CHOOSE({1,2},Table12[Native],Table12[Name]),2,0)</f>
        <v>Dàtóng Shì</v>
      </c>
      <c r="O1012" s="13" t="str">
        <f t="shared" si="30"/>
        <v>Tongjialiang Jiedao (Dàtóng Shì)</v>
      </c>
      <c r="P1012" s="13" t="str">
        <f t="shared" si="31"/>
        <v>Tongjialiang Jiedao (Dàtóng Shì)</v>
      </c>
    </row>
    <row r="1013" spans="1:16" hidden="1" x14ac:dyDescent="0.25">
      <c r="A1013" t="s">
        <v>982</v>
      </c>
      <c r="B1013" t="str">
        <f>IF(COUNTIF(A:A,A1013)&gt;1,_xlfn.CONCAT(A1013," (",N1013,")"),A1013)</f>
        <v>Tóngyù Zhèn</v>
      </c>
      <c r="C1013" t="str">
        <f>IF(COUNTIF(B:B,B1013)&gt;1,_xlfn.CONCAT(A1013," (",M1013,")"),B1013)</f>
        <v>Tóngyù Zhèn</v>
      </c>
      <c r="D1013" t="s">
        <v>983</v>
      </c>
      <c r="E1013" t="s">
        <v>7</v>
      </c>
      <c r="F1013" t="str">
        <f>_xlfn.CONCAT(D1013,", ",H1013,", ",I1013,", ","山西省")</f>
        <v>桐峪镇, 左权县, 晋中市, 山西省</v>
      </c>
      <c r="G1013">
        <v>9423</v>
      </c>
      <c r="H1013" t="s">
        <v>2925</v>
      </c>
      <c r="I1013" t="s">
        <v>2914</v>
      </c>
      <c r="J1013">
        <f>VLOOKUP(F1013,[1]!china_towns_second__2[[Column1]:[Y]],3,FALSE)</f>
        <v>36.896678361239601</v>
      </c>
      <c r="K1013">
        <f>VLOOKUP(F1013,[1]!china_towns_second__2[[Column1]:[Y]],2,FALSE)</f>
        <v>113.45488400000001</v>
      </c>
      <c r="L1013" t="s">
        <v>4586</v>
      </c>
      <c r="M1013" t="str">
        <f>VLOOKUP(H1013,CHOOSE({1,2},Table12[Native],Table12[Name]),2,0)</f>
        <v>Zuǒquán Xiàn</v>
      </c>
      <c r="N1013" s="13" t="str">
        <f>VLOOKUP(I1013,CHOOSE({1,2},Table12[Native],Table12[Name]),2,0)</f>
        <v>Jìnzhōng Shì</v>
      </c>
      <c r="O1013" s="13" t="str">
        <f t="shared" si="30"/>
        <v>Tongyu Zhen (Jìnzhōng Shì)</v>
      </c>
      <c r="P1013" s="13" t="str">
        <f t="shared" si="31"/>
        <v>Tongyu Zhen (Jìnzhōng Shì)</v>
      </c>
    </row>
    <row r="1014" spans="1:16" hidden="1" x14ac:dyDescent="0.25">
      <c r="A1014" t="s">
        <v>1311</v>
      </c>
      <c r="B1014" t="str">
        <f>IF(COUNTIF(A:A,A1014)&gt;1,_xlfn.CONCAT(A1014," (",N1014,")"),A1014)</f>
        <v>Tuánbǎi Xiāng</v>
      </c>
      <c r="C1014" t="str">
        <f>IF(COUNTIF(B:B,B1014)&gt;1,_xlfn.CONCAT(A1014," (",M1014,")"),B1014)</f>
        <v>Tuánbǎi Xiāng</v>
      </c>
      <c r="D1014" t="s">
        <v>1312</v>
      </c>
      <c r="E1014" t="s">
        <v>17</v>
      </c>
      <c r="F1014" t="str">
        <f>_xlfn.CONCAT(D1014,", ",H1014,", ",I1014,", ","山西省")</f>
        <v>团柏乡, 汾西县, 临汾市, 山西省</v>
      </c>
      <c r="G1014">
        <v>11569</v>
      </c>
      <c r="H1014" t="s">
        <v>2930</v>
      </c>
      <c r="I1014" t="s">
        <v>2927</v>
      </c>
      <c r="J1014" t="e">
        <f>VLOOKUP(F1014,[1]!china_towns_second__2[[Column1]:[Y]],3,FALSE)</f>
        <v>#N/A</v>
      </c>
      <c r="K1014" t="e">
        <f>VLOOKUP(F1014,[1]!china_towns_second__2[[Column1]:[Y]],2,FALSE)</f>
        <v>#N/A</v>
      </c>
      <c r="L1014" t="s">
        <v>4587</v>
      </c>
      <c r="M1014" t="str">
        <f>VLOOKUP(H1014,CHOOSE({1,2},Table12[Native],Table12[Name]),2,0)</f>
        <v>Fénxī Xiàn</v>
      </c>
      <c r="N1014" s="13" t="str">
        <f>VLOOKUP(I1014,CHOOSE({1,2},Table12[Native],Table12[Name]),2,0)</f>
        <v>Línfén Shì</v>
      </c>
      <c r="O1014" s="13" t="str">
        <f t="shared" si="30"/>
        <v>Tuanbai Xiang (Línfén Shì)</v>
      </c>
      <c r="P1014" s="13" t="str">
        <f t="shared" si="31"/>
        <v>Tuanbai Xiang (Línfén Shì)</v>
      </c>
    </row>
    <row r="1015" spans="1:16" hidden="1" x14ac:dyDescent="0.25">
      <c r="A1015" t="s">
        <v>1638</v>
      </c>
      <c r="B1015" t="str">
        <f>IF(COUNTIF(A:A,A1015)&gt;1,_xlfn.CONCAT(A1015," (",N1015,")"),A1015)</f>
        <v>Tuānshuĭtóu Zhèn</v>
      </c>
      <c r="C1015" t="str">
        <f>IF(COUNTIF(B:B,B1015)&gt;1,_xlfn.CONCAT(A1015," (",M1015,")"),B1015)</f>
        <v>Tuānshuĭtóu Zhèn</v>
      </c>
      <c r="D1015" t="s">
        <v>1639</v>
      </c>
      <c r="E1015" t="s">
        <v>7</v>
      </c>
      <c r="F1015" t="str">
        <f>_xlfn.CONCAT(D1015,", ",H1015,", ",I1015,", ","山西省")</f>
        <v>湍水头镇, 临县, 吕梁市, 山西省</v>
      </c>
      <c r="G1015">
        <v>16687</v>
      </c>
      <c r="H1015" t="s">
        <v>2952</v>
      </c>
      <c r="I1015" t="s">
        <v>2946</v>
      </c>
      <c r="J1015">
        <f>VLOOKUP(F1015,[1]!china_towns_second__2[[Column1]:[Y]],3,FALSE)</f>
        <v>37.743105478538297</v>
      </c>
      <c r="K1015">
        <f>VLOOKUP(F1015,[1]!china_towns_second__2[[Column1]:[Y]],2,FALSE)</f>
        <v>111.0945586</v>
      </c>
      <c r="L1015" t="s">
        <v>4588</v>
      </c>
      <c r="M1015" t="str">
        <f>VLOOKUP(H1015,CHOOSE({1,2},Table12[Native],Table12[Name]),2,0)</f>
        <v>Lín Xiàn</v>
      </c>
      <c r="N1015" s="13" t="str">
        <f>VLOOKUP(I1015,CHOOSE({1,2},Table12[Native],Table12[Name]),2,0)</f>
        <v>Lǚliáng Shì</v>
      </c>
      <c r="O1015" s="13" t="str">
        <f t="shared" si="30"/>
        <v>Tuanshuitou Zhen (Lǚliáng Shì)</v>
      </c>
      <c r="P1015" s="13" t="str">
        <f t="shared" si="31"/>
        <v>Tuanshuitou Zhen (Lǚliáng Shì)</v>
      </c>
    </row>
    <row r="1016" spans="1:16" hidden="1" x14ac:dyDescent="0.25">
      <c r="A1016" t="s">
        <v>1640</v>
      </c>
      <c r="B1016" t="str">
        <f>IF(COUNTIF(A:A,A1016)&gt;1,_xlfn.CONCAT(A1016," (",N1016,")"),A1016)</f>
        <v>Tùbăn Zhèn</v>
      </c>
      <c r="C1016" t="str">
        <f>IF(COUNTIF(B:B,B1016)&gt;1,_xlfn.CONCAT(A1016," (",M1016,")"),B1016)</f>
        <v>Tùbăn Zhèn</v>
      </c>
      <c r="D1016" t="s">
        <v>1641</v>
      </c>
      <c r="E1016" t="s">
        <v>7</v>
      </c>
      <c r="F1016" t="str">
        <f>_xlfn.CONCAT(D1016,", ",H1016,", ",I1016,", ","山西省")</f>
        <v>兔坂镇, 临县, 吕梁市, 山西省</v>
      </c>
      <c r="G1016">
        <v>21710</v>
      </c>
      <c r="H1016" t="s">
        <v>2952</v>
      </c>
      <c r="I1016" t="s">
        <v>2946</v>
      </c>
      <c r="J1016">
        <f>VLOOKUP(F1016,[1]!china_towns_second__2[[Column1]:[Y]],3,FALSE)</f>
        <v>38.024850134653498</v>
      </c>
      <c r="K1016">
        <f>VLOOKUP(F1016,[1]!china_towns_second__2[[Column1]:[Y]],2,FALSE)</f>
        <v>110.6446893</v>
      </c>
      <c r="L1016" t="s">
        <v>4589</v>
      </c>
      <c r="M1016" t="str">
        <f>VLOOKUP(H1016,CHOOSE({1,2},Table12[Native],Table12[Name]),2,0)</f>
        <v>Lín Xiàn</v>
      </c>
      <c r="N1016" s="13" t="str">
        <f>VLOOKUP(I1016,CHOOSE({1,2},Table12[Native],Table12[Name]),2,0)</f>
        <v>Lǚliáng Shì</v>
      </c>
      <c r="O1016" s="13" t="str">
        <f t="shared" si="30"/>
        <v>Tuban Zhen (Lǚliáng Shì)</v>
      </c>
      <c r="P1016" s="13" t="str">
        <f t="shared" si="31"/>
        <v>Tuban Zhen (Lǚliáng Shì)</v>
      </c>
    </row>
    <row r="1017" spans="1:16" hidden="1" x14ac:dyDescent="0.25">
      <c r="A1017" t="s">
        <v>2378</v>
      </c>
      <c r="B1017" t="str">
        <f>IF(COUNTIF(A:A,A1017)&gt;1,_xlfn.CONCAT(A1017," (",N1017,")"),A1017)</f>
        <v>Tŭgōu Xiāng</v>
      </c>
      <c r="C1017" t="str">
        <f>IF(COUNTIF(B:B,B1017)&gt;1,_xlfn.CONCAT(A1017," (",M1017,")"),B1017)</f>
        <v>Tŭgōu Xiāng</v>
      </c>
      <c r="D1017" t="s">
        <v>2379</v>
      </c>
      <c r="E1017" t="s">
        <v>17</v>
      </c>
      <c r="F1017" t="str">
        <f>_xlfn.CONCAT(D1017,", ",H1017,", ",I1017,", ","山西省")</f>
        <v>土沟乡, 河曲县, 忻州市, 山西省</v>
      </c>
      <c r="G1017">
        <v>2421</v>
      </c>
      <c r="H1017" t="s">
        <v>2986</v>
      </c>
      <c r="I1017" t="s">
        <v>2981</v>
      </c>
      <c r="J1017" t="e">
        <f>VLOOKUP(F1017,[1]!china_towns_second__2[[Column1]:[Y]],3,FALSE)</f>
        <v>#N/A</v>
      </c>
      <c r="K1017" t="e">
        <f>VLOOKUP(F1017,[1]!china_towns_second__2[[Column1]:[Y]],2,FALSE)</f>
        <v>#N/A</v>
      </c>
      <c r="L1017" t="s">
        <v>4590</v>
      </c>
      <c r="M1017" t="str">
        <f>VLOOKUP(H1017,CHOOSE({1,2},Table12[Native],Table12[Name]),2,0)</f>
        <v>Héqŭ Xiàn</v>
      </c>
      <c r="N1017" s="13" t="str">
        <f>VLOOKUP(I1017,CHOOSE({1,2},Table12[Native],Table12[Name]),2,0)</f>
        <v>Xīnzhōu Shì</v>
      </c>
      <c r="O1017" s="13" t="str">
        <f t="shared" si="30"/>
        <v>Tugou Xiang (Xīnzhōu Shì)</v>
      </c>
      <c r="P1017" s="13" t="str">
        <f t="shared" si="31"/>
        <v>Tugou Xiang (Xīnzhōu Shì)</v>
      </c>
    </row>
    <row r="1018" spans="1:16" hidden="1" x14ac:dyDescent="0.25">
      <c r="A1018" t="s">
        <v>1313</v>
      </c>
      <c r="B1018" t="str">
        <f>IF(COUNTIF(A:A,A1018)&gt;1,_xlfn.CONCAT(A1018," (",N1018,")"),A1018)</f>
        <v>Tuìshā Jiēdào</v>
      </c>
      <c r="C1018" t="str">
        <f>IF(COUNTIF(B:B,B1018)&gt;1,_xlfn.CONCAT(A1018," (",M1018,")"),B1018)</f>
        <v>Tuìshā Jiēdào</v>
      </c>
      <c r="D1018" t="s">
        <v>1314</v>
      </c>
      <c r="E1018" t="s">
        <v>31</v>
      </c>
      <c r="F1018" t="str">
        <f>_xlfn.CONCAT(D1018,", ",H1018,", ",I1018,", ","山西省")</f>
        <v>退沙街道, 霍州市, 临汾市, 山西省</v>
      </c>
      <c r="G1018">
        <v>19489</v>
      </c>
      <c r="H1018" t="s">
        <v>2935</v>
      </c>
      <c r="I1018" t="s">
        <v>2927</v>
      </c>
      <c r="J1018">
        <f>VLOOKUP(F1018,[1]!china_towns_second__2[[Column1]:[Y]],3,FALSE)</f>
        <v>36.635815059850501</v>
      </c>
      <c r="K1018">
        <f>VLOOKUP(F1018,[1]!china_towns_second__2[[Column1]:[Y]],2,FALSE)</f>
        <v>111.6850518</v>
      </c>
      <c r="L1018" t="s">
        <v>4591</v>
      </c>
      <c r="M1018" t="str">
        <f>VLOOKUP(H1018,CHOOSE({1,2},Table12[Native],Table12[Name]),2,0)</f>
        <v>Huòzhōu Shì</v>
      </c>
      <c r="N1018" s="13" t="str">
        <f>VLOOKUP(I1018,CHOOSE({1,2},Table12[Native],Table12[Name]),2,0)</f>
        <v>Línfén Shì</v>
      </c>
      <c r="O1018" s="13" t="str">
        <f t="shared" si="30"/>
        <v>Tuisha Jiedao (Línfén Shì)</v>
      </c>
      <c r="P1018" s="13" t="str">
        <f t="shared" si="31"/>
        <v>Tuisha Jiedao (Línfén Shì)</v>
      </c>
    </row>
    <row r="1019" spans="1:16" hidden="1" x14ac:dyDescent="0.25">
      <c r="A1019" t="s">
        <v>1315</v>
      </c>
      <c r="B1019" t="str">
        <f>IF(COUNTIF(A:A,A1019)&gt;1,_xlfn.CONCAT(A1019," (",N1019,")"),A1019)</f>
        <v>Tŭmén Zhèn</v>
      </c>
      <c r="C1019" t="str">
        <f>IF(COUNTIF(B:B,B1019)&gt;1,_xlfn.CONCAT(A1019," (",M1019,")"),B1019)</f>
        <v>Tŭmén Zhèn</v>
      </c>
      <c r="D1019" t="s">
        <v>1316</v>
      </c>
      <c r="E1019" t="s">
        <v>7</v>
      </c>
      <c r="F1019" t="str">
        <f>_xlfn.CONCAT(D1019,", ",H1019,", ",I1019,", ","山西省")</f>
        <v>土门镇, 尧都区, 临汾市, 山西省</v>
      </c>
      <c r="G1019">
        <v>29948</v>
      </c>
      <c r="H1019" t="s">
        <v>2942</v>
      </c>
      <c r="I1019" t="s">
        <v>2927</v>
      </c>
      <c r="J1019">
        <f>VLOOKUP(F1019,[1]!china_towns_second__2[[Column1]:[Y]],3,FALSE)</f>
        <v>36.192269990187597</v>
      </c>
      <c r="K1019">
        <f>VLOOKUP(F1019,[1]!china_towns_second__2[[Column1]:[Y]],2,FALSE)</f>
        <v>111.4155155</v>
      </c>
      <c r="L1019" t="s">
        <v>4592</v>
      </c>
      <c r="M1019" t="str">
        <f>VLOOKUP(H1019,CHOOSE({1,2},Table12[Native],Table12[Name]),2,0)</f>
        <v>Yáodū Qū</v>
      </c>
      <c r="N1019" s="13" t="str">
        <f>VLOOKUP(I1019,CHOOSE({1,2},Table12[Native],Table12[Name]),2,0)</f>
        <v>Línfén Shì</v>
      </c>
      <c r="O1019" s="13" t="str">
        <f t="shared" si="30"/>
        <v>Tumen Zhen (Línfén Shì)</v>
      </c>
      <c r="P1019" s="13" t="str">
        <f t="shared" si="31"/>
        <v>Tumen Zhen (Línfén Shì)</v>
      </c>
    </row>
    <row r="1020" spans="1:16" hidden="1" x14ac:dyDescent="0.25">
      <c r="A1020" t="s">
        <v>2034</v>
      </c>
      <c r="B1020" t="str">
        <f>IF(COUNTIF(A:A,A1020)&gt;1,_xlfn.CONCAT(A1020," (",N1020,")"),A1020)</f>
        <v>Túnlán Jiēdào</v>
      </c>
      <c r="C1020" t="str">
        <f>IF(COUNTIF(B:B,B1020)&gt;1,_xlfn.CONCAT(A1020," (",M1020,")"),B1020)</f>
        <v>Túnlán Jiēdào</v>
      </c>
      <c r="D1020" t="s">
        <v>2035</v>
      </c>
      <c r="E1020" t="s">
        <v>31</v>
      </c>
      <c r="F1020" t="str">
        <f>_xlfn.CONCAT(D1020,", ",H1020,", ",I1020,", ","山西省")</f>
        <v>屯兰街道, 古交市, 太原市, 山西省</v>
      </c>
      <c r="G1020">
        <v>17588</v>
      </c>
      <c r="H1020" t="s">
        <v>2970</v>
      </c>
      <c r="I1020" t="s">
        <v>2969</v>
      </c>
      <c r="J1020">
        <f>VLOOKUP(F1020,[1]!china_towns_second__2[[Column1]:[Y]],3,FALSE)</f>
        <v>37.9035746167905</v>
      </c>
      <c r="K1020">
        <f>VLOOKUP(F1020,[1]!china_towns_second__2[[Column1]:[Y]],2,FALSE)</f>
        <v>112.0996288</v>
      </c>
      <c r="L1020" t="s">
        <v>4593</v>
      </c>
      <c r="M1020" t="str">
        <f>VLOOKUP(H1020,CHOOSE({1,2},Table12[Native],Table12[Name]),2,0)</f>
        <v>Gŭjiāo Shì</v>
      </c>
      <c r="N1020" s="13" t="str">
        <f>VLOOKUP(I1020,CHOOSE({1,2},Table12[Native],Table12[Name]),2,0)</f>
        <v>Tàiyuán Shì</v>
      </c>
      <c r="O1020" s="13" t="str">
        <f t="shared" si="30"/>
        <v>Tunlan Jiedao (Tàiyuán Shì)</v>
      </c>
      <c r="P1020" s="13" t="str">
        <f t="shared" si="31"/>
        <v>Tunlan Jiedao (Tàiyuán Shì)</v>
      </c>
    </row>
    <row r="1021" spans="1:16" hidden="1" x14ac:dyDescent="0.25">
      <c r="A1021" t="s">
        <v>1317</v>
      </c>
      <c r="B1021" t="str">
        <f>IF(COUNTIF(A:A,A1021)&gt;1,_xlfn.CONCAT(A1021," (",N1021,")"),A1021)</f>
        <v>Túnlĭ Zhèn (Línfén Shì)</v>
      </c>
      <c r="C1021" t="str">
        <f>IF(COUNTIF(B:B,B1021)&gt;1,_xlfn.CONCAT(A1021," (",M1021,")"),B1021)</f>
        <v>Túnlĭ Zhèn (Yáodū Qū)</v>
      </c>
      <c r="D1021" t="s">
        <v>1318</v>
      </c>
      <c r="E1021" t="s">
        <v>7</v>
      </c>
      <c r="F1021" t="str">
        <f>_xlfn.CONCAT(D1021,", ",H1021,", ",I1021,", ","山西省")</f>
        <v>屯里镇, 尧都区, 临汾市, 山西省</v>
      </c>
      <c r="G1021">
        <v>20530</v>
      </c>
      <c r="H1021" t="s">
        <v>2942</v>
      </c>
      <c r="I1021" t="s">
        <v>2927</v>
      </c>
      <c r="J1021">
        <f>VLOOKUP(F1021,[1]!china_towns_second__2[[Column1]:[Y]],3,FALSE)</f>
        <v>36.1361689801751</v>
      </c>
      <c r="K1021">
        <f>VLOOKUP(F1021,[1]!china_towns_second__2[[Column1]:[Y]],2,FALSE)</f>
        <v>111.5426571</v>
      </c>
      <c r="L1021" t="s">
        <v>4594</v>
      </c>
      <c r="M1021" t="str">
        <f>VLOOKUP(H1021,CHOOSE({1,2},Table12[Native],Table12[Name]),2,0)</f>
        <v>Yáodū Qū</v>
      </c>
      <c r="N1021" s="13" t="str">
        <f>VLOOKUP(I1021,CHOOSE({1,2},Table12[Native],Table12[Name]),2,0)</f>
        <v>Línfén Shì</v>
      </c>
      <c r="O1021" s="13" t="str">
        <f t="shared" si="30"/>
        <v>Tunli Zhen (Yaodu Qu) (Línfén Shì)</v>
      </c>
      <c r="P1021" s="13" t="str">
        <f t="shared" si="31"/>
        <v>Tunli Zhen (Yaodu Qu) (Línfén Shì)</v>
      </c>
    </row>
    <row r="1022" spans="1:16" hidden="1" x14ac:dyDescent="0.25">
      <c r="A1022" t="s">
        <v>1317</v>
      </c>
      <c r="B1022" t="str">
        <f>IF(COUNTIF(A:A,A1022)&gt;1,_xlfn.CONCAT(A1022," (",N1022,")"),A1022)</f>
        <v>Túnlĭ Zhèn (Línfén Shì)</v>
      </c>
      <c r="C1022" t="str">
        <f>IF(COUNTIF(B:B,B1022)&gt;1,_xlfn.CONCAT(A1022," (",M1022,")"),B1022)</f>
        <v>Túnlĭ Zhèn (Jí Xiàn)</v>
      </c>
      <c r="D1022" t="s">
        <v>1318</v>
      </c>
      <c r="E1022" t="s">
        <v>7</v>
      </c>
      <c r="F1022" t="str">
        <f>_xlfn.CONCAT(D1022,", ",H1022,", ",I1022,", ","山西省")</f>
        <v>屯里镇, 吉县, 临汾市, 山西省</v>
      </c>
      <c r="G1022">
        <v>12535</v>
      </c>
      <c r="H1022" t="s">
        <v>2936</v>
      </c>
      <c r="I1022" t="s">
        <v>2927</v>
      </c>
      <c r="J1022">
        <f>VLOOKUP(F1022,[1]!china_towns_second__2[[Column1]:[Y]],3,FALSE)</f>
        <v>36.2181473912811</v>
      </c>
      <c r="K1022">
        <f>VLOOKUP(F1022,[1]!china_towns_second__2[[Column1]:[Y]],2,FALSE)</f>
        <v>110.915869</v>
      </c>
      <c r="L1022" t="s">
        <v>4595</v>
      </c>
      <c r="M1022" t="str">
        <f>VLOOKUP(H1022,CHOOSE({1,2},Table12[Native],Table12[Name]),2,0)</f>
        <v>Jí Xiàn</v>
      </c>
      <c r="N1022" s="13" t="str">
        <f>VLOOKUP(I1022,CHOOSE({1,2},Table12[Native],Table12[Name]),2,0)</f>
        <v>Línfén Shì</v>
      </c>
      <c r="O1022" s="13" t="str">
        <f t="shared" si="30"/>
        <v>Tunli Zhen (Ji Xian) (Línfén Shì)</v>
      </c>
      <c r="P1022" s="13" t="str">
        <f t="shared" si="31"/>
        <v>Tunli Zhen (Ji Xian) (Línfén Shì)</v>
      </c>
    </row>
    <row r="1023" spans="1:16" hidden="1" x14ac:dyDescent="0.25">
      <c r="A1023" t="s">
        <v>513</v>
      </c>
      <c r="B1023" t="str">
        <f>IF(COUNTIF(A:A,A1023)&gt;1,_xlfn.CONCAT(A1023," (",N1023,")"),A1023)</f>
        <v>Tuófēng Xiāng</v>
      </c>
      <c r="C1023" t="str">
        <f>IF(COUNTIF(B:B,B1023)&gt;1,_xlfn.CONCAT(A1023," (",M1023,")"),B1023)</f>
        <v>Tuófēng Xiāng</v>
      </c>
      <c r="D1023" t="s">
        <v>514</v>
      </c>
      <c r="E1023" t="s">
        <v>17</v>
      </c>
      <c r="F1023" t="str">
        <f>_xlfn.CONCAT(D1023,", ",H1023,", ",I1023,", ","山西省")</f>
        <v>驼峰乡, 浑源县, 大同市, 山西省</v>
      </c>
      <c r="G1023">
        <v>10398</v>
      </c>
      <c r="H1023" t="s">
        <v>2896</v>
      </c>
      <c r="I1023" t="s">
        <v>2894</v>
      </c>
      <c r="J1023" t="e">
        <f>VLOOKUP(F1023,[1]!china_towns_second__2[[Column1]:[Y]],3,FALSE)</f>
        <v>#N/A</v>
      </c>
      <c r="K1023" t="e">
        <f>VLOOKUP(F1023,[1]!china_towns_second__2[[Column1]:[Y]],2,FALSE)</f>
        <v>#N/A</v>
      </c>
      <c r="L1023" t="s">
        <v>4596</v>
      </c>
      <c r="M1023" t="str">
        <f>VLOOKUP(H1023,CHOOSE({1,2},Table12[Native],Table12[Name]),2,0)</f>
        <v>Húnyuán Xiàn</v>
      </c>
      <c r="N1023" s="13" t="str">
        <f>VLOOKUP(I1023,CHOOSE({1,2},Table12[Native],Table12[Name]),2,0)</f>
        <v>Dàtóng Shì</v>
      </c>
      <c r="O1023" s="13" t="str">
        <f t="shared" si="30"/>
        <v>Tuofeng Xiang (Dàtóng Shì)</v>
      </c>
      <c r="P1023" s="13" t="str">
        <f t="shared" si="31"/>
        <v>Tuofeng Xiang (Dàtóng Shì)</v>
      </c>
    </row>
    <row r="1024" spans="1:16" hidden="1" x14ac:dyDescent="0.25">
      <c r="A1024" t="s">
        <v>751</v>
      </c>
      <c r="B1024" t="str">
        <f>IF(COUNTIF(A:A,A1024)&gt;1,_xlfn.CONCAT(A1024," (",N1024,")"),A1024)</f>
        <v>Tŭwò Xiāng</v>
      </c>
      <c r="C1024" t="str">
        <f>IF(COUNTIF(B:B,B1024)&gt;1,_xlfn.CONCAT(A1024," (",M1024,")"),B1024)</f>
        <v>Tŭwò Xiāng</v>
      </c>
      <c r="D1024" t="s">
        <v>752</v>
      </c>
      <c r="E1024" t="s">
        <v>17</v>
      </c>
      <c r="F1024" t="str">
        <f>_xlfn.CONCAT(D1024,", ",H1024,", ",I1024,", ","山西省")</f>
        <v>土沃乡, 沁水县, 晋城市, 山西省</v>
      </c>
      <c r="G1024">
        <v>4886</v>
      </c>
      <c r="H1024" t="s">
        <v>2910</v>
      </c>
      <c r="I1024" t="s">
        <v>2906</v>
      </c>
      <c r="J1024" t="e">
        <f>VLOOKUP(F1024,[1]!china_towns_second__2[[Column1]:[Y]],3,FALSE)</f>
        <v>#N/A</v>
      </c>
      <c r="K1024" t="e">
        <f>VLOOKUP(F1024,[1]!china_towns_second__2[[Column1]:[Y]],2,FALSE)</f>
        <v>#N/A</v>
      </c>
      <c r="L1024" t="s">
        <v>4597</v>
      </c>
      <c r="M1024" t="str">
        <f>VLOOKUP(H1024,CHOOSE({1,2},Table12[Native],Table12[Name]),2,0)</f>
        <v>Qìnshuǐ Xiàn</v>
      </c>
      <c r="N1024" s="13" t="str">
        <f>VLOOKUP(I1024,CHOOSE({1,2},Table12[Native],Table12[Name]),2,0)</f>
        <v>Jìnchéng Shì</v>
      </c>
      <c r="O1024" s="13" t="str">
        <f t="shared" si="30"/>
        <v>Tuwo Xiang (Jìnchéng Shì)</v>
      </c>
      <c r="P1024" s="13" t="str">
        <f t="shared" si="31"/>
        <v>Tuwo Xiang (Jìnchéng Shì)</v>
      </c>
    </row>
    <row r="1025" spans="1:16" hidden="1" x14ac:dyDescent="0.25">
      <c r="A1025" t="s">
        <v>2380</v>
      </c>
      <c r="B1025" t="str">
        <f>IF(COUNTIF(A:A,A1025)&gt;1,_xlfn.CONCAT(A1025," (",N1025,")"),A1025)</f>
        <v>Tŭyátă Xiāng</v>
      </c>
      <c r="C1025" t="str">
        <f>IF(COUNTIF(B:B,B1025)&gt;1,_xlfn.CONCAT(A1025," (",M1025,")"),B1025)</f>
        <v>Tŭyátă Xiāng</v>
      </c>
      <c r="D1025" t="s">
        <v>2381</v>
      </c>
      <c r="E1025" t="s">
        <v>17</v>
      </c>
      <c r="F1025" t="str">
        <f>_xlfn.CONCAT(D1025,", ",H1025,", ",I1025,", ","山西省")</f>
        <v>土崖塔乡, 保德县, 忻州市, 山西省</v>
      </c>
      <c r="G1025">
        <v>3125</v>
      </c>
      <c r="H1025" t="s">
        <v>2982</v>
      </c>
      <c r="I1025" t="s">
        <v>2981</v>
      </c>
      <c r="J1025" t="e">
        <f>VLOOKUP(F1025,[1]!china_towns_second__2[[Column1]:[Y]],3,FALSE)</f>
        <v>#N/A</v>
      </c>
      <c r="K1025" t="e">
        <f>VLOOKUP(F1025,[1]!china_towns_second__2[[Column1]:[Y]],2,FALSE)</f>
        <v>#N/A</v>
      </c>
      <c r="L1025" t="s">
        <v>4598</v>
      </c>
      <c r="M1025" t="str">
        <f>VLOOKUP(H1025,CHOOSE({1,2},Table12[Native],Table12[Name]),2,0)</f>
        <v>Băodé Xiàn</v>
      </c>
      <c r="N1025" s="13" t="str">
        <f>VLOOKUP(I1025,CHOOSE({1,2},Table12[Native],Table12[Name]),2,0)</f>
        <v>Xīnzhōu Shì</v>
      </c>
      <c r="O1025" s="13" t="str">
        <f t="shared" si="30"/>
        <v>Tuyata Xiang (Xīnzhōu Shì)</v>
      </c>
      <c r="P1025" s="13" t="str">
        <f t="shared" si="31"/>
        <v>Tuyata Xiang (Xīnzhōu Shì)</v>
      </c>
    </row>
    <row r="1026" spans="1:16" hidden="1" x14ac:dyDescent="0.25">
      <c r="A1026" t="s">
        <v>1642</v>
      </c>
      <c r="B1026" t="str">
        <f>IF(COUNTIF(A:A,A1026)&gt;1,_xlfn.CONCAT(A1026," (",N1026,")"),A1026)</f>
        <v>Tŭyù Xiāng</v>
      </c>
      <c r="C1026" t="str">
        <f>IF(COUNTIF(B:B,B1026)&gt;1,_xlfn.CONCAT(A1026," (",M1026,")"),B1026)</f>
        <v>Tŭyù Xiāng</v>
      </c>
      <c r="D1026" t="s">
        <v>1643</v>
      </c>
      <c r="E1026" t="s">
        <v>17</v>
      </c>
      <c r="F1026" t="str">
        <f>_xlfn.CONCAT(D1026,", ",H1026,", ",I1026,", ","山西省")</f>
        <v>土峪乡, 岚县, 吕梁市, 山西省</v>
      </c>
      <c r="G1026">
        <v>5486</v>
      </c>
      <c r="H1026" t="s">
        <v>2951</v>
      </c>
      <c r="I1026" t="s">
        <v>2946</v>
      </c>
      <c r="J1026" t="e">
        <f>VLOOKUP(F1026,[1]!china_towns_second__2[[Column1]:[Y]],3,FALSE)</f>
        <v>#N/A</v>
      </c>
      <c r="K1026" t="e">
        <f>VLOOKUP(F1026,[1]!china_towns_second__2[[Column1]:[Y]],2,FALSE)</f>
        <v>#N/A</v>
      </c>
      <c r="L1026" t="s">
        <v>4599</v>
      </c>
      <c r="M1026" t="str">
        <f>VLOOKUP(H1026,CHOOSE({1,2},Table12[Native],Table12[Name]),2,0)</f>
        <v>Lán Xiàn</v>
      </c>
      <c r="N1026" s="13" t="str">
        <f>VLOOKUP(I1026,CHOOSE({1,2},Table12[Native],Table12[Name]),2,0)</f>
        <v>Lǚliáng Shì</v>
      </c>
      <c r="O1026" s="13" t="str">
        <f t="shared" ref="O1026:O1089" si="32">_xlfn.CONCAT(L1026," (",N1026,")")</f>
        <v>Tuyu Xiang (Lǚliáng Shì)</v>
      </c>
      <c r="P1026" s="13" t="str">
        <f t="shared" ref="P1026:P1089" si="33">IF(COUNTIF(O:O,O1026)&gt;1,_xlfn.CONCAT(L1026," (",M1026,")"),O1026)</f>
        <v>Tuyu Xiang (Lǚliáng Shì)</v>
      </c>
    </row>
    <row r="1027" spans="1:16" hidden="1" x14ac:dyDescent="0.25">
      <c r="A1027" t="s">
        <v>2802</v>
      </c>
      <c r="B1027" t="str">
        <f>IF(COUNTIF(A:A,A1027)&gt;1,_xlfn.CONCAT(A1027," (",N1027,")"),A1027)</f>
        <v>Wādǐ Zhèn [Fàndǐ Zhèn]</v>
      </c>
      <c r="C1027" t="str">
        <f>IF(COUNTIF(B:B,B1027)&gt;1,_xlfn.CONCAT(A1027," (",M1027,")"),B1027)</f>
        <v>Wādǐ Zhèn [Fàndǐ Zhèn]</v>
      </c>
      <c r="D1027" t="s">
        <v>2803</v>
      </c>
      <c r="E1027" t="s">
        <v>7</v>
      </c>
      <c r="F1027" t="str">
        <f>_xlfn.CONCAT(D1027,", ",H1027,", ",I1027,", ","山西省")</f>
        <v>畖底镇, 闻喜县, 运城市, 山西省</v>
      </c>
      <c r="G1027">
        <v>28357</v>
      </c>
      <c r="H1027" t="s">
        <v>3011</v>
      </c>
      <c r="I1027" t="s">
        <v>3003</v>
      </c>
      <c r="J1027">
        <f>VLOOKUP(F1027,[1]!china_towns_second__2[[Column1]:[Y]],3,FALSE)</f>
        <v>35.447782228277703</v>
      </c>
      <c r="K1027">
        <f>VLOOKUP(F1027,[1]!china_towns_second__2[[Column1]:[Y]],2,FALSE)</f>
        <v>111.12893889999999</v>
      </c>
      <c r="L1027" t="s">
        <v>4600</v>
      </c>
      <c r="M1027" t="str">
        <f>VLOOKUP(H1027,CHOOSE({1,2},Table12[Native],Table12[Name]),2,0)</f>
        <v>Wénxĭ Xiàn</v>
      </c>
      <c r="N1027" s="13" t="str">
        <f>VLOOKUP(I1027,CHOOSE({1,2},Table12[Native],Table12[Name]),2,0)</f>
        <v>Yùnchéng Shì</v>
      </c>
      <c r="O1027" s="13" t="str">
        <f t="shared" si="32"/>
        <v>Wadi Zhen [Fandi Zhen] (Yùnchéng Shì)</v>
      </c>
      <c r="P1027" s="13" t="str">
        <f t="shared" si="33"/>
        <v>Wadi Zhen [Fandi Zhen] (Yùnchéng Shì)</v>
      </c>
    </row>
    <row r="1028" spans="1:16" hidden="1" x14ac:dyDescent="0.25">
      <c r="A1028" t="s">
        <v>515</v>
      </c>
      <c r="B1028" t="str">
        <f>IF(COUNTIF(A:A,A1028)&gt;1,_xlfn.CONCAT(A1028," (",N1028,")"),A1028)</f>
        <v>Wājīnwān Jiēdào</v>
      </c>
      <c r="C1028" t="str">
        <f>IF(COUNTIF(B:B,B1028)&gt;1,_xlfn.CONCAT(A1028," (",M1028,")"),B1028)</f>
        <v>Wājīnwān Jiēdào</v>
      </c>
      <c r="D1028" t="s">
        <v>516</v>
      </c>
      <c r="E1028" t="s">
        <v>31</v>
      </c>
      <c r="F1028" t="str">
        <f>_xlfn.CONCAT(D1028,", ",H1028,", ",I1028,", ","山西省")</f>
        <v>挖金湾街道, 云冈区, 大同市, 山西省</v>
      </c>
      <c r="G1028">
        <v>667</v>
      </c>
      <c r="H1028" t="s">
        <v>2902</v>
      </c>
      <c r="I1028" t="s">
        <v>2894</v>
      </c>
      <c r="J1028" t="e">
        <f>VLOOKUP(F1028,[1]!china_towns_second__2[[Column1]:[Y]],3,FALSE)</f>
        <v>#N/A</v>
      </c>
      <c r="K1028" t="e">
        <f>VLOOKUP(F1028,[1]!china_towns_second__2[[Column1]:[Y]],2,FALSE)</f>
        <v>#N/A</v>
      </c>
      <c r="L1028" t="s">
        <v>4601</v>
      </c>
      <c r="M1028" t="str">
        <f>VLOOKUP(H1028,CHOOSE({1,2},Table12[Native],Table12[Name]),2,0)</f>
        <v>Yúngāng Qū</v>
      </c>
      <c r="N1028" s="13" t="str">
        <f>VLOOKUP(I1028,CHOOSE({1,2},Table12[Native],Table12[Name]),2,0)</f>
        <v>Dàtóng Shì</v>
      </c>
      <c r="O1028" s="13" t="str">
        <f t="shared" si="32"/>
        <v>Wajinwan Jiedao (Dàtóng Shì)</v>
      </c>
      <c r="P1028" s="13" t="str">
        <f t="shared" si="33"/>
        <v>Wajinwan Jiedao (Dàtóng Shì)</v>
      </c>
    </row>
    <row r="1029" spans="1:16" hidden="1" x14ac:dyDescent="0.25">
      <c r="A1029" t="s">
        <v>1319</v>
      </c>
      <c r="B1029" t="str">
        <f>IF(COUNTIF(A:A,A1029)&gt;1,_xlfn.CONCAT(A1029," (",N1029,")"),A1029)</f>
        <v>Wàn'ān Zhèn (Línfén Shì)</v>
      </c>
      <c r="C1029" t="str">
        <f>IF(COUNTIF(B:B,B1029)&gt;1,_xlfn.CONCAT(A1029," (",M1029,")"),B1029)</f>
        <v>Wàn'ān Zhèn (Línfén Shì)</v>
      </c>
      <c r="D1029" t="s">
        <v>1320</v>
      </c>
      <c r="E1029" t="s">
        <v>7</v>
      </c>
      <c r="F1029" t="str">
        <f>_xlfn.CONCAT(D1029,", ",H1029,", ",I1029,", ","山西省")</f>
        <v>万安镇, 洪洞县, 临汾市, 山西省</v>
      </c>
      <c r="G1029">
        <v>64458</v>
      </c>
      <c r="H1029" t="s">
        <v>2933</v>
      </c>
      <c r="I1029" t="s">
        <v>2927</v>
      </c>
      <c r="J1029">
        <f>VLOOKUP(F1029,[1]!china_towns_second__2[[Column1]:[Y]],3,FALSE)</f>
        <v>36.339291465818</v>
      </c>
      <c r="K1029">
        <f>VLOOKUP(F1029,[1]!china_towns_second__2[[Column1]:[Y]],2,FALSE)</f>
        <v>111.53342189999999</v>
      </c>
      <c r="L1029" t="s">
        <v>4602</v>
      </c>
      <c r="M1029" t="str">
        <f>VLOOKUP(H1029,CHOOSE({1,2},Table12[Native],Table12[Name]),2,0)</f>
        <v>Hóngdòng Xiàn</v>
      </c>
      <c r="N1029" s="13" t="str">
        <f>VLOOKUP(I1029,CHOOSE({1,2},Table12[Native],Table12[Name]),2,0)</f>
        <v>Línfén Shì</v>
      </c>
      <c r="O1029" s="13" t="str">
        <f t="shared" si="32"/>
        <v>Wan'an Zhen (Linfen Shi) (Línfén Shì)</v>
      </c>
      <c r="P1029" s="13" t="str">
        <f t="shared" si="33"/>
        <v>Wan'an Zhen (Linfen Shi) (Línfén Shì)</v>
      </c>
    </row>
    <row r="1030" spans="1:16" hidden="1" x14ac:dyDescent="0.25">
      <c r="A1030" t="s">
        <v>1319</v>
      </c>
      <c r="B1030" t="str">
        <f>IF(COUNTIF(A:A,A1030)&gt;1,_xlfn.CONCAT(A1030," (",N1030,")"),A1030)</f>
        <v>Wàn'ān Zhèn (Yùnchéng Shì)</v>
      </c>
      <c r="C1030" t="str">
        <f>IF(COUNTIF(B:B,B1030)&gt;1,_xlfn.CONCAT(A1030," (",M1030,")"),B1030)</f>
        <v>Wàn'ān Zhèn (Yùnchéng Shì)</v>
      </c>
      <c r="D1030" t="s">
        <v>1320</v>
      </c>
      <c r="E1030" t="s">
        <v>7</v>
      </c>
      <c r="F1030" t="str">
        <f>_xlfn.CONCAT(D1030,", ",H1030,", ",I1030,", ","山西省")</f>
        <v>万安镇, 新绛县, 运城市, 山西省</v>
      </c>
      <c r="G1030">
        <v>18575</v>
      </c>
      <c r="H1030" t="s">
        <v>3013</v>
      </c>
      <c r="I1030" t="s">
        <v>3003</v>
      </c>
      <c r="J1030">
        <f>VLOOKUP(F1030,[1]!china_towns_second__2[[Column1]:[Y]],3,FALSE)</f>
        <v>35.553182331350101</v>
      </c>
      <c r="K1030">
        <f>VLOOKUP(F1030,[1]!china_towns_second__2[[Column1]:[Y]],2,FALSE)</f>
        <v>111.1215996</v>
      </c>
      <c r="L1030" t="s">
        <v>4603</v>
      </c>
      <c r="M1030" t="str">
        <f>VLOOKUP(H1030,CHOOSE({1,2},Table12[Native],Table12[Name]),2,0)</f>
        <v>Xīnjiàng Xiàn</v>
      </c>
      <c r="N1030" s="13" t="str">
        <f>VLOOKUP(I1030,CHOOSE({1,2},Table12[Native],Table12[Name]),2,0)</f>
        <v>Yùnchéng Shì</v>
      </c>
      <c r="O1030" s="13" t="str">
        <f t="shared" si="32"/>
        <v>Wan'an Zhen (Yuncheng Shi) (Yùnchéng Shì)</v>
      </c>
      <c r="P1030" s="13" t="str">
        <f t="shared" si="33"/>
        <v>Wan'an Zhen (Yuncheng Shi) (Yùnchéng Shì)</v>
      </c>
    </row>
    <row r="1031" spans="1:16" hidden="1" x14ac:dyDescent="0.25">
      <c r="A1031" t="s">
        <v>2036</v>
      </c>
      <c r="B1031" t="str">
        <f>IF(COUNTIF(A:A,A1031)&gt;1,_xlfn.CONCAT(A1031," (",N1031,")"),A1031)</f>
        <v>Wànbólín Jiēdào</v>
      </c>
      <c r="C1031" t="str">
        <f>IF(COUNTIF(B:B,B1031)&gt;1,_xlfn.CONCAT(A1031," (",M1031,")"),B1031)</f>
        <v>Wànbólín Jiēdào</v>
      </c>
      <c r="D1031" t="s">
        <v>2037</v>
      </c>
      <c r="E1031" t="s">
        <v>31</v>
      </c>
      <c r="F1031" t="str">
        <f>_xlfn.CONCAT(D1031,", ",H1031,", ",I1031,", ","山西省")</f>
        <v>万柏林街道, 万柏林区, 太原市, 山西省</v>
      </c>
      <c r="G1031">
        <v>49506</v>
      </c>
      <c r="H1031" t="s">
        <v>2975</v>
      </c>
      <c r="I1031" t="s">
        <v>2969</v>
      </c>
      <c r="J1031">
        <f>VLOOKUP(F1031,[1]!china_towns_second__2[[Column1]:[Y]],3,FALSE)</f>
        <v>37.884967347224702</v>
      </c>
      <c r="K1031">
        <f>VLOOKUP(F1031,[1]!china_towns_second__2[[Column1]:[Y]],2,FALSE)</f>
        <v>112.4997262</v>
      </c>
      <c r="L1031" t="s">
        <v>4604</v>
      </c>
      <c r="M1031" t="str">
        <f>VLOOKUP(H1031,CHOOSE({1,2},Table12[Native],Table12[Name]),2,0)</f>
        <v>Wànbǎilín Qū</v>
      </c>
      <c r="N1031" s="13" t="str">
        <f>VLOOKUP(I1031,CHOOSE({1,2},Table12[Native],Table12[Name]),2,0)</f>
        <v>Tàiyuán Shì</v>
      </c>
      <c r="O1031" s="13" t="str">
        <f t="shared" si="32"/>
        <v>Wanbolin Jiedao (Tàiyuán Shì)</v>
      </c>
      <c r="P1031" s="13" t="str">
        <f t="shared" si="33"/>
        <v>Wanbolin Jiedao (Tàiyuán Shì)</v>
      </c>
    </row>
    <row r="1032" spans="1:16" hidden="1" x14ac:dyDescent="0.25">
      <c r="A1032" t="s">
        <v>517</v>
      </c>
      <c r="B1032" t="str">
        <f>IF(COUNTIF(A:A,A1032)&gt;1,_xlfn.CONCAT(A1032," (",N1032,")"),A1032)</f>
        <v>Wángcūn Jiēdào</v>
      </c>
      <c r="C1032" t="str">
        <f>IF(COUNTIF(B:B,B1032)&gt;1,_xlfn.CONCAT(A1032," (",M1032,")"),B1032)</f>
        <v>Wángcūn Jiēdào</v>
      </c>
      <c r="D1032" t="s">
        <v>518</v>
      </c>
      <c r="E1032" t="s">
        <v>31</v>
      </c>
      <c r="F1032" t="str">
        <f>_xlfn.CONCAT(D1032,", ",H1032,", ",I1032,", ","山西省")</f>
        <v>王村街道, 云冈区, 大同市, 山西省</v>
      </c>
      <c r="G1032">
        <v>3361</v>
      </c>
      <c r="H1032" t="s">
        <v>2902</v>
      </c>
      <c r="I1032" t="s">
        <v>2894</v>
      </c>
      <c r="J1032" t="e">
        <f>VLOOKUP(F1032,[1]!china_towns_second__2[[Column1]:[Y]],3,FALSE)</f>
        <v>#N/A</v>
      </c>
      <c r="K1032" t="e">
        <f>VLOOKUP(F1032,[1]!china_towns_second__2[[Column1]:[Y]],2,FALSE)</f>
        <v>#N/A</v>
      </c>
      <c r="L1032" t="s">
        <v>4605</v>
      </c>
      <c r="M1032" t="str">
        <f>VLOOKUP(H1032,CHOOSE({1,2},Table12[Native],Table12[Name]),2,0)</f>
        <v>Yúngāng Qū</v>
      </c>
      <c r="N1032" s="13" t="str">
        <f>VLOOKUP(I1032,CHOOSE({1,2},Table12[Native],Table12[Name]),2,0)</f>
        <v>Dàtóng Shì</v>
      </c>
      <c r="O1032" s="13" t="str">
        <f t="shared" si="32"/>
        <v>Wangcun Jiedao (Dàtóng Shì)</v>
      </c>
      <c r="P1032" s="13" t="str">
        <f t="shared" si="33"/>
        <v>Wangcun Jiedao (Dàtóng Shì)</v>
      </c>
    </row>
    <row r="1033" spans="1:16" hidden="1" x14ac:dyDescent="0.25">
      <c r="A1033" t="s">
        <v>2382</v>
      </c>
      <c r="B1033" t="str">
        <f>IF(COUNTIF(A:A,A1033)&gt;1,_xlfn.CONCAT(A1033," (",N1033,")"),A1033)</f>
        <v>Wángcūn Xiāng</v>
      </c>
      <c r="C1033" t="str">
        <f>IF(COUNTIF(B:B,B1033)&gt;1,_xlfn.CONCAT(A1033," (",M1033,")"),B1033)</f>
        <v>Wángcūn Xiāng</v>
      </c>
      <c r="D1033" t="s">
        <v>2383</v>
      </c>
      <c r="E1033" t="s">
        <v>17</v>
      </c>
      <c r="F1033" t="str">
        <f>_xlfn.CONCAT(D1033,", ",H1033,", ",I1033,", ","山西省")</f>
        <v>王村乡, 静乐县, 忻州市, 山西省</v>
      </c>
      <c r="G1033">
        <v>9863</v>
      </c>
      <c r="H1033" t="s">
        <v>2987</v>
      </c>
      <c r="I1033" t="s">
        <v>2981</v>
      </c>
      <c r="J1033" t="e">
        <f>VLOOKUP(F1033,[1]!china_towns_second__2[[Column1]:[Y]],3,FALSE)</f>
        <v>#N/A</v>
      </c>
      <c r="K1033" t="e">
        <f>VLOOKUP(F1033,[1]!china_towns_second__2[[Column1]:[Y]],2,FALSE)</f>
        <v>#N/A</v>
      </c>
      <c r="L1033" t="s">
        <v>4606</v>
      </c>
      <c r="M1033" t="str">
        <f>VLOOKUP(H1033,CHOOSE({1,2},Table12[Native],Table12[Name]),2,0)</f>
        <v>Jìnglè Xiàn</v>
      </c>
      <c r="N1033" s="13" t="str">
        <f>VLOOKUP(I1033,CHOOSE({1,2},Table12[Native],Table12[Name]),2,0)</f>
        <v>Xīnzhōu Shì</v>
      </c>
      <c r="O1033" s="13" t="str">
        <f t="shared" si="32"/>
        <v>Wangcun Xiang (Xīnzhōu Shì)</v>
      </c>
      <c r="P1033" s="13" t="str">
        <f t="shared" si="33"/>
        <v>Wangcun Xiang (Xīnzhōu Shì)</v>
      </c>
    </row>
    <row r="1034" spans="1:16" hidden="1" x14ac:dyDescent="0.25">
      <c r="A1034" t="s">
        <v>245</v>
      </c>
      <c r="B1034" t="str">
        <f>IF(COUNTIF(A:A,A1034)&gt;1,_xlfn.CONCAT(A1034," (",N1034,")"),A1034)</f>
        <v>Wángcūn Zhèn</v>
      </c>
      <c r="C1034" t="str">
        <f>IF(COUNTIF(B:B,B1034)&gt;1,_xlfn.CONCAT(A1034," (",M1034,")"),B1034)</f>
        <v>Wángcūn Zhèn</v>
      </c>
      <c r="D1034" t="s">
        <v>246</v>
      </c>
      <c r="E1034" t="s">
        <v>7</v>
      </c>
      <c r="F1034" t="str">
        <f>_xlfn.CONCAT(D1034,", ",H1034,", ",I1034,", ","山西省")</f>
        <v>王村镇, 襄垣县, 长治市, 山西省</v>
      </c>
      <c r="G1034">
        <v>14273</v>
      </c>
      <c r="H1034" t="s">
        <v>2892</v>
      </c>
      <c r="I1034" t="s">
        <v>2878</v>
      </c>
      <c r="J1034">
        <f>VLOOKUP(F1034,[1]!china_towns_second__2[[Column1]:[Y]],3,FALSE)</f>
        <v>36.671393452382802</v>
      </c>
      <c r="K1034">
        <f>VLOOKUP(F1034,[1]!china_towns_second__2[[Column1]:[Y]],2,FALSE)</f>
        <v>112.9241955</v>
      </c>
      <c r="L1034" t="s">
        <v>4607</v>
      </c>
      <c r="M1034" t="str">
        <f>VLOOKUP(H1034,CHOOSE({1,2},Table12[Native],Table12[Name]),2,0)</f>
        <v>Xiāngyuán Xiàn</v>
      </c>
      <c r="N1034" s="13" t="str">
        <f>VLOOKUP(I1034,CHOOSE({1,2},Table12[Native],Table12[Name]),2,0)</f>
        <v>Chángzhì Shì</v>
      </c>
      <c r="O1034" s="13" t="str">
        <f t="shared" si="32"/>
        <v>Wangcun Zhen (Chángzhì Shì)</v>
      </c>
      <c r="P1034" s="13" t="str">
        <f t="shared" si="33"/>
        <v>Wangcun Zhen (Chángzhì Shì)</v>
      </c>
    </row>
    <row r="1035" spans="1:16" hidden="1" x14ac:dyDescent="0.25">
      <c r="A1035" t="s">
        <v>2038</v>
      </c>
      <c r="B1035" t="str">
        <f>IF(COUNTIF(A:A,A1035)&gt;1,_xlfn.CONCAT(A1035," (",N1035,")"),A1035)</f>
        <v>Wángdá Xiāng</v>
      </c>
      <c r="C1035" t="str">
        <f>IF(COUNTIF(B:B,B1035)&gt;1,_xlfn.CONCAT(A1035," (",M1035,")"),B1035)</f>
        <v>Wángdá Xiāng</v>
      </c>
      <c r="D1035" t="s">
        <v>2039</v>
      </c>
      <c r="E1035" t="s">
        <v>17</v>
      </c>
      <c r="F1035" t="str">
        <f>_xlfn.CONCAT(D1035,", ",H1035,", ",I1035,", ","山西省")</f>
        <v>王答乡, 清徐县, 太原市, 山西省</v>
      </c>
      <c r="G1035">
        <v>35930</v>
      </c>
      <c r="H1035" t="s">
        <v>2974</v>
      </c>
      <c r="I1035" t="s">
        <v>2969</v>
      </c>
      <c r="J1035" t="e">
        <f>VLOOKUP(F1035,[1]!china_towns_second__2[[Column1]:[Y]],3,FALSE)</f>
        <v>#N/A</v>
      </c>
      <c r="K1035" t="e">
        <f>VLOOKUP(F1035,[1]!china_towns_second__2[[Column1]:[Y]],2,FALSE)</f>
        <v>#N/A</v>
      </c>
      <c r="L1035" t="s">
        <v>4608</v>
      </c>
      <c r="M1035" t="str">
        <f>VLOOKUP(H1035,CHOOSE({1,2},Table12[Native],Table12[Name]),2,0)</f>
        <v>Qīngxú Xiàn</v>
      </c>
      <c r="N1035" s="13" t="str">
        <f>VLOOKUP(I1035,CHOOSE({1,2},Table12[Native],Table12[Name]),2,0)</f>
        <v>Tàiyuán Shì</v>
      </c>
      <c r="O1035" s="13" t="str">
        <f t="shared" si="32"/>
        <v>Wangda Xiang (Tàiyuán Shì)</v>
      </c>
      <c r="P1035" s="13" t="str">
        <f t="shared" si="33"/>
        <v>Wangda Xiang (Tàiyuán Shì)</v>
      </c>
    </row>
    <row r="1036" spans="1:16" hidden="1" x14ac:dyDescent="0.25">
      <c r="A1036" t="s">
        <v>2804</v>
      </c>
      <c r="B1036" t="str">
        <f>IF(COUNTIF(A:A,A1036)&gt;1,_xlfn.CONCAT(A1036," (",N1036,")"),A1036)</f>
        <v>Wángfàn Xiāng</v>
      </c>
      <c r="C1036" t="str">
        <f>IF(COUNTIF(B:B,B1036)&gt;1,_xlfn.CONCAT(A1036," (",M1036,")"),B1036)</f>
        <v>Wángfàn Xiāng</v>
      </c>
      <c r="D1036" t="s">
        <v>2805</v>
      </c>
      <c r="E1036" t="s">
        <v>17</v>
      </c>
      <c r="F1036" t="str">
        <f>_xlfn.CONCAT(D1036,", ",H1036,", ",I1036,", ","山西省")</f>
        <v>王范乡, 盐湖区, 运城市, 山西省</v>
      </c>
      <c r="G1036">
        <v>16758</v>
      </c>
      <c r="H1036" t="s">
        <v>3014</v>
      </c>
      <c r="I1036" t="s">
        <v>3003</v>
      </c>
      <c r="J1036" t="e">
        <f>VLOOKUP(F1036,[1]!china_towns_second__2[[Column1]:[Y]],3,FALSE)</f>
        <v>#N/A</v>
      </c>
      <c r="K1036" t="e">
        <f>VLOOKUP(F1036,[1]!china_towns_second__2[[Column1]:[Y]],2,FALSE)</f>
        <v>#N/A</v>
      </c>
      <c r="L1036" t="s">
        <v>4609</v>
      </c>
      <c r="M1036" t="str">
        <f>VLOOKUP(H1036,CHOOSE({1,2},Table12[Native],Table12[Name]),2,0)</f>
        <v>Yánhú Qū</v>
      </c>
      <c r="N1036" s="13" t="str">
        <f>VLOOKUP(I1036,CHOOSE({1,2},Table12[Native],Table12[Name]),2,0)</f>
        <v>Yùnchéng Shì</v>
      </c>
      <c r="O1036" s="13" t="str">
        <f t="shared" si="32"/>
        <v>Wangfan Xiang (Yùnchéng Shì)</v>
      </c>
      <c r="P1036" s="13" t="str">
        <f t="shared" si="33"/>
        <v>Wangfan Xiang (Yùnchéng Shì)</v>
      </c>
    </row>
    <row r="1037" spans="1:16" hidden="1" x14ac:dyDescent="0.25">
      <c r="A1037" t="s">
        <v>2040</v>
      </c>
      <c r="B1037" t="str">
        <f>IF(COUNTIF(A:A,A1037)&gt;1,_xlfn.CONCAT(A1037," (",N1037,")"),A1037)</f>
        <v>Wángfēng Xiāng</v>
      </c>
      <c r="C1037" t="str">
        <f>IF(COUNTIF(B:B,B1037)&gt;1,_xlfn.CONCAT(A1037," (",M1037,")"),B1037)</f>
        <v>Wángfēng Xiāng</v>
      </c>
      <c r="D1037" t="s">
        <v>2041</v>
      </c>
      <c r="E1037" t="s">
        <v>17</v>
      </c>
      <c r="F1037" t="str">
        <f>_xlfn.CONCAT(D1037,", ",H1037,", ",I1037,", ","山西省")</f>
        <v>王封乡, 万柏林区, 太原市, 山西省</v>
      </c>
      <c r="G1037">
        <v>2196</v>
      </c>
      <c r="H1037" t="s">
        <v>2975</v>
      </c>
      <c r="I1037" t="s">
        <v>2969</v>
      </c>
      <c r="J1037" t="e">
        <f>VLOOKUP(F1037,[1]!china_towns_second__2[[Column1]:[Y]],3,FALSE)</f>
        <v>#N/A</v>
      </c>
      <c r="K1037" t="e">
        <f>VLOOKUP(F1037,[1]!china_towns_second__2[[Column1]:[Y]],2,FALSE)</f>
        <v>#N/A</v>
      </c>
      <c r="L1037" t="s">
        <v>4610</v>
      </c>
      <c r="M1037" t="str">
        <f>VLOOKUP(H1037,CHOOSE({1,2},Table12[Native],Table12[Name]),2,0)</f>
        <v>Wànbǎilín Qū</v>
      </c>
      <c r="N1037" s="13" t="str">
        <f>VLOOKUP(I1037,CHOOSE({1,2},Table12[Native],Table12[Name]),2,0)</f>
        <v>Tàiyuán Shì</v>
      </c>
      <c r="O1037" s="13" t="str">
        <f t="shared" si="32"/>
        <v>Wangfeng Xiang (Tàiyuán Shì)</v>
      </c>
      <c r="P1037" s="13" t="str">
        <f t="shared" si="33"/>
        <v>Wangfeng Xiang (Tàiyuán Shì)</v>
      </c>
    </row>
    <row r="1038" spans="1:16" hidden="1" x14ac:dyDescent="0.25">
      <c r="A1038" t="s">
        <v>519</v>
      </c>
      <c r="B1038" t="str">
        <f>IF(COUNTIF(A:A,A1038)&gt;1,_xlfn.CONCAT(A1038," (",N1038,")"),A1038)</f>
        <v>Wángguāntún Zhèn</v>
      </c>
      <c r="C1038" t="str">
        <f>IF(COUNTIF(B:B,B1038)&gt;1,_xlfn.CONCAT(A1038," (",M1038,")"),B1038)</f>
        <v>Wángguāntún Zhèn</v>
      </c>
      <c r="D1038" t="s">
        <v>520</v>
      </c>
      <c r="E1038" t="s">
        <v>7</v>
      </c>
      <c r="F1038" t="str">
        <f>_xlfn.CONCAT(D1038,", ",H1038,", ",I1038,", ","山西省")</f>
        <v>王官屯镇, 阳高县, 大同市, 山西省</v>
      </c>
      <c r="G1038">
        <v>20488</v>
      </c>
      <c r="H1038" t="s">
        <v>2901</v>
      </c>
      <c r="I1038" t="s">
        <v>2894</v>
      </c>
      <c r="J1038">
        <f>VLOOKUP(F1038,[1]!china_towns_second__2[[Column1]:[Y]],3,FALSE)</f>
        <v>40.232157466221999</v>
      </c>
      <c r="K1038">
        <f>VLOOKUP(F1038,[1]!china_towns_second__2[[Column1]:[Y]],2,FALSE)</f>
        <v>113.6612006</v>
      </c>
      <c r="L1038" t="s">
        <v>4611</v>
      </c>
      <c r="M1038" t="str">
        <f>VLOOKUP(H1038,CHOOSE({1,2},Table12[Native],Table12[Name]),2,0)</f>
        <v>Yánggāo Xiàn</v>
      </c>
      <c r="N1038" s="13" t="str">
        <f>VLOOKUP(I1038,CHOOSE({1,2},Table12[Native],Table12[Name]),2,0)</f>
        <v>Dàtóng Shì</v>
      </c>
      <c r="O1038" s="13" t="str">
        <f t="shared" si="32"/>
        <v>Wangguantun Zhen (Dàtóng Shì)</v>
      </c>
      <c r="P1038" s="13" t="str">
        <f t="shared" si="33"/>
        <v>Wangguantun Zhen (Dàtóng Shì)</v>
      </c>
    </row>
    <row r="1039" spans="1:16" hidden="1" x14ac:dyDescent="0.25">
      <c r="A1039" t="s">
        <v>247</v>
      </c>
      <c r="B1039" t="str">
        <f>IF(COUNTIF(A:A,A1039)&gt;1,_xlfn.CONCAT(A1039," (",N1039,")"),A1039)</f>
        <v>Wánghé Zhèn</v>
      </c>
      <c r="C1039" t="str">
        <f>IF(COUNTIF(B:B,B1039)&gt;1,_xlfn.CONCAT(A1039," (",M1039,")"),B1039)</f>
        <v>Wánghé Zhèn</v>
      </c>
      <c r="D1039" t="s">
        <v>248</v>
      </c>
      <c r="E1039" t="s">
        <v>7</v>
      </c>
      <c r="F1039" t="str">
        <f>_xlfn.CONCAT(D1039,", ",H1039,", ",I1039,", ","山西省")</f>
        <v>王和镇, 沁源县, 长治市, 山西省</v>
      </c>
      <c r="G1039">
        <v>11123</v>
      </c>
      <c r="H1039" t="s">
        <v>2888</v>
      </c>
      <c r="I1039" t="s">
        <v>2878</v>
      </c>
      <c r="J1039">
        <f>VLOOKUP(F1039,[1]!china_towns_second__2[[Column1]:[Y]],3,FALSE)</f>
        <v>36.955773257910202</v>
      </c>
      <c r="K1039">
        <f>VLOOKUP(F1039,[1]!china_towns_second__2[[Column1]:[Y]],2,FALSE)</f>
        <v>112.1837398</v>
      </c>
      <c r="L1039" t="s">
        <v>4612</v>
      </c>
      <c r="M1039" t="str">
        <f>VLOOKUP(H1039,CHOOSE({1,2},Table12[Native],Table12[Name]),2,0)</f>
        <v>Qìnyuán Xiàn</v>
      </c>
      <c r="N1039" s="13" t="str">
        <f>VLOOKUP(I1039,CHOOSE({1,2},Table12[Native],Table12[Name]),2,0)</f>
        <v>Chángzhì Shì</v>
      </c>
      <c r="O1039" s="13" t="str">
        <f t="shared" si="32"/>
        <v>Wanghe Zhen (Chángzhì Shì)</v>
      </c>
      <c r="P1039" s="13" t="str">
        <f t="shared" si="33"/>
        <v>Wanghe Zhen (Chángzhì Shì)</v>
      </c>
    </row>
    <row r="1040" spans="1:16" hidden="1" x14ac:dyDescent="0.25">
      <c r="A1040" t="s">
        <v>521</v>
      </c>
      <c r="B1040" t="str">
        <f>IF(COUNTIF(A:A,A1040)&gt;1,_xlfn.CONCAT(A1040," (",N1040,")"),A1040)</f>
        <v>Wánghú Xiāng</v>
      </c>
      <c r="C1040" t="str">
        <f>IF(COUNTIF(B:B,B1040)&gt;1,_xlfn.CONCAT(A1040," (",M1040,")"),B1040)</f>
        <v>Wánghú Xiāng</v>
      </c>
      <c r="D1040" t="s">
        <v>522</v>
      </c>
      <c r="E1040" t="s">
        <v>17</v>
      </c>
      <c r="F1040" t="str">
        <f>_xlfn.CONCAT(D1040,", ",H1040,", ",I1040,", ","山西省")</f>
        <v>望狐乡, 广灵县, 大同市, 山西省</v>
      </c>
      <c r="G1040">
        <v>5911</v>
      </c>
      <c r="H1040" t="s">
        <v>2895</v>
      </c>
      <c r="I1040" t="s">
        <v>2894</v>
      </c>
      <c r="J1040" t="e">
        <f>VLOOKUP(F1040,[1]!china_towns_second__2[[Column1]:[Y]],3,FALSE)</f>
        <v>#N/A</v>
      </c>
      <c r="K1040" t="e">
        <f>VLOOKUP(F1040,[1]!china_towns_second__2[[Column1]:[Y]],2,FALSE)</f>
        <v>#N/A</v>
      </c>
      <c r="L1040" t="s">
        <v>4613</v>
      </c>
      <c r="M1040" t="str">
        <f>VLOOKUP(H1040,CHOOSE({1,2},Table12[Native],Table12[Name]),2,0)</f>
        <v>Guănglíng Xiàn</v>
      </c>
      <c r="N1040" s="13" t="str">
        <f>VLOOKUP(I1040,CHOOSE({1,2},Table12[Native],Table12[Name]),2,0)</f>
        <v>Dàtóng Shì</v>
      </c>
      <c r="O1040" s="13" t="str">
        <f t="shared" si="32"/>
        <v>Wanghu Xiang (Dàtóng Shì)</v>
      </c>
      <c r="P1040" s="13" t="str">
        <f t="shared" si="33"/>
        <v>Wanghu Xiang (Dàtóng Shì)</v>
      </c>
    </row>
    <row r="1041" spans="1:16" hidden="1" x14ac:dyDescent="0.25">
      <c r="A1041" t="s">
        <v>2384</v>
      </c>
      <c r="B1041" t="str">
        <f>IF(COUNTIF(A:A,A1041)&gt;1,_xlfn.CONCAT(A1041," (",N1041,")"),A1041)</f>
        <v>Wángjiāchà Xiāng</v>
      </c>
      <c r="C1041" t="str">
        <f>IF(COUNTIF(B:B,B1041)&gt;1,_xlfn.CONCAT(A1041," (",M1041,")"),B1041)</f>
        <v>Wángjiāchà Xiāng</v>
      </c>
      <c r="D1041" t="s">
        <v>2385</v>
      </c>
      <c r="E1041" t="s">
        <v>17</v>
      </c>
      <c r="F1041" t="str">
        <f>_xlfn.CONCAT(D1041,", ",H1041,", ",I1041,", ","山西省")</f>
        <v>王家岔乡, 岢岚县, 忻州市, 山西省</v>
      </c>
      <c r="G1041">
        <v>1900</v>
      </c>
      <c r="H1041" t="s">
        <v>2988</v>
      </c>
      <c r="I1041" t="s">
        <v>2981</v>
      </c>
      <c r="J1041" t="e">
        <f>VLOOKUP(F1041,[1]!china_towns_second__2[[Column1]:[Y]],3,FALSE)</f>
        <v>#N/A</v>
      </c>
      <c r="K1041" t="e">
        <f>VLOOKUP(F1041,[1]!china_towns_second__2[[Column1]:[Y]],2,FALSE)</f>
        <v>#N/A</v>
      </c>
      <c r="L1041" t="s">
        <v>4614</v>
      </c>
      <c r="M1041" t="str">
        <f>VLOOKUP(H1041,CHOOSE({1,2},Table12[Native],Table12[Name]),2,0)</f>
        <v>Kĕlán Xiàn</v>
      </c>
      <c r="N1041" s="13" t="str">
        <f>VLOOKUP(I1041,CHOOSE({1,2},Table12[Native],Table12[Name]),2,0)</f>
        <v>Xīnzhōu Shì</v>
      </c>
      <c r="O1041" s="13" t="str">
        <f t="shared" si="32"/>
        <v>Wangjiacha Xiang (Xīnzhōu Shì)</v>
      </c>
      <c r="P1041" s="13" t="str">
        <f t="shared" si="33"/>
        <v>Wangjiacha Xiang (Xīnzhōu Shì)</v>
      </c>
    </row>
    <row r="1042" spans="1:16" hidden="1" x14ac:dyDescent="0.25">
      <c r="A1042" t="s">
        <v>1644</v>
      </c>
      <c r="B1042" t="str">
        <f>IF(COUNTIF(A:A,A1042)&gt;1,_xlfn.CONCAT(A1042," (",N1042,")"),A1042)</f>
        <v>Wángjiāgōu Xiāng</v>
      </c>
      <c r="C1042" t="str">
        <f>IF(COUNTIF(B:B,B1042)&gt;1,_xlfn.CONCAT(A1042," (",M1042,")"),B1042)</f>
        <v>Wángjiāgōu Xiāng</v>
      </c>
      <c r="D1042" t="s">
        <v>1645</v>
      </c>
      <c r="E1042" t="s">
        <v>17</v>
      </c>
      <c r="F1042" t="str">
        <f>_xlfn.CONCAT(D1042,", ",H1042,", ",I1042,", ","山西省")</f>
        <v>王家沟乡, 柳林县, 吕梁市, 山西省</v>
      </c>
      <c r="G1042">
        <v>12355</v>
      </c>
      <c r="H1042" t="s">
        <v>2954</v>
      </c>
      <c r="I1042" t="s">
        <v>2946</v>
      </c>
      <c r="J1042" t="e">
        <f>VLOOKUP(F1042,[1]!china_towns_second__2[[Column1]:[Y]],3,FALSE)</f>
        <v>#N/A</v>
      </c>
      <c r="K1042" t="e">
        <f>VLOOKUP(F1042,[1]!china_towns_second__2[[Column1]:[Y]],2,FALSE)</f>
        <v>#N/A</v>
      </c>
      <c r="L1042" t="s">
        <v>4615</v>
      </c>
      <c r="M1042" t="str">
        <f>VLOOKUP(H1042,CHOOSE({1,2},Table12[Native],Table12[Name]),2,0)</f>
        <v>Liŭlín Xiàn</v>
      </c>
      <c r="N1042" s="13" t="str">
        <f>VLOOKUP(I1042,CHOOSE({1,2},Table12[Native],Table12[Name]),2,0)</f>
        <v>Lǚliáng Shì</v>
      </c>
      <c r="O1042" s="13" t="str">
        <f t="shared" si="32"/>
        <v>Wangjiagou Xiang (Lǚliáng Shì)</v>
      </c>
      <c r="P1042" s="13" t="str">
        <f t="shared" si="33"/>
        <v>Wangjiagou Xiang (Lǚliáng Shì)</v>
      </c>
    </row>
    <row r="1043" spans="1:16" hidden="1" x14ac:dyDescent="0.25">
      <c r="A1043" t="s">
        <v>2386</v>
      </c>
      <c r="B1043" t="str">
        <f>IF(COUNTIF(A:A,A1043)&gt;1,_xlfn.CONCAT(A1043," (",N1043,")"),A1043)</f>
        <v>Wángjiāzhuāng Xiāng</v>
      </c>
      <c r="C1043" t="str">
        <f>IF(COUNTIF(B:B,B1043)&gt;1,_xlfn.CONCAT(A1043," (",M1043,")"),B1043)</f>
        <v>Wángjiāzhuāng Xiāng</v>
      </c>
      <c r="D1043" t="s">
        <v>2387</v>
      </c>
      <c r="E1043" t="s">
        <v>17</v>
      </c>
      <c r="F1043" t="str">
        <f>_xlfn.CONCAT(D1043,", ",H1043,", ",I1043,", ","山西省")</f>
        <v>王家庄乡, 原平市, 忻州市, 山西省</v>
      </c>
      <c r="G1043">
        <v>14197</v>
      </c>
      <c r="H1043" t="s">
        <v>2995</v>
      </c>
      <c r="I1043" t="s">
        <v>2981</v>
      </c>
      <c r="J1043" t="e">
        <f>VLOOKUP(F1043,[1]!china_towns_second__2[[Column1]:[Y]],3,FALSE)</f>
        <v>#N/A</v>
      </c>
      <c r="K1043" t="e">
        <f>VLOOKUP(F1043,[1]!china_towns_second__2[[Column1]:[Y]],2,FALSE)</f>
        <v>#N/A</v>
      </c>
      <c r="L1043" t="s">
        <v>4616</v>
      </c>
      <c r="M1043" t="str">
        <f>VLOOKUP(H1043,CHOOSE({1,2},Table12[Native],Table12[Name]),2,0)</f>
        <v>Yuánpíng Shì</v>
      </c>
      <c r="N1043" s="13" t="str">
        <f>VLOOKUP(I1043,CHOOSE({1,2},Table12[Native],Table12[Name]),2,0)</f>
        <v>Xīnzhōu Shì</v>
      </c>
      <c r="O1043" s="13" t="str">
        <f t="shared" si="32"/>
        <v>Wangjiazhuang Xiang (Xīnzhōu Shì)</v>
      </c>
      <c r="P1043" s="13" t="str">
        <f t="shared" si="33"/>
        <v>Wangjiazhuang Xiang (Xīnzhōu Shì)</v>
      </c>
    </row>
    <row r="1044" spans="1:16" hidden="1" x14ac:dyDescent="0.25">
      <c r="A1044" t="s">
        <v>2806</v>
      </c>
      <c r="B1044" t="str">
        <f>IF(COUNTIF(A:A,A1044)&gt;1,_xlfn.CONCAT(A1044," (",N1044,")"),A1044)</f>
        <v>Wángmáo Zhèn</v>
      </c>
      <c r="C1044" t="str">
        <f>IF(COUNTIF(B:B,B1044)&gt;1,_xlfn.CONCAT(A1044," (",M1044,")"),B1044)</f>
        <v>Wángmáo Zhèn</v>
      </c>
      <c r="D1044" t="s">
        <v>2807</v>
      </c>
      <c r="E1044" t="s">
        <v>7</v>
      </c>
      <c r="F1044" t="str">
        <f>_xlfn.CONCAT(D1044,", ",H1044,", ",I1044,", ","山西省")</f>
        <v>王茅镇, 垣曲县, 运城市, 山西省</v>
      </c>
      <c r="G1044">
        <v>10516</v>
      </c>
      <c r="H1044" t="s">
        <v>3016</v>
      </c>
      <c r="I1044" t="s">
        <v>3003</v>
      </c>
      <c r="J1044">
        <f>VLOOKUP(F1044,[1]!china_towns_second__2[[Column1]:[Y]],3,FALSE)</f>
        <v>35.146923671971102</v>
      </c>
      <c r="K1044">
        <f>VLOOKUP(F1044,[1]!china_towns_second__2[[Column1]:[Y]],2,FALSE)</f>
        <v>111.79058670000001</v>
      </c>
      <c r="L1044" t="s">
        <v>4617</v>
      </c>
      <c r="M1044" t="str">
        <f>VLOOKUP(H1044,CHOOSE({1,2},Table12[Native],Table12[Name]),2,0)</f>
        <v>Yuánqŭ Xiàn</v>
      </c>
      <c r="N1044" s="13" t="str">
        <f>VLOOKUP(I1044,CHOOSE({1,2},Table12[Native],Table12[Name]),2,0)</f>
        <v>Yùnchéng Shì</v>
      </c>
      <c r="O1044" s="13" t="str">
        <f t="shared" si="32"/>
        <v>Wangmao Zhen (Yùnchéng Shì)</v>
      </c>
      <c r="P1044" s="13" t="str">
        <f t="shared" si="33"/>
        <v>Wangmao Zhen (Yùnchéng Shì)</v>
      </c>
    </row>
    <row r="1045" spans="1:16" hidden="1" x14ac:dyDescent="0.25">
      <c r="A1045" t="s">
        <v>249</v>
      </c>
      <c r="B1045" t="str">
        <f>IF(COUNTIF(A:A,A1045)&gt;1,_xlfn.CONCAT(A1045," (",N1045,")"),A1045)</f>
        <v>Wángqiáo Zhèn</v>
      </c>
      <c r="C1045" t="str">
        <f>IF(COUNTIF(B:B,B1045)&gt;1,_xlfn.CONCAT(A1045," (",M1045,")"),B1045)</f>
        <v>Wángqiáo Zhèn</v>
      </c>
      <c r="D1045" t="s">
        <v>250</v>
      </c>
      <c r="E1045" t="s">
        <v>7</v>
      </c>
      <c r="F1045" t="str">
        <f>_xlfn.CONCAT(D1045,", ",H1045,", ",I1045,", ","山西省")</f>
        <v>王桥镇, 襄垣县, 长治市, 山西省</v>
      </c>
      <c r="G1045">
        <v>33594</v>
      </c>
      <c r="H1045" t="s">
        <v>2892</v>
      </c>
      <c r="I1045" t="s">
        <v>2878</v>
      </c>
      <c r="J1045">
        <f>VLOOKUP(F1045,[1]!china_towns_second__2[[Column1]:[Y]],3,FALSE)</f>
        <v>36.482487066741101</v>
      </c>
      <c r="K1045">
        <f>VLOOKUP(F1045,[1]!china_towns_second__2[[Column1]:[Y]],2,FALSE)</f>
        <v>113.13015780000001</v>
      </c>
      <c r="L1045" t="s">
        <v>4618</v>
      </c>
      <c r="M1045" t="str">
        <f>VLOOKUP(H1045,CHOOSE({1,2},Table12[Native],Table12[Name]),2,0)</f>
        <v>Xiāngyuán Xiàn</v>
      </c>
      <c r="N1045" s="13" t="str">
        <f>VLOOKUP(I1045,CHOOSE({1,2},Table12[Native],Table12[Name]),2,0)</f>
        <v>Chángzhì Shì</v>
      </c>
      <c r="O1045" s="13" t="str">
        <f t="shared" si="32"/>
        <v>Wangqiao Zhen (Chángzhì Shì)</v>
      </c>
      <c r="P1045" s="13" t="str">
        <f t="shared" si="33"/>
        <v>Wangqiao Zhen (Chángzhì Shì)</v>
      </c>
    </row>
    <row r="1046" spans="1:16" hidden="1" x14ac:dyDescent="0.25">
      <c r="A1046" t="s">
        <v>1646</v>
      </c>
      <c r="B1046" t="str">
        <f>IF(COUNTIF(A:A,A1046)&gt;1,_xlfn.CONCAT(A1046," (",N1046,")"),A1046)</f>
        <v>Wángshī Xiāng</v>
      </c>
      <c r="C1046" t="str">
        <f>IF(COUNTIF(B:B,B1046)&gt;1,_xlfn.CONCAT(A1046," (",M1046,")"),B1046)</f>
        <v>Wángshī Xiāng</v>
      </c>
      <c r="D1046" t="s">
        <v>1647</v>
      </c>
      <c r="E1046" t="s">
        <v>17</v>
      </c>
      <c r="F1046" t="str">
        <f>_xlfn.CONCAT(D1046,", ",H1046,", ",I1046,", ","山西省")</f>
        <v>王狮乡, 岚县, 吕梁市, 山西省</v>
      </c>
      <c r="G1046">
        <v>10127</v>
      </c>
      <c r="H1046" t="s">
        <v>2951</v>
      </c>
      <c r="I1046" t="s">
        <v>2946</v>
      </c>
      <c r="J1046" t="e">
        <f>VLOOKUP(F1046,[1]!china_towns_second__2[[Column1]:[Y]],3,FALSE)</f>
        <v>#N/A</v>
      </c>
      <c r="K1046" t="e">
        <f>VLOOKUP(F1046,[1]!china_towns_second__2[[Column1]:[Y]],2,FALSE)</f>
        <v>#N/A</v>
      </c>
      <c r="L1046" t="s">
        <v>4619</v>
      </c>
      <c r="M1046" t="str">
        <f>VLOOKUP(H1046,CHOOSE({1,2},Table12[Native],Table12[Name]),2,0)</f>
        <v>Lán Xiàn</v>
      </c>
      <c r="N1046" s="13" t="str">
        <f>VLOOKUP(I1046,CHOOSE({1,2},Table12[Native],Table12[Name]),2,0)</f>
        <v>Lǚliáng Shì</v>
      </c>
      <c r="O1046" s="13" t="str">
        <f t="shared" si="32"/>
        <v>Wangshi Xiang (Lǚliáng Shì)</v>
      </c>
      <c r="P1046" s="13" t="str">
        <f t="shared" si="33"/>
        <v>Wangshi Xiang (Lǚliáng Shì)</v>
      </c>
    </row>
    <row r="1047" spans="1:16" hidden="1" x14ac:dyDescent="0.25">
      <c r="A1047" t="s">
        <v>251</v>
      </c>
      <c r="B1047" t="str">
        <f>IF(COUNTIF(A:A,A1047)&gt;1,_xlfn.CONCAT(A1047," (",N1047,")"),A1047)</f>
        <v>Wángtáo Zhèn</v>
      </c>
      <c r="C1047" t="str">
        <f>IF(COUNTIF(B:B,B1047)&gt;1,_xlfn.CONCAT(A1047," (",M1047,")"),B1047)</f>
        <v>Wángtáo Zhèn</v>
      </c>
      <c r="D1047" t="s">
        <v>252</v>
      </c>
      <c r="E1047" t="s">
        <v>7</v>
      </c>
      <c r="F1047" t="str">
        <f>_xlfn.CONCAT(D1047,", ",H1047,", ",I1047,", ","山西省")</f>
        <v>王陶镇, 沁源县, 长治市, 山西省</v>
      </c>
      <c r="G1047">
        <v>9521</v>
      </c>
      <c r="H1047" t="s">
        <v>2888</v>
      </c>
      <c r="I1047" t="s">
        <v>2878</v>
      </c>
      <c r="J1047">
        <f>VLOOKUP(F1047,[1]!china_towns_second__2[[Column1]:[Y]],3,FALSE)</f>
        <v>36.846854117368899</v>
      </c>
      <c r="K1047">
        <f>VLOOKUP(F1047,[1]!china_towns_second__2[[Column1]:[Y]],2,FALSE)</f>
        <v>112.1195836</v>
      </c>
      <c r="L1047" t="s">
        <v>4620</v>
      </c>
      <c r="M1047" t="str">
        <f>VLOOKUP(H1047,CHOOSE({1,2},Table12[Native],Table12[Name]),2,0)</f>
        <v>Qìnyuán Xiàn</v>
      </c>
      <c r="N1047" s="13" t="str">
        <f>VLOOKUP(I1047,CHOOSE({1,2},Table12[Native],Table12[Name]),2,0)</f>
        <v>Chángzhì Shì</v>
      </c>
      <c r="O1047" s="13" t="str">
        <f t="shared" si="32"/>
        <v>Wangtao Zhen (Chángzhì Shì)</v>
      </c>
      <c r="P1047" s="13" t="str">
        <f t="shared" si="33"/>
        <v>Wangtao Zhen (Chángzhì Shì)</v>
      </c>
    </row>
    <row r="1048" spans="1:16" hidden="1" x14ac:dyDescent="0.25">
      <c r="A1048" t="s">
        <v>2808</v>
      </c>
      <c r="B1048" t="str">
        <f>IF(COUNTIF(A:A,A1048)&gt;1,_xlfn.CONCAT(A1048," (",N1048,")"),A1048)</f>
        <v>Wángxiăn Xiāng</v>
      </c>
      <c r="C1048" t="str">
        <f>IF(COUNTIF(B:B,B1048)&gt;1,_xlfn.CONCAT(A1048," (",M1048,")"),B1048)</f>
        <v>Wángxiăn Xiāng</v>
      </c>
      <c r="D1048" t="s">
        <v>2809</v>
      </c>
      <c r="E1048" t="s">
        <v>17</v>
      </c>
      <c r="F1048" t="str">
        <f>_xlfn.CONCAT(D1048,", ",H1048,", ",I1048,", ","山西省")</f>
        <v>王显乡, 万荣县, 运城市, 山西省</v>
      </c>
      <c r="G1048">
        <v>28862</v>
      </c>
      <c r="H1048" t="s">
        <v>3010</v>
      </c>
      <c r="I1048" t="s">
        <v>3003</v>
      </c>
      <c r="J1048" t="e">
        <f>VLOOKUP(F1048,[1]!china_towns_second__2[[Column1]:[Y]],3,FALSE)</f>
        <v>#N/A</v>
      </c>
      <c r="K1048" t="e">
        <f>VLOOKUP(F1048,[1]!china_towns_second__2[[Column1]:[Y]],2,FALSE)</f>
        <v>#N/A</v>
      </c>
      <c r="L1048" t="s">
        <v>4621</v>
      </c>
      <c r="M1048" t="str">
        <f>VLOOKUP(H1048,CHOOSE({1,2},Table12[Native],Table12[Name]),2,0)</f>
        <v>Wànróng Xiàn</v>
      </c>
      <c r="N1048" s="13" t="str">
        <f>VLOOKUP(I1048,CHOOSE({1,2},Table12[Native],Table12[Name]),2,0)</f>
        <v>Yùnchéng Shì</v>
      </c>
      <c r="O1048" s="13" t="str">
        <f t="shared" si="32"/>
        <v>Wangxian Xiang (Yùnchéng Shì)</v>
      </c>
      <c r="P1048" s="13" t="str">
        <f t="shared" si="33"/>
        <v>Wangxian Xiang (Yùnchéng Shì)</v>
      </c>
    </row>
    <row r="1049" spans="1:16" hidden="1" x14ac:dyDescent="0.25">
      <c r="A1049" t="s">
        <v>984</v>
      </c>
      <c r="B1049" t="str">
        <f>IF(COUNTIF(A:A,A1049)&gt;1,_xlfn.CONCAT(A1049," (",N1049,")"),A1049)</f>
        <v>Wángyŭ Xiāng</v>
      </c>
      <c r="C1049" t="str">
        <f>IF(COUNTIF(B:B,B1049)&gt;1,_xlfn.CONCAT(A1049," (",M1049,")"),B1049)</f>
        <v>Wángyŭ Xiāng</v>
      </c>
      <c r="D1049" t="s">
        <v>985</v>
      </c>
      <c r="E1049" t="s">
        <v>17</v>
      </c>
      <c r="F1049" t="str">
        <f>_xlfn.CONCAT(D1049,", ",H1049,", ",I1049,", ","山西省")</f>
        <v>王禹乡, 灵石县, 晋中市, 山西省</v>
      </c>
      <c r="G1049">
        <v>6095</v>
      </c>
      <c r="H1049" t="s">
        <v>2917</v>
      </c>
      <c r="I1049" t="s">
        <v>2914</v>
      </c>
      <c r="J1049" t="e">
        <f>VLOOKUP(F1049,[1]!china_towns_second__2[[Column1]:[Y]],3,FALSE)</f>
        <v>#N/A</v>
      </c>
      <c r="K1049" t="e">
        <f>VLOOKUP(F1049,[1]!china_towns_second__2[[Column1]:[Y]],2,FALSE)</f>
        <v>#N/A</v>
      </c>
      <c r="L1049" t="s">
        <v>4622</v>
      </c>
      <c r="M1049" t="str">
        <f>VLOOKUP(H1049,CHOOSE({1,2},Table12[Native],Table12[Name]),2,0)</f>
        <v>Língshí Xiàn</v>
      </c>
      <c r="N1049" s="13" t="str">
        <f>VLOOKUP(I1049,CHOOSE({1,2},Table12[Native],Table12[Name]),2,0)</f>
        <v>Jìnzhōng Shì</v>
      </c>
      <c r="O1049" s="13" t="str">
        <f t="shared" si="32"/>
        <v>Wangyu Xiang (Jìnzhōng Shì)</v>
      </c>
      <c r="P1049" s="13" t="str">
        <f t="shared" si="33"/>
        <v>Wangyu Xiang (Jìnzhōng Shì)</v>
      </c>
    </row>
    <row r="1050" spans="1:16" hidden="1" x14ac:dyDescent="0.25">
      <c r="A1050" t="s">
        <v>1321</v>
      </c>
      <c r="B1050" t="str">
        <f>IF(COUNTIF(A:A,A1050)&gt;1,_xlfn.CONCAT(A1050," (",N1050,")"),A1050)</f>
        <v>Wángzhuāng Xiāng</v>
      </c>
      <c r="C1050" t="str">
        <f>IF(COUNTIF(B:B,B1050)&gt;1,_xlfn.CONCAT(A1050," (",M1050,")"),B1050)</f>
        <v>Wángzhuāng Xiāng</v>
      </c>
      <c r="D1050" t="s">
        <v>1322</v>
      </c>
      <c r="E1050" t="s">
        <v>17</v>
      </c>
      <c r="F1050" t="str">
        <f>_xlfn.CONCAT(D1050,", ",H1050,", ",I1050,", ","山西省")</f>
        <v>王庄乡, 翼城县, 临汾市, 山西省</v>
      </c>
      <c r="G1050">
        <v>31495</v>
      </c>
      <c r="H1050" t="s">
        <v>2943</v>
      </c>
      <c r="I1050" t="s">
        <v>2927</v>
      </c>
      <c r="J1050" t="e">
        <f>VLOOKUP(F1050,[1]!china_towns_second__2[[Column1]:[Y]],3,FALSE)</f>
        <v>#N/A</v>
      </c>
      <c r="K1050" t="e">
        <f>VLOOKUP(F1050,[1]!china_towns_second__2[[Column1]:[Y]],2,FALSE)</f>
        <v>#N/A</v>
      </c>
      <c r="L1050" t="s">
        <v>4623</v>
      </c>
      <c r="M1050" t="str">
        <f>VLOOKUP(H1050,CHOOSE({1,2},Table12[Native],Table12[Name]),2,0)</f>
        <v>Yìchéng Xiàn</v>
      </c>
      <c r="N1050" s="13" t="str">
        <f>VLOOKUP(I1050,CHOOSE({1,2},Table12[Native],Table12[Name]),2,0)</f>
        <v>Línfén Shì</v>
      </c>
      <c r="O1050" s="13" t="str">
        <f t="shared" si="32"/>
        <v>Wangzhuang Xiang (Línfén Shì)</v>
      </c>
      <c r="P1050" s="13" t="str">
        <f t="shared" si="33"/>
        <v>Wangzhuang Xiang (Línfén Shì)</v>
      </c>
    </row>
    <row r="1051" spans="1:16" hidden="1" x14ac:dyDescent="0.25">
      <c r="A1051" t="s">
        <v>523</v>
      </c>
      <c r="B1051" t="str">
        <f>IF(COUNTIF(A:A,A1051)&gt;1,_xlfn.CONCAT(A1051," (",N1051,")"),A1051)</f>
        <v>Wángzhuāngbăo Zhèn</v>
      </c>
      <c r="C1051" t="str">
        <f>IF(COUNTIF(B:B,B1051)&gt;1,_xlfn.CONCAT(A1051," (",M1051,")"),B1051)</f>
        <v>Wángzhuāngbăo Zhèn</v>
      </c>
      <c r="D1051" t="s">
        <v>524</v>
      </c>
      <c r="E1051" t="s">
        <v>7</v>
      </c>
      <c r="F1051" t="str">
        <f>_xlfn.CONCAT(D1051,", ",H1051,", ",I1051,", ","山西省")</f>
        <v>王庄堡镇, 浑源县, 大同市, 山西省</v>
      </c>
      <c r="G1051">
        <v>17032</v>
      </c>
      <c r="H1051" t="s">
        <v>2896</v>
      </c>
      <c r="I1051" t="s">
        <v>2894</v>
      </c>
      <c r="J1051">
        <f>VLOOKUP(F1051,[1]!china_towns_second__2[[Column1]:[Y]],3,FALSE)</f>
        <v>39.428573241904097</v>
      </c>
      <c r="K1051">
        <f>VLOOKUP(F1051,[1]!china_towns_second__2[[Column1]:[Y]],2,FALSE)</f>
        <v>113.872533</v>
      </c>
      <c r="L1051" t="s">
        <v>4624</v>
      </c>
      <c r="M1051" t="str">
        <f>VLOOKUP(H1051,CHOOSE({1,2},Table12[Native],Table12[Name]),2,0)</f>
        <v>Húnyuán Xiàn</v>
      </c>
      <c r="N1051" s="13" t="str">
        <f>VLOOKUP(I1051,CHOOSE({1,2},Table12[Native],Table12[Name]),2,0)</f>
        <v>Dàtóng Shì</v>
      </c>
      <c r="O1051" s="13" t="str">
        <f t="shared" si="32"/>
        <v>Wangzhuangbao Zhen (Dàtóng Shì)</v>
      </c>
      <c r="P1051" s="13" t="str">
        <f t="shared" si="33"/>
        <v>Wangzhuangbao Zhen (Dàtóng Shì)</v>
      </c>
    </row>
    <row r="1052" spans="1:16" hidden="1" x14ac:dyDescent="0.25">
      <c r="A1052" t="s">
        <v>2388</v>
      </c>
      <c r="B1052" t="str">
        <f>IF(COUNTIF(A:A,A1052)&gt;1,_xlfn.CONCAT(A1052," (",N1052,")"),A1052)</f>
        <v>Wànjiāzhài Zhèn</v>
      </c>
      <c r="C1052" t="str">
        <f>IF(COUNTIF(B:B,B1052)&gt;1,_xlfn.CONCAT(A1052," (",M1052,")"),B1052)</f>
        <v>Wànjiāzhài Zhèn</v>
      </c>
      <c r="D1052" t="s">
        <v>2389</v>
      </c>
      <c r="E1052" t="s">
        <v>7</v>
      </c>
      <c r="F1052" t="str">
        <f>_xlfn.CONCAT(D1052,", ",H1052,", ",I1052,", ","山西省")</f>
        <v>万家寨镇, 偏关县, 忻州市, 山西省</v>
      </c>
      <c r="G1052">
        <v>7451</v>
      </c>
      <c r="H1052" t="s">
        <v>2990</v>
      </c>
      <c r="I1052" t="s">
        <v>2981</v>
      </c>
      <c r="J1052">
        <f>VLOOKUP(F1052,[1]!china_towns_second__2[[Column1]:[Y]],3,FALSE)</f>
        <v>39.586104291572802</v>
      </c>
      <c r="K1052">
        <f>VLOOKUP(F1052,[1]!china_towns_second__2[[Column1]:[Y]],2,FALSE)</f>
        <v>111.5161439</v>
      </c>
      <c r="L1052" t="s">
        <v>4625</v>
      </c>
      <c r="M1052" t="str">
        <f>VLOOKUP(H1052,CHOOSE({1,2},Table12[Native],Table12[Name]),2,0)</f>
        <v>Piānguān Xiàn</v>
      </c>
      <c r="N1052" s="13" t="str">
        <f>VLOOKUP(I1052,CHOOSE({1,2},Table12[Native],Table12[Name]),2,0)</f>
        <v>Xīnzhōu Shì</v>
      </c>
      <c r="O1052" s="13" t="str">
        <f t="shared" si="32"/>
        <v>Wanjiazhai Zhen (Xīnzhōu Shì)</v>
      </c>
      <c r="P1052" s="13" t="str">
        <f t="shared" si="33"/>
        <v>Wanjiazhai Zhen (Xīnzhōu Shì)</v>
      </c>
    </row>
    <row r="1053" spans="1:16" hidden="1" x14ac:dyDescent="0.25">
      <c r="A1053" t="s">
        <v>2810</v>
      </c>
      <c r="B1053" t="str">
        <f>IF(COUNTIF(A:A,A1053)&gt;1,_xlfn.CONCAT(A1053," (",N1053,")"),A1053)</f>
        <v>Wànquán Xiāng</v>
      </c>
      <c r="C1053" t="str">
        <f>IF(COUNTIF(B:B,B1053)&gt;1,_xlfn.CONCAT(A1053," (",M1053,")"),B1053)</f>
        <v>Wànquán Xiāng</v>
      </c>
      <c r="D1053" t="s">
        <v>2811</v>
      </c>
      <c r="E1053" t="s">
        <v>17</v>
      </c>
      <c r="F1053" t="str">
        <f>_xlfn.CONCAT(D1053,", ",H1053,", ",I1053,", ","山西省")</f>
        <v>万泉乡, 万荣县, 运城市, 山西省</v>
      </c>
      <c r="G1053">
        <v>14752</v>
      </c>
      <c r="H1053" t="s">
        <v>3010</v>
      </c>
      <c r="I1053" t="s">
        <v>3003</v>
      </c>
      <c r="J1053" t="e">
        <f>VLOOKUP(F1053,[1]!china_towns_second__2[[Column1]:[Y]],3,FALSE)</f>
        <v>#N/A</v>
      </c>
      <c r="K1053" t="e">
        <f>VLOOKUP(F1053,[1]!china_towns_second__2[[Column1]:[Y]],2,FALSE)</f>
        <v>#N/A</v>
      </c>
      <c r="L1053" t="s">
        <v>4626</v>
      </c>
      <c r="M1053" t="str">
        <f>VLOOKUP(H1053,CHOOSE({1,2},Table12[Native],Table12[Name]),2,0)</f>
        <v>Wànróng Xiàn</v>
      </c>
      <c r="N1053" s="13" t="str">
        <f>VLOOKUP(I1053,CHOOSE({1,2},Table12[Native],Table12[Name]),2,0)</f>
        <v>Yùnchéng Shì</v>
      </c>
      <c r="O1053" s="13" t="str">
        <f t="shared" si="32"/>
        <v>Wanquan Xiang (Yùnchéng Shì)</v>
      </c>
      <c r="P1053" s="13" t="str">
        <f t="shared" si="33"/>
        <v>Wanquan Xiang (Yùnchéng Shì)</v>
      </c>
    </row>
    <row r="1054" spans="1:16" hidden="1" x14ac:dyDescent="0.25">
      <c r="A1054" t="s">
        <v>1648</v>
      </c>
      <c r="B1054" t="str">
        <f>IF(COUNTIF(A:A,A1054)&gt;1,_xlfn.CONCAT(A1054," (",N1054,")"),A1054)</f>
        <v>Wătáng Zhèn</v>
      </c>
      <c r="C1054" t="str">
        <f>IF(COUNTIF(B:B,B1054)&gt;1,_xlfn.CONCAT(A1054," (",M1054,")"),B1054)</f>
        <v>Wătáng Zhèn</v>
      </c>
      <c r="D1054" t="s">
        <v>1649</v>
      </c>
      <c r="E1054" t="s">
        <v>7</v>
      </c>
      <c r="F1054" t="str">
        <f>_xlfn.CONCAT(D1054,", ",H1054,", ",I1054,", ","山西省")</f>
        <v>瓦塘镇, 兴县, 吕梁市, 山西省</v>
      </c>
      <c r="G1054">
        <v>15840</v>
      </c>
      <c r="H1054" t="s">
        <v>2958</v>
      </c>
      <c r="I1054" t="s">
        <v>2946</v>
      </c>
      <c r="J1054">
        <f>VLOOKUP(F1054,[1]!china_towns_second__2[[Column1]:[Y]],3,FALSE)</f>
        <v>38.628704812745397</v>
      </c>
      <c r="K1054">
        <f>VLOOKUP(F1054,[1]!china_towns_second__2[[Column1]:[Y]],2,FALSE)</f>
        <v>110.9591465</v>
      </c>
      <c r="L1054" t="s">
        <v>4627</v>
      </c>
      <c r="M1054" t="str">
        <f>VLOOKUP(H1054,CHOOSE({1,2},Table12[Native],Table12[Name]),2,0)</f>
        <v>Xīng Xiàn</v>
      </c>
      <c r="N1054" s="13" t="str">
        <f>VLOOKUP(I1054,CHOOSE({1,2},Table12[Native],Table12[Name]),2,0)</f>
        <v>Lǚliáng Shì</v>
      </c>
      <c r="O1054" s="13" t="str">
        <f t="shared" si="32"/>
        <v>Watang Zhen (Lǚliáng Shì)</v>
      </c>
      <c r="P1054" s="13" t="str">
        <f t="shared" si="33"/>
        <v>Watang Zhen (Lǚliáng Shì)</v>
      </c>
    </row>
    <row r="1055" spans="1:16" hidden="1" x14ac:dyDescent="0.25">
      <c r="A1055" t="s">
        <v>1323</v>
      </c>
      <c r="B1055" t="str">
        <f>IF(COUNTIF(A:A,A1055)&gt;1,_xlfn.CONCAT(A1055," (",N1055,")"),A1055)</f>
        <v>Wèicūn Zhèn</v>
      </c>
      <c r="C1055" t="str">
        <f>IF(COUNTIF(B:B,B1055)&gt;1,_xlfn.CONCAT(A1055," (",M1055,")"),B1055)</f>
        <v>Wèicūn Zhèn</v>
      </c>
      <c r="D1055" t="s">
        <v>1324</v>
      </c>
      <c r="E1055" t="s">
        <v>7</v>
      </c>
      <c r="F1055" t="str">
        <f>_xlfn.CONCAT(D1055,", ",H1055,", ",I1055,", ","山西省")</f>
        <v>魏村镇, 尧都区, 临汾市, 山西省</v>
      </c>
      <c r="G1055">
        <v>14364</v>
      </c>
      <c r="H1055" t="s">
        <v>2942</v>
      </c>
      <c r="I1055" t="s">
        <v>2927</v>
      </c>
      <c r="J1055">
        <f>VLOOKUP(F1055,[1]!china_towns_second__2[[Column1]:[Y]],3,FALSE)</f>
        <v>36.256201937980499</v>
      </c>
      <c r="K1055">
        <f>VLOOKUP(F1055,[1]!china_towns_second__2[[Column1]:[Y]],2,FALSE)</f>
        <v>111.4713895</v>
      </c>
      <c r="L1055" t="s">
        <v>4628</v>
      </c>
      <c r="M1055" t="str">
        <f>VLOOKUP(H1055,CHOOSE({1,2},Table12[Native],Table12[Name]),2,0)</f>
        <v>Yáodū Qū</v>
      </c>
      <c r="N1055" s="13" t="str">
        <f>VLOOKUP(I1055,CHOOSE({1,2},Table12[Native],Table12[Name]),2,0)</f>
        <v>Línfén Shì</v>
      </c>
      <c r="O1055" s="13" t="str">
        <f t="shared" si="32"/>
        <v>Weicun Zhen (Línfén Shì)</v>
      </c>
      <c r="P1055" s="13" t="str">
        <f t="shared" si="33"/>
        <v>Weicun Zhen (Línfén Shì)</v>
      </c>
    </row>
    <row r="1056" spans="1:16" hidden="1" x14ac:dyDescent="0.25">
      <c r="A1056" t="s">
        <v>2812</v>
      </c>
      <c r="B1056" t="str">
        <f>IF(COUNTIF(A:A,A1056)&gt;1,_xlfn.CONCAT(A1056," (",N1056,")"),A1056)</f>
        <v>Wèiguō Xiāng</v>
      </c>
      <c r="C1056" t="str">
        <f>IF(COUNTIF(B:B,B1056)&gt;1,_xlfn.CONCAT(A1056," (",M1056,")"),B1056)</f>
        <v>Wèiguō Xiāng</v>
      </c>
      <c r="D1056" t="s">
        <v>2813</v>
      </c>
      <c r="E1056" t="s">
        <v>17</v>
      </c>
      <c r="F1056" t="str">
        <f>_xlfn.CONCAT(D1056,", ",H1056,", ",I1056,", ","山西省")</f>
        <v>尉郭乡, 夏县, 运城市, 山西省</v>
      </c>
      <c r="G1056">
        <v>25920</v>
      </c>
      <c r="H1056" t="s">
        <v>3012</v>
      </c>
      <c r="I1056" t="s">
        <v>3003</v>
      </c>
      <c r="J1056" t="e">
        <f>VLOOKUP(F1056,[1]!china_towns_second__2[[Column1]:[Y]],3,FALSE)</f>
        <v>#N/A</v>
      </c>
      <c r="K1056" t="e">
        <f>VLOOKUP(F1056,[1]!china_towns_second__2[[Column1]:[Y]],2,FALSE)</f>
        <v>#N/A</v>
      </c>
      <c r="L1056" t="s">
        <v>4629</v>
      </c>
      <c r="M1056" t="str">
        <f>VLOOKUP(H1056,CHOOSE({1,2},Table12[Native],Table12[Name]),2,0)</f>
        <v>Xià Xiàn</v>
      </c>
      <c r="N1056" s="13" t="str">
        <f>VLOOKUP(I1056,CHOOSE({1,2},Table12[Native],Table12[Name]),2,0)</f>
        <v>Yùnchéng Shì</v>
      </c>
      <c r="O1056" s="13" t="str">
        <f t="shared" si="32"/>
        <v>Weiguo Xiang (Yùnchéng Shì)</v>
      </c>
      <c r="P1056" s="13" t="str">
        <f t="shared" si="33"/>
        <v>Weiguo Xiang (Yùnchéng Shì)</v>
      </c>
    </row>
    <row r="1057" spans="1:16" hidden="1" x14ac:dyDescent="0.25">
      <c r="A1057" t="s">
        <v>1650</v>
      </c>
      <c r="B1057" t="str">
        <f>IF(COUNTIF(A:A,A1057)&gt;1,_xlfn.CONCAT(A1057," (",N1057,")"),A1057)</f>
        <v>Wèijiātān Zhèn</v>
      </c>
      <c r="C1057" t="str">
        <f>IF(COUNTIF(B:B,B1057)&gt;1,_xlfn.CONCAT(A1057," (",M1057,")"),B1057)</f>
        <v>Wèijiātān Zhèn</v>
      </c>
      <c r="D1057" t="s">
        <v>1651</v>
      </c>
      <c r="E1057" t="s">
        <v>7</v>
      </c>
      <c r="F1057" t="str">
        <f>_xlfn.CONCAT(D1057,", ",H1057,", ",I1057,", ","山西省")</f>
        <v>魏家滩镇, 兴县, 吕梁市, 山西省</v>
      </c>
      <c r="G1057">
        <v>23079</v>
      </c>
      <c r="H1057" t="s">
        <v>2958</v>
      </c>
      <c r="I1057" t="s">
        <v>2946</v>
      </c>
      <c r="J1057">
        <f>VLOOKUP(F1057,[1]!china_towns_second__2[[Column1]:[Y]],3,FALSE)</f>
        <v>38.635116960400602</v>
      </c>
      <c r="K1057">
        <f>VLOOKUP(F1057,[1]!china_towns_second__2[[Column1]:[Y]],2,FALSE)</f>
        <v>111.1529984</v>
      </c>
      <c r="L1057" t="s">
        <v>4630</v>
      </c>
      <c r="M1057" t="str">
        <f>VLOOKUP(H1057,CHOOSE({1,2},Table12[Native],Table12[Name]),2,0)</f>
        <v>Xīng Xiàn</v>
      </c>
      <c r="N1057" s="13" t="str">
        <f>VLOOKUP(I1057,CHOOSE({1,2},Table12[Native],Table12[Name]),2,0)</f>
        <v>Lǚliáng Shì</v>
      </c>
      <c r="O1057" s="13" t="str">
        <f t="shared" si="32"/>
        <v>Weijiatan Zhen (Lǚliáng Shì)</v>
      </c>
      <c r="P1057" s="13" t="str">
        <f t="shared" si="33"/>
        <v>Weijiatan Zhen (Lǚliáng Shì)</v>
      </c>
    </row>
    <row r="1058" spans="1:16" hidden="1" x14ac:dyDescent="0.25">
      <c r="A1058" t="s">
        <v>986</v>
      </c>
      <c r="B1058" t="str">
        <f>IF(COUNTIF(A:A,A1058)&gt;1,_xlfn.CONCAT(A1058," (",N1058,")"),A1058)</f>
        <v>Wèimă Xiāng</v>
      </c>
      <c r="C1058" t="str">
        <f>IF(COUNTIF(B:B,B1058)&gt;1,_xlfn.CONCAT(A1058," (",M1058,")"),B1058)</f>
        <v>Wèimă Xiāng</v>
      </c>
      <c r="D1058" t="s">
        <v>987</v>
      </c>
      <c r="E1058" t="s">
        <v>17</v>
      </c>
      <c r="F1058" t="str">
        <f>_xlfn.CONCAT(D1058,", ",H1058,", ",I1058,", ","山西省")</f>
        <v>喂马乡, 和顺县, 晋中市, 山西省</v>
      </c>
      <c r="G1058">
        <v>7651</v>
      </c>
      <c r="H1058" t="s">
        <v>2915</v>
      </c>
      <c r="I1058" t="s">
        <v>2914</v>
      </c>
      <c r="J1058" t="e">
        <f>VLOOKUP(F1058,[1]!china_towns_second__2[[Column1]:[Y]],3,FALSE)</f>
        <v>#N/A</v>
      </c>
      <c r="K1058" t="e">
        <f>VLOOKUP(F1058,[1]!china_towns_second__2[[Column1]:[Y]],2,FALSE)</f>
        <v>#N/A</v>
      </c>
      <c r="L1058" t="s">
        <v>4631</v>
      </c>
      <c r="M1058" t="str">
        <f>VLOOKUP(H1058,CHOOSE({1,2},Table12[Native],Table12[Name]),2,0)</f>
        <v>Héshùn Xiàn</v>
      </c>
      <c r="N1058" s="13" t="str">
        <f>VLOOKUP(I1058,CHOOSE({1,2},Table12[Native],Table12[Name]),2,0)</f>
        <v>Jìnzhōng Shì</v>
      </c>
      <c r="O1058" s="13" t="str">
        <f t="shared" si="32"/>
        <v>Weima Xiang (Jìnzhōng Shì)</v>
      </c>
      <c r="P1058" s="13" t="str">
        <f t="shared" si="33"/>
        <v>Weima Xiang (Jìnzhōng Shì)</v>
      </c>
    </row>
    <row r="1059" spans="1:16" hidden="1" x14ac:dyDescent="0.25">
      <c r="A1059" t="s">
        <v>1820</v>
      </c>
      <c r="B1059" t="str">
        <f>IF(COUNTIF(A:A,A1059)&gt;1,_xlfn.CONCAT(A1059," (",N1059,")"),A1059)</f>
        <v>Wēiyuăn Zhèn</v>
      </c>
      <c r="C1059" t="str">
        <f>IF(COUNTIF(B:B,B1059)&gt;1,_xlfn.CONCAT(A1059," (",M1059,")"),B1059)</f>
        <v>Wēiyuăn Zhèn</v>
      </c>
      <c r="D1059" t="s">
        <v>1821</v>
      </c>
      <c r="E1059" t="s">
        <v>7</v>
      </c>
      <c r="F1059" t="str">
        <f>_xlfn.CONCAT(D1059,", ",H1059,", ",I1059,", ","山西省")</f>
        <v>威远镇, 右玉县, 朔州市, 山西省</v>
      </c>
      <c r="G1059">
        <v>8468</v>
      </c>
      <c r="H1059" t="s">
        <v>2967</v>
      </c>
      <c r="I1059" t="s">
        <v>2961</v>
      </c>
      <c r="J1059">
        <f>VLOOKUP(F1059,[1]!china_towns_second__2[[Column1]:[Y]],3,FALSE)</f>
        <v>39.917904176413401</v>
      </c>
      <c r="K1059">
        <f>VLOOKUP(F1059,[1]!china_towns_second__2[[Column1]:[Y]],2,FALSE)</f>
        <v>112.299577</v>
      </c>
      <c r="L1059" t="s">
        <v>4632</v>
      </c>
      <c r="M1059" t="str">
        <f>VLOOKUP(H1059,CHOOSE({1,2},Table12[Native],Table12[Name]),2,0)</f>
        <v>Yòuyù Xiàn</v>
      </c>
      <c r="N1059" s="13" t="str">
        <f>VLOOKUP(I1059,CHOOSE({1,2},Table12[Native],Table12[Name]),2,0)</f>
        <v>Shuòzhōu Shì</v>
      </c>
      <c r="O1059" s="13" t="str">
        <f t="shared" si="32"/>
        <v>Weiyuan Zhen (Shuòzhōu Shì)</v>
      </c>
      <c r="P1059" s="13" t="str">
        <f t="shared" si="33"/>
        <v>Weiyuan Zhen (Shuòzhōu Shì)</v>
      </c>
    </row>
    <row r="1060" spans="1:16" hidden="1" x14ac:dyDescent="0.25">
      <c r="A1060" t="s">
        <v>1325</v>
      </c>
      <c r="B1060" t="str">
        <f>IF(COUNTIF(A:A,A1060)&gt;1,_xlfn.CONCAT(A1060," (",N1060,")"),A1060)</f>
        <v>Wèizhuāng Xiāng</v>
      </c>
      <c r="C1060" t="str">
        <f>IF(COUNTIF(B:B,B1060)&gt;1,_xlfn.CONCAT(A1060," (",M1060,")"),B1060)</f>
        <v>Wèizhuāng Xiāng</v>
      </c>
      <c r="D1060" t="s">
        <v>1326</v>
      </c>
      <c r="E1060" t="s">
        <v>17</v>
      </c>
      <c r="F1060" t="str">
        <f>_xlfn.CONCAT(D1060,", ",H1060,", ",I1060,", ","山西省")</f>
        <v>尉庄乡, 乡宁县, 临汾市, 山西省</v>
      </c>
      <c r="G1060">
        <v>13603</v>
      </c>
      <c r="H1060" t="s">
        <v>2940</v>
      </c>
      <c r="I1060" t="s">
        <v>2927</v>
      </c>
      <c r="J1060" t="e">
        <f>VLOOKUP(F1060,[1]!china_towns_second__2[[Column1]:[Y]],3,FALSE)</f>
        <v>#N/A</v>
      </c>
      <c r="K1060" t="e">
        <f>VLOOKUP(F1060,[1]!china_towns_second__2[[Column1]:[Y]],2,FALSE)</f>
        <v>#N/A</v>
      </c>
      <c r="L1060" t="s">
        <v>4633</v>
      </c>
      <c r="M1060" t="str">
        <f>VLOOKUP(H1060,CHOOSE({1,2},Table12[Native],Table12[Name]),2,0)</f>
        <v>Xiāngníng Xiàn</v>
      </c>
      <c r="N1060" s="13" t="str">
        <f>VLOOKUP(I1060,CHOOSE({1,2},Table12[Native],Table12[Name]),2,0)</f>
        <v>Línfén Shì</v>
      </c>
      <c r="O1060" s="13" t="str">
        <f t="shared" si="32"/>
        <v>Weizhuang Xiang (Línfén Shì)</v>
      </c>
      <c r="P1060" s="13" t="str">
        <f t="shared" si="33"/>
        <v>Weizhuang Xiang (Línfén Shì)</v>
      </c>
    </row>
    <row r="1061" spans="1:16" hidden="1" x14ac:dyDescent="0.25">
      <c r="A1061" t="s">
        <v>2814</v>
      </c>
      <c r="B1061" t="str">
        <f>IF(COUNTIF(A:A,A1061)&gt;1,_xlfn.CONCAT(A1061," (",N1061,")"),A1061)</f>
        <v>Wèizhuāng Zhèn</v>
      </c>
      <c r="C1061" t="str">
        <f>IF(COUNTIF(B:B,B1061)&gt;1,_xlfn.CONCAT(A1061," (",M1061,")"),B1061)</f>
        <v>Wèizhuāng Zhèn</v>
      </c>
      <c r="D1061" t="s">
        <v>2815</v>
      </c>
      <c r="E1061" t="s">
        <v>7</v>
      </c>
      <c r="F1061" t="str">
        <f>_xlfn.CONCAT(D1061,", ",H1061,", ",I1061,", ","山西省")</f>
        <v>卫庄镇, 绛县, 运城市, 山西省</v>
      </c>
      <c r="G1061">
        <v>13659</v>
      </c>
      <c r="H1061" t="s">
        <v>3005</v>
      </c>
      <c r="I1061" t="s">
        <v>3003</v>
      </c>
      <c r="J1061">
        <f>VLOOKUP(F1061,[1]!china_towns_second__2[[Column1]:[Y]],3,FALSE)</f>
        <v>35.451014016217101</v>
      </c>
      <c r="K1061">
        <f>VLOOKUP(F1061,[1]!china_towns_second__2[[Column1]:[Y]],2,FALSE)</f>
        <v>111.72262910000001</v>
      </c>
      <c r="L1061" t="s">
        <v>4634</v>
      </c>
      <c r="M1061" t="str">
        <f>VLOOKUP(H1061,CHOOSE({1,2},Table12[Native],Table12[Name]),2,0)</f>
        <v>Jiàng Xiàn</v>
      </c>
      <c r="N1061" s="13" t="str">
        <f>VLOOKUP(I1061,CHOOSE({1,2},Table12[Native],Table12[Name]),2,0)</f>
        <v>Yùnchéng Shì</v>
      </c>
      <c r="O1061" s="13" t="str">
        <f t="shared" si="32"/>
        <v>Weizhuang Zhen (Yùnchéng Shì)</v>
      </c>
      <c r="P1061" s="13" t="str">
        <f t="shared" si="33"/>
        <v>Weizhuang Zhen (Yùnchéng Shì)</v>
      </c>
    </row>
    <row r="1062" spans="1:16" hidden="1" x14ac:dyDescent="0.25">
      <c r="A1062" t="s">
        <v>253</v>
      </c>
      <c r="B1062" t="str">
        <f>IF(COUNTIF(A:A,A1062)&gt;1,_xlfn.CONCAT(A1062," (",N1062,")"),A1062)</f>
        <v>Wēizi Zhèn</v>
      </c>
      <c r="C1062" t="str">
        <f>IF(COUNTIF(B:B,B1062)&gt;1,_xlfn.CONCAT(A1062," (",M1062,")"),B1062)</f>
        <v>Wēizi Zhèn</v>
      </c>
      <c r="D1062" t="s">
        <v>254</v>
      </c>
      <c r="E1062" t="s">
        <v>7</v>
      </c>
      <c r="F1062" t="str">
        <f>_xlfn.CONCAT(D1062,", ",H1062,", ",I1062,", ","山西省")</f>
        <v>微子镇, 潞城区, 长治市, 山西省</v>
      </c>
      <c r="G1062">
        <v>18849</v>
      </c>
      <c r="H1062" t="s">
        <v>2884</v>
      </c>
      <c r="I1062" t="s">
        <v>2878</v>
      </c>
      <c r="J1062">
        <f>VLOOKUP(F1062,[1]!china_towns_second__2[[Column1]:[Y]],3,FALSE)</f>
        <v>36.354204445813799</v>
      </c>
      <c r="K1062">
        <f>VLOOKUP(F1062,[1]!china_towns_second__2[[Column1]:[Y]],2,FALSE)</f>
        <v>113.31948439999999</v>
      </c>
      <c r="L1062" t="s">
        <v>4635</v>
      </c>
      <c r="M1062" t="str">
        <f>VLOOKUP(H1062,CHOOSE({1,2},Table12[Native],Table12[Name]),2,0)</f>
        <v>Lùchéng Qū</v>
      </c>
      <c r="N1062" s="13" t="str">
        <f>VLOOKUP(I1062,CHOOSE({1,2},Table12[Native],Table12[Name]),2,0)</f>
        <v>Chángzhì Shì</v>
      </c>
      <c r="O1062" s="13" t="str">
        <f t="shared" si="32"/>
        <v>Weizi Zhen (Chángzhì Shì)</v>
      </c>
      <c r="P1062" s="13" t="str">
        <f t="shared" si="33"/>
        <v>Weizi Zhen (Chángzhì Shì)</v>
      </c>
    </row>
    <row r="1063" spans="1:16" hidden="1" x14ac:dyDescent="0.25">
      <c r="A1063" t="s">
        <v>2390</v>
      </c>
      <c r="B1063" t="str">
        <f>IF(COUNTIF(A:A,A1063)&gt;1,_xlfn.CONCAT(A1063," (",N1063,")"),A1063)</f>
        <v>Wénbĭ Zhèn</v>
      </c>
      <c r="C1063" t="str">
        <f>IF(COUNTIF(B:B,B1063)&gt;1,_xlfn.CONCAT(A1063," (",M1063,")"),B1063)</f>
        <v>Wénbĭ Zhèn</v>
      </c>
      <c r="D1063" t="s">
        <v>2391</v>
      </c>
      <c r="E1063" t="s">
        <v>7</v>
      </c>
      <c r="F1063" t="str">
        <f>_xlfn.CONCAT(D1063,", ",H1063,", ",I1063,", ","山西省")</f>
        <v>文笔镇, 河曲县, 忻州市, 山西省</v>
      </c>
      <c r="G1063">
        <v>74307</v>
      </c>
      <c r="H1063" t="s">
        <v>2986</v>
      </c>
      <c r="I1063" t="s">
        <v>2981</v>
      </c>
      <c r="J1063">
        <f>VLOOKUP(F1063,[1]!china_towns_second__2[[Column1]:[Y]],3,FALSE)</f>
        <v>39.379572152651598</v>
      </c>
      <c r="K1063">
        <f>VLOOKUP(F1063,[1]!china_towns_second__2[[Column1]:[Y]],2,FALSE)</f>
        <v>111.1763275</v>
      </c>
      <c r="L1063" t="s">
        <v>4636</v>
      </c>
      <c r="M1063" t="str">
        <f>VLOOKUP(H1063,CHOOSE({1,2},Table12[Native],Table12[Name]),2,0)</f>
        <v>Héqŭ Xiàn</v>
      </c>
      <c r="N1063" s="13" t="str">
        <f>VLOOKUP(I1063,CHOOSE({1,2},Table12[Native],Table12[Name]),2,0)</f>
        <v>Xīnzhōu Shì</v>
      </c>
      <c r="O1063" s="13" t="str">
        <f t="shared" si="32"/>
        <v>Wenbi Zhen (Xīnzhōu Shì)</v>
      </c>
      <c r="P1063" s="13" t="str">
        <f t="shared" si="33"/>
        <v>Wenbi Zhen (Xīnzhōu Shì)</v>
      </c>
    </row>
    <row r="1064" spans="1:16" hidden="1" x14ac:dyDescent="0.25">
      <c r="A1064" t="s">
        <v>1327</v>
      </c>
      <c r="B1064" t="str">
        <f>IF(COUNTIF(A:A,A1064)&gt;1,_xlfn.CONCAT(A1064," (",N1064,")"),A1064)</f>
        <v>Wénchéng Xiāng</v>
      </c>
      <c r="C1064" t="str">
        <f>IF(COUNTIF(B:B,B1064)&gt;1,_xlfn.CONCAT(A1064," (",M1064,")"),B1064)</f>
        <v>Wénchéng Xiāng</v>
      </c>
      <c r="D1064" t="s">
        <v>1328</v>
      </c>
      <c r="E1064" t="s">
        <v>17</v>
      </c>
      <c r="F1064" t="str">
        <f>_xlfn.CONCAT(D1064,", ",H1064,", ",I1064,", ","山西省")</f>
        <v>文城乡, 吉县, 临汾市, 山西省</v>
      </c>
      <c r="G1064">
        <v>8711</v>
      </c>
      <c r="H1064" t="s">
        <v>2936</v>
      </c>
      <c r="I1064" t="s">
        <v>2927</v>
      </c>
      <c r="J1064" t="e">
        <f>VLOOKUP(F1064,[1]!china_towns_second__2[[Column1]:[Y]],3,FALSE)</f>
        <v>#N/A</v>
      </c>
      <c r="K1064" t="e">
        <f>VLOOKUP(F1064,[1]!china_towns_second__2[[Column1]:[Y]],2,FALSE)</f>
        <v>#N/A</v>
      </c>
      <c r="L1064" t="s">
        <v>4637</v>
      </c>
      <c r="M1064" t="str">
        <f>VLOOKUP(H1064,CHOOSE({1,2},Table12[Native],Table12[Name]),2,0)</f>
        <v>Jí Xiàn</v>
      </c>
      <c r="N1064" s="13" t="str">
        <f>VLOOKUP(I1064,CHOOSE({1,2},Table12[Native],Table12[Name]),2,0)</f>
        <v>Línfén Shì</v>
      </c>
      <c r="O1064" s="13" t="str">
        <f t="shared" si="32"/>
        <v>Wencheng Xiang (Línfén Shì)</v>
      </c>
      <c r="P1064" s="13" t="str">
        <f t="shared" si="33"/>
        <v>Wencheng Xiang (Línfén Shì)</v>
      </c>
    </row>
    <row r="1065" spans="1:16" hidden="1" x14ac:dyDescent="0.25">
      <c r="A1065" t="s">
        <v>1652</v>
      </c>
      <c r="B1065" t="str">
        <f>IF(COUNTIF(A:A,A1065)&gt;1,_xlfn.CONCAT(A1065," (",N1065,")"),A1065)</f>
        <v>Wénfēng Jiēdào</v>
      </c>
      <c r="C1065" t="str">
        <f>IF(COUNTIF(B:B,B1065)&gt;1,_xlfn.CONCAT(A1065," (",M1065,")"),B1065)</f>
        <v>Wénfēng Jiēdào</v>
      </c>
      <c r="D1065" t="s">
        <v>1653</v>
      </c>
      <c r="E1065" t="s">
        <v>31</v>
      </c>
      <c r="F1065" t="str">
        <f>_xlfn.CONCAT(D1065,", ",H1065,", ",I1065,", ","山西省")</f>
        <v>文峰街道, 汾阳市, 吕梁市, 山西省</v>
      </c>
      <c r="G1065">
        <v>37970</v>
      </c>
      <c r="H1065" t="s">
        <v>2948</v>
      </c>
      <c r="I1065" t="s">
        <v>2946</v>
      </c>
      <c r="J1065">
        <f>VLOOKUP(F1065,[1]!china_towns_second__2[[Column1]:[Y]],3,FALSE)</f>
        <v>37.2486493522321</v>
      </c>
      <c r="K1065">
        <f>VLOOKUP(F1065,[1]!china_towns_second__2[[Column1]:[Y]],2,FALSE)</f>
        <v>111.80057100000001</v>
      </c>
      <c r="L1065" t="s">
        <v>4638</v>
      </c>
      <c r="M1065" t="str">
        <f>VLOOKUP(H1065,CHOOSE({1,2},Table12[Native],Table12[Name]),2,0)</f>
        <v>Fényáng Shì</v>
      </c>
      <c r="N1065" s="13" t="str">
        <f>VLOOKUP(I1065,CHOOSE({1,2},Table12[Native],Table12[Name]),2,0)</f>
        <v>Lǚliáng Shì</v>
      </c>
      <c r="O1065" s="13" t="str">
        <f t="shared" si="32"/>
        <v>Wenfeng Jiedao (Lǚliáng Shì)</v>
      </c>
      <c r="P1065" s="13" t="str">
        <f t="shared" si="33"/>
        <v>Wenfeng Jiedao (Lǚliáng Shì)</v>
      </c>
    </row>
    <row r="1066" spans="1:16" hidden="1" x14ac:dyDescent="0.25">
      <c r="A1066" t="s">
        <v>988</v>
      </c>
      <c r="B1066" t="str">
        <f>IF(COUNTIF(A:A,A1066)&gt;1,_xlfn.CONCAT(A1066," (",N1066,")"),A1066)</f>
        <v>Wēnjiāzhuāng Xiāng</v>
      </c>
      <c r="C1066" t="str">
        <f>IF(COUNTIF(B:B,B1066)&gt;1,_xlfn.CONCAT(A1066," (",M1066,")"),B1066)</f>
        <v>Wēnjiāzhuāng Xiāng</v>
      </c>
      <c r="D1066" t="s">
        <v>989</v>
      </c>
      <c r="E1066" t="s">
        <v>17</v>
      </c>
      <c r="F1066" t="str">
        <f>_xlfn.CONCAT(D1066,", ",H1066,", ",I1066,", ","山西省")</f>
        <v>温家庄乡, 寿阳县, 晋中市, 山西省</v>
      </c>
      <c r="G1066">
        <v>8603</v>
      </c>
      <c r="H1066" t="s">
        <v>2920</v>
      </c>
      <c r="I1066" t="s">
        <v>2914</v>
      </c>
      <c r="J1066" t="e">
        <f>VLOOKUP(F1066,[1]!china_towns_second__2[[Column1]:[Y]],3,FALSE)</f>
        <v>#N/A</v>
      </c>
      <c r="K1066" t="e">
        <f>VLOOKUP(F1066,[1]!china_towns_second__2[[Column1]:[Y]],2,FALSE)</f>
        <v>#N/A</v>
      </c>
      <c r="L1066" t="s">
        <v>4639</v>
      </c>
      <c r="M1066" t="str">
        <f>VLOOKUP(H1066,CHOOSE({1,2},Table12[Native],Table12[Name]),2,0)</f>
        <v>Shòuyáng Xiàn</v>
      </c>
      <c r="N1066" s="13" t="str">
        <f>VLOOKUP(I1066,CHOOSE({1,2},Table12[Native],Table12[Name]),2,0)</f>
        <v>Jìnzhōng Shì</v>
      </c>
      <c r="O1066" s="13" t="str">
        <f t="shared" si="32"/>
        <v>Wenjiazhuang Xiang (Jìnzhōng Shì)</v>
      </c>
      <c r="P1066" s="13" t="str">
        <f t="shared" si="33"/>
        <v>Wenjiazhuang Xiang (Jìnzhōng Shì)</v>
      </c>
    </row>
    <row r="1067" spans="1:16" hidden="1" x14ac:dyDescent="0.25">
      <c r="A1067" t="s">
        <v>2042</v>
      </c>
      <c r="B1067" t="str">
        <f>IF(COUNTIF(A:A,A1067)&gt;1,_xlfn.CONCAT(A1067," (",N1067,")"),A1067)</f>
        <v>Wénmiào Jiēdào</v>
      </c>
      <c r="C1067" t="str">
        <f>IF(COUNTIF(B:B,B1067)&gt;1,_xlfn.CONCAT(A1067," (",M1067,")"),B1067)</f>
        <v>Wénmiào Jiēdào</v>
      </c>
      <c r="D1067" t="s">
        <v>2043</v>
      </c>
      <c r="E1067" t="s">
        <v>31</v>
      </c>
      <c r="F1067" t="str">
        <f>_xlfn.CONCAT(D1067,", ",H1067,", ",I1067,", ","山西省")</f>
        <v>文庙街道, 迎泽区, 太原市, 山西省</v>
      </c>
      <c r="G1067">
        <v>80257</v>
      </c>
      <c r="H1067" t="s">
        <v>2979</v>
      </c>
      <c r="I1067" t="s">
        <v>2969</v>
      </c>
      <c r="J1067">
        <f>VLOOKUP(F1067,[1]!china_towns_second__2[[Column1]:[Y]],3,FALSE)</f>
        <v>37.863389354948403</v>
      </c>
      <c r="K1067">
        <f>VLOOKUP(F1067,[1]!china_towns_second__2[[Column1]:[Y]],2,FALSE)</f>
        <v>112.58103319999999</v>
      </c>
      <c r="L1067" t="s">
        <v>4640</v>
      </c>
      <c r="M1067" t="str">
        <f>VLOOKUP(H1067,CHOOSE({1,2},Table12[Native],Table12[Name]),2,0)</f>
        <v>Yíngzé Qū</v>
      </c>
      <c r="N1067" s="13" t="str">
        <f>VLOOKUP(I1067,CHOOSE({1,2},Table12[Native],Table12[Name]),2,0)</f>
        <v>Tàiyuán Shì</v>
      </c>
      <c r="O1067" s="13" t="str">
        <f t="shared" si="32"/>
        <v>Wenmiao Jiedao (Tàiyuán Shì)</v>
      </c>
      <c r="P1067" s="13" t="str">
        <f t="shared" si="33"/>
        <v>Wenmiao Jiedao (Tàiyuán Shì)</v>
      </c>
    </row>
    <row r="1068" spans="1:16" hidden="1" x14ac:dyDescent="0.25">
      <c r="A1068" t="s">
        <v>1654</v>
      </c>
      <c r="B1068" t="str">
        <f>IF(COUNTIF(A:A,A1068)&gt;1,_xlfn.CONCAT(A1068," (",N1068,")"),A1068)</f>
        <v>Wēnquán Xiāng (Lǚliáng Shì)</v>
      </c>
      <c r="C1068" t="str">
        <f>IF(COUNTIF(B:B,B1068)&gt;1,_xlfn.CONCAT(A1068," (",M1068,")"),B1068)</f>
        <v>Wēnquán Xiāng (Lǚliáng Shì)</v>
      </c>
      <c r="D1068" t="s">
        <v>1655</v>
      </c>
      <c r="E1068" t="s">
        <v>17</v>
      </c>
      <c r="F1068" t="str">
        <f>_xlfn.CONCAT(D1068,", ",H1068,", ",I1068,", ","山西省")</f>
        <v>温泉乡, 交口县, 吕梁市, 山西省</v>
      </c>
      <c r="G1068">
        <v>9535</v>
      </c>
      <c r="H1068" t="s">
        <v>2950</v>
      </c>
      <c r="I1068" t="s">
        <v>2946</v>
      </c>
      <c r="J1068" t="e">
        <f>VLOOKUP(F1068,[1]!china_towns_second__2[[Column1]:[Y]],3,FALSE)</f>
        <v>#N/A</v>
      </c>
      <c r="K1068" t="e">
        <f>VLOOKUP(F1068,[1]!china_towns_second__2[[Column1]:[Y]],2,FALSE)</f>
        <v>#N/A</v>
      </c>
      <c r="L1068" t="s">
        <v>4641</v>
      </c>
      <c r="M1068" t="str">
        <f>VLOOKUP(H1068,CHOOSE({1,2},Table12[Native],Table12[Name]),2,0)</f>
        <v>Jiāokŏu Xiàn</v>
      </c>
      <c r="N1068" s="13" t="str">
        <f>VLOOKUP(I1068,CHOOSE({1,2},Table12[Native],Table12[Name]),2,0)</f>
        <v>Lǚliáng Shì</v>
      </c>
      <c r="O1068" s="13" t="str">
        <f t="shared" si="32"/>
        <v>Wenquan Xiang (Luliang Shi) (Lǚliáng Shì)</v>
      </c>
      <c r="P1068" s="13" t="str">
        <f t="shared" si="33"/>
        <v>Wenquan Xiang (Luliang Shi) (Lǚliáng Shì)</v>
      </c>
    </row>
    <row r="1069" spans="1:16" hidden="1" x14ac:dyDescent="0.25">
      <c r="A1069" t="s">
        <v>1654</v>
      </c>
      <c r="B1069" t="str">
        <f>IF(COUNTIF(A:A,A1069)&gt;1,_xlfn.CONCAT(A1069," (",N1069,")"),A1069)</f>
        <v>Wēnquán Xiāng (Xīnzhōu Shì)</v>
      </c>
      <c r="C1069" t="str">
        <f>IF(COUNTIF(B:B,B1069)&gt;1,_xlfn.CONCAT(A1069," (",M1069,")"),B1069)</f>
        <v>Wēnquán Xiāng (Xīnzhōu Shì)</v>
      </c>
      <c r="D1069" t="s">
        <v>1655</v>
      </c>
      <c r="E1069" t="s">
        <v>17</v>
      </c>
      <c r="F1069" t="str">
        <f>_xlfn.CONCAT(D1069,", ",H1069,", ",I1069,", ","山西省")</f>
        <v>温泉乡, 岢岚县, 忻州市, 山西省</v>
      </c>
      <c r="G1069">
        <v>2242</v>
      </c>
      <c r="H1069" t="s">
        <v>2988</v>
      </c>
      <c r="I1069" t="s">
        <v>2981</v>
      </c>
      <c r="J1069" t="e">
        <f>VLOOKUP(F1069,[1]!china_towns_second__2[[Column1]:[Y]],3,FALSE)</f>
        <v>#N/A</v>
      </c>
      <c r="K1069" t="e">
        <f>VLOOKUP(F1069,[1]!china_towns_second__2[[Column1]:[Y]],2,FALSE)</f>
        <v>#N/A</v>
      </c>
      <c r="L1069" t="s">
        <v>4642</v>
      </c>
      <c r="M1069" t="str">
        <f>VLOOKUP(H1069,CHOOSE({1,2},Table12[Native],Table12[Name]),2,0)</f>
        <v>Kĕlán Xiàn</v>
      </c>
      <c r="N1069" s="13" t="str">
        <f>VLOOKUP(I1069,CHOOSE({1,2},Table12[Native],Table12[Name]),2,0)</f>
        <v>Xīnzhōu Shì</v>
      </c>
      <c r="O1069" s="13" t="str">
        <f t="shared" si="32"/>
        <v>Wenquan Xiang (Xinzhou Shi) (Xīnzhōu Shì)</v>
      </c>
      <c r="P1069" s="13" t="str">
        <f t="shared" si="33"/>
        <v>Wenquan Xiang (Xinzhou Shi) (Xīnzhōu Shì)</v>
      </c>
    </row>
    <row r="1070" spans="1:16" hidden="1" x14ac:dyDescent="0.25">
      <c r="A1070" t="s">
        <v>2044</v>
      </c>
      <c r="B1070" t="str">
        <f>IF(COUNTIF(A:A,A1070)&gt;1,_xlfn.CONCAT(A1070," (",N1070,")"),A1070)</f>
        <v>Wùchéng Jiēdào</v>
      </c>
      <c r="C1070" t="str">
        <f>IF(COUNTIF(B:B,B1070)&gt;1,_xlfn.CONCAT(A1070," (",M1070,")"),B1070)</f>
        <v>Wùchéng Jiēdào</v>
      </c>
      <c r="D1070" t="s">
        <v>2045</v>
      </c>
      <c r="E1070" t="s">
        <v>31</v>
      </c>
      <c r="F1070" t="str">
        <f>_xlfn.CONCAT(D1070,", ",H1070,", ",I1070,", ","山西省")</f>
        <v>坞城街道, 小店区, 太原市, 山西省</v>
      </c>
      <c r="G1070">
        <v>149138</v>
      </c>
      <c r="H1070" t="s">
        <v>2976</v>
      </c>
      <c r="I1070" t="s">
        <v>2969</v>
      </c>
      <c r="J1070">
        <f>VLOOKUP(F1070,[1]!china_towns_second__2[[Column1]:[Y]],3,FALSE)</f>
        <v>37.803988368725101</v>
      </c>
      <c r="K1070">
        <f>VLOOKUP(F1070,[1]!china_towns_second__2[[Column1]:[Y]],2,FALSE)</f>
        <v>112.5738128</v>
      </c>
      <c r="L1070" t="s">
        <v>4643</v>
      </c>
      <c r="M1070" t="str">
        <f>VLOOKUP(H1070,CHOOSE({1,2},Table12[Native],Table12[Name]),2,0)</f>
        <v>Xiăodiàn Qū</v>
      </c>
      <c r="N1070" s="13" t="str">
        <f>VLOOKUP(I1070,CHOOSE({1,2},Table12[Native],Table12[Name]),2,0)</f>
        <v>Tàiyuán Shì</v>
      </c>
      <c r="O1070" s="13" t="str">
        <f t="shared" si="32"/>
        <v>Wucheng Jiedao (Tàiyuán Shì)</v>
      </c>
      <c r="P1070" s="13" t="str">
        <f t="shared" si="33"/>
        <v>Wucheng Jiedao (Tàiyuán Shì)</v>
      </c>
    </row>
    <row r="1071" spans="1:16" hidden="1" x14ac:dyDescent="0.25">
      <c r="A1071" t="s">
        <v>525</v>
      </c>
      <c r="B1071" t="str">
        <f>IF(COUNTIF(A:A,A1071)&gt;1,_xlfn.CONCAT(A1071," (",N1071,")"),A1071)</f>
        <v>Wúchéng Xiāng</v>
      </c>
      <c r="C1071" t="str">
        <f>IF(COUNTIF(B:B,B1071)&gt;1,_xlfn.CONCAT(A1071," (",M1071,")"),B1071)</f>
        <v>Wúchéng Xiāng</v>
      </c>
      <c r="D1071" t="s">
        <v>526</v>
      </c>
      <c r="E1071" t="s">
        <v>17</v>
      </c>
      <c r="F1071" t="str">
        <f>_xlfn.CONCAT(D1071,", ",H1071,", ",I1071,", ","山西省")</f>
        <v>吴城乡, 浑源县, 大同市, 山西省</v>
      </c>
      <c r="G1071">
        <v>8009</v>
      </c>
      <c r="H1071" t="s">
        <v>2896</v>
      </c>
      <c r="I1071" t="s">
        <v>2894</v>
      </c>
      <c r="J1071" t="e">
        <f>VLOOKUP(F1071,[1]!china_towns_second__2[[Column1]:[Y]],3,FALSE)</f>
        <v>#N/A</v>
      </c>
      <c r="K1071" t="e">
        <f>VLOOKUP(F1071,[1]!china_towns_second__2[[Column1]:[Y]],2,FALSE)</f>
        <v>#N/A</v>
      </c>
      <c r="L1071" t="s">
        <v>4644</v>
      </c>
      <c r="M1071" t="str">
        <f>VLOOKUP(H1071,CHOOSE({1,2},Table12[Native],Table12[Name]),2,0)</f>
        <v>Húnyuán Xiàn</v>
      </c>
      <c r="N1071" s="13" t="str">
        <f>VLOOKUP(I1071,CHOOSE({1,2},Table12[Native],Table12[Name]),2,0)</f>
        <v>Dàtóng Shì</v>
      </c>
      <c r="O1071" s="13" t="str">
        <f t="shared" si="32"/>
        <v>Wucheng Xiang (Dàtóng Shì)</v>
      </c>
      <c r="P1071" s="13" t="str">
        <f t="shared" si="33"/>
        <v>Wucheng Xiang (Dàtóng Shì)</v>
      </c>
    </row>
    <row r="1072" spans="1:16" x14ac:dyDescent="0.25">
      <c r="A1072" t="s">
        <v>1656</v>
      </c>
      <c r="B1072" t="str">
        <f>IF(COUNTIF(A:A,A1072)&gt;1,_xlfn.CONCAT(A1072," (",N1072,")"),A1072)</f>
        <v>Wúchéng Zhèn</v>
      </c>
      <c r="C1072" t="str">
        <f>IF(COUNTIF(B:B,B1072)&gt;1,_xlfn.CONCAT(A1072," (",M1072,")"),B1072)</f>
        <v>Wúchéng Zhèn</v>
      </c>
      <c r="D1072" t="s">
        <v>1657</v>
      </c>
      <c r="E1072" t="s">
        <v>7</v>
      </c>
      <c r="F1072" t="str">
        <f>_xlfn.CONCAT(D1072,", ",H1072,", ",I1072,", ","山西省")</f>
        <v>吴城镇, 离石区, 吕梁市, 山西省</v>
      </c>
      <c r="G1072">
        <v>9158</v>
      </c>
      <c r="H1072" t="s">
        <v>2953</v>
      </c>
      <c r="I1072" t="s">
        <v>2946</v>
      </c>
      <c r="J1072">
        <f>VLOOKUP(F1072,[1]!china_towns_second__2[[Column1]:[Y]],3,FALSE)</f>
        <v>37.450535146504798</v>
      </c>
      <c r="K1072">
        <f>VLOOKUP(F1072,[1]!china_towns_second__2[[Column1]:[Y]],2,FALSE)</f>
        <v>111.4336028</v>
      </c>
      <c r="L1072" t="s">
        <v>4645</v>
      </c>
      <c r="M1072" t="str">
        <f>VLOOKUP(H1072,CHOOSE({1,2},Table12[Native],Table12[Name]),2,0)</f>
        <v>Líshí Qū</v>
      </c>
      <c r="N1072" s="13" t="str">
        <f>VLOOKUP(I1072,CHOOSE({1,2},Table12[Native],Table12[Name]),2,0)</f>
        <v>Lǚliáng Shì</v>
      </c>
      <c r="O1072" s="13" t="str">
        <f t="shared" si="32"/>
        <v>Wucheng Zhen (Lǚliáng Shì)</v>
      </c>
      <c r="P1072" s="13" t="str">
        <f t="shared" si="33"/>
        <v>Wucheng Zhen (Lǚliáng Shì)</v>
      </c>
    </row>
    <row r="1073" spans="1:16" x14ac:dyDescent="0.25">
      <c r="A1073" t="s">
        <v>1329</v>
      </c>
      <c r="B1073" t="str">
        <f>IF(COUNTIF(A:A,A1073)&gt;1,_xlfn.CONCAT(A1073," (",N1073,")"),A1073)</f>
        <v>Wŭchéng Zhèn</v>
      </c>
      <c r="C1073" t="str">
        <f>IF(COUNTIF(B:B,B1073)&gt;1,_xlfn.CONCAT(A1073," (",M1073,")"),B1073)</f>
        <v>Wŭchéng Zhèn</v>
      </c>
      <c r="D1073" t="s">
        <v>1330</v>
      </c>
      <c r="E1073" t="s">
        <v>7</v>
      </c>
      <c r="F1073" t="str">
        <f>_xlfn.CONCAT(D1073,", ",H1073,", ",I1073,", ","山西省")</f>
        <v>午城镇, 隰县, 临汾市, 山西省</v>
      </c>
      <c r="G1073">
        <v>10094</v>
      </c>
      <c r="H1073" t="s">
        <v>2941</v>
      </c>
      <c r="I1073" t="s">
        <v>2927</v>
      </c>
      <c r="J1073">
        <f>VLOOKUP(F1073,[1]!china_towns_second__2[[Column1]:[Y]],3,FALSE)</f>
        <v>36.552788493704703</v>
      </c>
      <c r="K1073">
        <f>VLOOKUP(F1073,[1]!china_towns_second__2[[Column1]:[Y]],2,FALSE)</f>
        <v>110.8920657</v>
      </c>
      <c r="L1073" t="s">
        <v>4645</v>
      </c>
      <c r="M1073" t="str">
        <f>VLOOKUP(H1073,CHOOSE({1,2},Table12[Native],Table12[Name]),2,0)</f>
        <v>Xí Xiàn</v>
      </c>
      <c r="N1073" s="13" t="str">
        <f>VLOOKUP(I1073,CHOOSE({1,2},Table12[Native],Table12[Name]),2,0)</f>
        <v>Línfén Shì</v>
      </c>
      <c r="O1073" s="13" t="str">
        <f t="shared" si="32"/>
        <v>Wucheng Zhen (Línfén Shì)</v>
      </c>
      <c r="P1073" s="13" t="str">
        <f t="shared" si="33"/>
        <v>Wucheng Zhen (Línfén Shì)</v>
      </c>
    </row>
    <row r="1074" spans="1:16" hidden="1" x14ac:dyDescent="0.25">
      <c r="A1074" t="s">
        <v>1331</v>
      </c>
      <c r="B1074" t="str">
        <f>IF(COUNTIF(A:A,A1074)&gt;1,_xlfn.CONCAT(A1074," (",N1074,")"),A1074)</f>
        <v>Wúcūn Zhèn</v>
      </c>
      <c r="C1074" t="str">
        <f>IF(COUNTIF(B:B,B1074)&gt;1,_xlfn.CONCAT(A1074," (",M1074,")"),B1074)</f>
        <v>Wúcūn Zhèn</v>
      </c>
      <c r="D1074" t="s">
        <v>1332</v>
      </c>
      <c r="E1074" t="s">
        <v>7</v>
      </c>
      <c r="F1074" t="str">
        <f>_xlfn.CONCAT(D1074,", ",H1074,", ",I1074,", ","山西省")</f>
        <v>吴村镇, 尧都区, 临汾市, 山西省</v>
      </c>
      <c r="G1074">
        <v>23178</v>
      </c>
      <c r="H1074" t="s">
        <v>2942</v>
      </c>
      <c r="I1074" t="s">
        <v>2927</v>
      </c>
      <c r="J1074">
        <f>VLOOKUP(F1074,[1]!china_towns_second__2[[Column1]:[Y]],3,FALSE)</f>
        <v>36.191584943811002</v>
      </c>
      <c r="K1074">
        <f>VLOOKUP(F1074,[1]!china_towns_second__2[[Column1]:[Y]],2,FALSE)</f>
        <v>111.5444844</v>
      </c>
      <c r="L1074" t="s">
        <v>4646</v>
      </c>
      <c r="M1074" t="str">
        <f>VLOOKUP(H1074,CHOOSE({1,2},Table12[Native],Table12[Name]),2,0)</f>
        <v>Yáodū Qū</v>
      </c>
      <c r="N1074" s="13" t="str">
        <f>VLOOKUP(I1074,CHOOSE({1,2},Table12[Native],Table12[Name]),2,0)</f>
        <v>Línfén Shì</v>
      </c>
      <c r="O1074" s="13" t="str">
        <f t="shared" si="32"/>
        <v>Wucun Zhen (Línfén Shì)</v>
      </c>
      <c r="P1074" s="13" t="str">
        <f t="shared" si="33"/>
        <v>Wucun Zhen (Línfén Shì)</v>
      </c>
    </row>
    <row r="1075" spans="1:16" hidden="1" x14ac:dyDescent="0.25">
      <c r="A1075" t="s">
        <v>1822</v>
      </c>
      <c r="B1075" t="str">
        <f>IF(COUNTIF(A:A,A1075)&gt;1,_xlfn.CONCAT(A1075," (",N1075,")"),A1075)</f>
        <v>Wújiāyáo Zhèn</v>
      </c>
      <c r="C1075" t="str">
        <f>IF(COUNTIF(B:B,B1075)&gt;1,_xlfn.CONCAT(A1075," (",M1075,")"),B1075)</f>
        <v>Wújiāyáo Zhèn</v>
      </c>
      <c r="D1075" t="s">
        <v>1823</v>
      </c>
      <c r="E1075" t="s">
        <v>7</v>
      </c>
      <c r="F1075" t="str">
        <f>_xlfn.CONCAT(D1075,", ",H1075,", ",I1075,", ","山西省")</f>
        <v>吴家窑镇, 怀仁市, 朔州市, 山西省</v>
      </c>
      <c r="G1075">
        <v>8117</v>
      </c>
      <c r="H1075" t="s">
        <v>2962</v>
      </c>
      <c r="I1075" t="s">
        <v>2961</v>
      </c>
      <c r="J1075">
        <f>VLOOKUP(F1075,[1]!china_towns_second__2[[Column1]:[Y]],3,FALSE)</f>
        <v>39.782707528726803</v>
      </c>
      <c r="K1075">
        <f>VLOOKUP(F1075,[1]!china_towns_second__2[[Column1]:[Y]],2,FALSE)</f>
        <v>112.8638713</v>
      </c>
      <c r="L1075" t="s">
        <v>4647</v>
      </c>
      <c r="M1075" t="str">
        <f>VLOOKUP(H1075,CHOOSE({1,2},Table12[Native],Table12[Name]),2,0)</f>
        <v>Huáirén Shì</v>
      </c>
      <c r="N1075" s="13" t="str">
        <f>VLOOKUP(I1075,CHOOSE({1,2},Table12[Native],Table12[Name]),2,0)</f>
        <v>Shuòzhōu Shì</v>
      </c>
      <c r="O1075" s="13" t="str">
        <f t="shared" si="32"/>
        <v>Wujiayao Zhen (Shuòzhōu Shì)</v>
      </c>
      <c r="P1075" s="13" t="str">
        <f t="shared" si="33"/>
        <v>Wujiayao Zhen (Shuòzhōu Shì)</v>
      </c>
    </row>
    <row r="1076" spans="1:16" hidden="1" x14ac:dyDescent="0.25">
      <c r="A1076" t="s">
        <v>1658</v>
      </c>
      <c r="B1076" t="str">
        <f>IF(COUNTIF(A:A,A1076)&gt;1,_xlfn.CONCAT(A1076," (",N1076,")"),A1076)</f>
        <v>Wŭjiāzhuāng Zhèn</v>
      </c>
      <c r="C1076" t="str">
        <f>IF(COUNTIF(B:B,B1076)&gt;1,_xlfn.CONCAT(A1076," (",M1076,")"),B1076)</f>
        <v>Wŭjiāzhuāng Zhèn</v>
      </c>
      <c r="D1076" t="s">
        <v>1659</v>
      </c>
      <c r="E1076" t="s">
        <v>7</v>
      </c>
      <c r="F1076" t="str">
        <f>_xlfn.CONCAT(D1076,", ",H1076,", ",I1076,", ","山西省")</f>
        <v>武家庄镇, 中阳县, 吕梁市, 山西省</v>
      </c>
      <c r="G1076">
        <v>7585</v>
      </c>
      <c r="H1076" t="s">
        <v>2959</v>
      </c>
      <c r="I1076" t="s">
        <v>2946</v>
      </c>
      <c r="J1076">
        <f>VLOOKUP(F1076,[1]!china_towns_second__2[[Column1]:[Y]],3,FALSE)</f>
        <v>37.221056392285398</v>
      </c>
      <c r="K1076">
        <f>VLOOKUP(F1076,[1]!china_towns_second__2[[Column1]:[Y]],2,FALSE)</f>
        <v>111.03174989999999</v>
      </c>
      <c r="L1076" t="s">
        <v>4648</v>
      </c>
      <c r="M1076" t="str">
        <f>VLOOKUP(H1076,CHOOSE({1,2},Table12[Native],Table12[Name]),2,0)</f>
        <v>Zhōngyáng Xiàn</v>
      </c>
      <c r="N1076" s="13" t="str">
        <f>VLOOKUP(I1076,CHOOSE({1,2},Table12[Native],Table12[Name]),2,0)</f>
        <v>Lǚliáng Shì</v>
      </c>
      <c r="O1076" s="13" t="str">
        <f t="shared" si="32"/>
        <v>Wujiazhuang Zhen (Lǚliáng Shì)</v>
      </c>
      <c r="P1076" s="13" t="str">
        <f t="shared" si="33"/>
        <v>Wujiazhuang Zhen (Lǚliáng Shì)</v>
      </c>
    </row>
    <row r="1077" spans="1:16" hidden="1" x14ac:dyDescent="0.25">
      <c r="A1077" t="s">
        <v>990</v>
      </c>
      <c r="B1077" t="str">
        <f>IF(COUNTIF(A:A,A1077)&gt;1,_xlfn.CONCAT(A1077," (",N1077,")"),A1077)</f>
        <v>Wūjīnshān Zhèn</v>
      </c>
      <c r="C1077" t="str">
        <f>IF(COUNTIF(B:B,B1077)&gt;1,_xlfn.CONCAT(A1077," (",M1077,")"),B1077)</f>
        <v>Wūjīnshān Zhèn</v>
      </c>
      <c r="D1077" t="s">
        <v>991</v>
      </c>
      <c r="E1077" t="s">
        <v>7</v>
      </c>
      <c r="F1077" t="str">
        <f>_xlfn.CONCAT(D1077,", ",H1077,", ",I1077,", ","山西省")</f>
        <v>乌金山镇, 榆次区, 晋中市, 山西省</v>
      </c>
      <c r="G1077">
        <v>33115</v>
      </c>
      <c r="H1077" t="s">
        <v>2923</v>
      </c>
      <c r="I1077" t="s">
        <v>2914</v>
      </c>
      <c r="J1077">
        <f>VLOOKUP(F1077,[1]!china_towns_second__2[[Column1]:[Y]],3,FALSE)</f>
        <v>37.811769971057799</v>
      </c>
      <c r="K1077">
        <f>VLOOKUP(F1077,[1]!china_towns_second__2[[Column1]:[Y]],2,FALSE)</f>
        <v>112.75162159999999</v>
      </c>
      <c r="L1077" t="s">
        <v>4649</v>
      </c>
      <c r="M1077" t="str">
        <f>VLOOKUP(H1077,CHOOSE({1,2},Table12[Native],Table12[Name]),2,0)</f>
        <v>Yúcì Qū</v>
      </c>
      <c r="N1077" s="13" t="str">
        <f>VLOOKUP(I1077,CHOOSE({1,2},Table12[Native],Table12[Name]),2,0)</f>
        <v>Jìnzhōng Shì</v>
      </c>
      <c r="O1077" s="13" t="str">
        <f t="shared" si="32"/>
        <v>Wujinshan Zhen (Jìnzhōng Shì)</v>
      </c>
      <c r="P1077" s="13" t="str">
        <f t="shared" si="33"/>
        <v>Wujinshan Zhen (Jìnzhōng Shì)</v>
      </c>
    </row>
    <row r="1078" spans="1:16" hidden="1" x14ac:dyDescent="0.25">
      <c r="A1078" t="s">
        <v>527</v>
      </c>
      <c r="B1078" t="str">
        <f>IF(COUNTIF(A:A,A1078)&gt;1,_xlfn.CONCAT(A1078," (",N1078,")"),A1078)</f>
        <v>Wŭlíng Zhèn</v>
      </c>
      <c r="C1078" t="str">
        <f>IF(COUNTIF(B:B,B1078)&gt;1,_xlfn.CONCAT(A1078," (",M1078,")"),B1078)</f>
        <v>Wŭlíng Zhèn</v>
      </c>
      <c r="D1078" t="s">
        <v>528</v>
      </c>
      <c r="E1078" t="s">
        <v>7</v>
      </c>
      <c r="F1078" t="str">
        <f>_xlfn.CONCAT(D1078,", ",H1078,", ",I1078,", ","山西省")</f>
        <v>武灵镇, 灵丘县, 大同市, 山西省</v>
      </c>
      <c r="G1078">
        <v>121110</v>
      </c>
      <c r="H1078" t="s">
        <v>2897</v>
      </c>
      <c r="I1078" t="s">
        <v>2894</v>
      </c>
      <c r="J1078">
        <f>VLOOKUP(F1078,[1]!china_towns_second__2[[Column1]:[Y]],3,FALSE)</f>
        <v>39.431608764247898</v>
      </c>
      <c r="K1078">
        <f>VLOOKUP(F1078,[1]!china_towns_second__2[[Column1]:[Y]],2,FALSE)</f>
        <v>114.20292980000001</v>
      </c>
      <c r="L1078" t="s">
        <v>4650</v>
      </c>
      <c r="M1078" t="str">
        <f>VLOOKUP(H1078,CHOOSE({1,2},Table12[Native],Table12[Name]),2,0)</f>
        <v>Língqiū Xiàn</v>
      </c>
      <c r="N1078" s="13" t="str">
        <f>VLOOKUP(I1078,CHOOSE({1,2},Table12[Native],Table12[Name]),2,0)</f>
        <v>Dàtóng Shì</v>
      </c>
      <c r="O1078" s="13" t="str">
        <f t="shared" si="32"/>
        <v>Wuling Zhen (Dàtóng Shì)</v>
      </c>
      <c r="P1078" s="13" t="str">
        <f t="shared" si="33"/>
        <v>Wuling Zhen (Dàtóng Shì)</v>
      </c>
    </row>
    <row r="1079" spans="1:16" hidden="1" x14ac:dyDescent="0.25">
      <c r="A1079" t="s">
        <v>255</v>
      </c>
      <c r="B1079" t="str">
        <f>IF(COUNTIF(A:A,A1079)&gt;1,_xlfn.CONCAT(A1079," (",N1079,")"),A1079)</f>
        <v>Wŭlóngshān Xiāng</v>
      </c>
      <c r="C1079" t="str">
        <f>IF(COUNTIF(B:B,B1079)&gt;1,_xlfn.CONCAT(A1079," (",M1079,")"),B1079)</f>
        <v>Wŭlóngshān Xiāng</v>
      </c>
      <c r="D1079" t="s">
        <v>256</v>
      </c>
      <c r="E1079" t="s">
        <v>17</v>
      </c>
      <c r="F1079" t="str">
        <f>_xlfn.CONCAT(D1079,", ",H1079,", ",I1079,", ","山西省")</f>
        <v>五龙山乡, 壶关县, 长治市, 山西省</v>
      </c>
      <c r="G1079">
        <v>9023</v>
      </c>
      <c r="H1079" t="s">
        <v>2881</v>
      </c>
      <c r="I1079" t="s">
        <v>2878</v>
      </c>
      <c r="J1079" t="e">
        <f>VLOOKUP(F1079,[1]!china_towns_second__2[[Column1]:[Y]],3,FALSE)</f>
        <v>#N/A</v>
      </c>
      <c r="K1079" t="e">
        <f>VLOOKUP(F1079,[1]!china_towns_second__2[[Column1]:[Y]],2,FALSE)</f>
        <v>#N/A</v>
      </c>
      <c r="L1079" t="s">
        <v>4651</v>
      </c>
      <c r="M1079" t="str">
        <f>VLOOKUP(H1079,CHOOSE({1,2},Table12[Native],Table12[Name]),2,0)</f>
        <v>Húguān Xiàn</v>
      </c>
      <c r="N1079" s="13" t="str">
        <f>VLOOKUP(I1079,CHOOSE({1,2},Table12[Native],Table12[Name]),2,0)</f>
        <v>Chángzhì Shì</v>
      </c>
      <c r="O1079" s="13" t="str">
        <f t="shared" si="32"/>
        <v>Wulongshan Xiang (Chángzhì Shì)</v>
      </c>
      <c r="P1079" s="13" t="str">
        <f t="shared" si="33"/>
        <v>Wulongshan Xiang (Chángzhì Shì)</v>
      </c>
    </row>
    <row r="1080" spans="1:16" hidden="1" x14ac:dyDescent="0.25">
      <c r="A1080" t="s">
        <v>257</v>
      </c>
      <c r="B1080" t="str">
        <f>IF(COUNTIF(A:A,A1080)&gt;1,_xlfn.CONCAT(A1080," (",N1080,")"),A1080)</f>
        <v>Wŭmă Jiēdào</v>
      </c>
      <c r="C1080" t="str">
        <f>IF(COUNTIF(B:B,B1080)&gt;1,_xlfn.CONCAT(A1080," (",M1080,")"),B1080)</f>
        <v>Wŭmă Jiēdào</v>
      </c>
      <c r="D1080" t="s">
        <v>258</v>
      </c>
      <c r="E1080" t="s">
        <v>31</v>
      </c>
      <c r="F1080" t="str">
        <f>_xlfn.CONCAT(D1080,", ",H1080,", ",I1080,", ","山西省")</f>
        <v>五马街道, 潞州区, 长治市, 山西省</v>
      </c>
      <c r="G1080">
        <v>32538</v>
      </c>
      <c r="H1080" t="s">
        <v>2885</v>
      </c>
      <c r="I1080" t="s">
        <v>2878</v>
      </c>
      <c r="J1080" t="e">
        <f>VLOOKUP(F1080,[1]!china_towns_second__2[[Column1]:[Y]],3,FALSE)</f>
        <v>#N/A</v>
      </c>
      <c r="K1080" t="e">
        <f>VLOOKUP(F1080,[1]!china_towns_second__2[[Column1]:[Y]],2,FALSE)</f>
        <v>#N/A</v>
      </c>
      <c r="L1080" t="s">
        <v>4652</v>
      </c>
      <c r="M1080" t="str">
        <f>VLOOKUP(H1080,CHOOSE({1,2},Table12[Native],Table12[Name]),2,0)</f>
        <v>Lùzhōu Qū</v>
      </c>
      <c r="N1080" s="13" t="str">
        <f>VLOOKUP(I1080,CHOOSE({1,2},Table12[Native],Table12[Name]),2,0)</f>
        <v>Chángzhì Shì</v>
      </c>
      <c r="O1080" s="13" t="str">
        <f t="shared" si="32"/>
        <v>Wuma Jiedao (Chángzhì Shì)</v>
      </c>
      <c r="P1080" s="13" t="str">
        <f t="shared" si="33"/>
        <v>Wuma Jiedao (Chángzhì Shì)</v>
      </c>
    </row>
    <row r="1081" spans="1:16" hidden="1" x14ac:dyDescent="0.25">
      <c r="A1081" t="s">
        <v>1824</v>
      </c>
      <c r="B1081" t="str">
        <f>IF(COUNTIF(A:A,A1081)&gt;1,_xlfn.CONCAT(A1081," (",N1081,")"),A1081)</f>
        <v>Wúmăyíng Xiāng</v>
      </c>
      <c r="C1081" t="str">
        <f>IF(COUNTIF(B:B,B1081)&gt;1,_xlfn.CONCAT(A1081," (",M1081,")"),B1081)</f>
        <v>Wúmăyíng Xiāng</v>
      </c>
      <c r="D1081" t="s">
        <v>1825</v>
      </c>
      <c r="E1081" t="s">
        <v>17</v>
      </c>
      <c r="F1081" t="str">
        <f>_xlfn.CONCAT(D1081,", ",H1081,", ",I1081,", ","山西省")</f>
        <v>吴马营乡, 山阴县, 朔州市, 山西省</v>
      </c>
      <c r="G1081">
        <v>2455</v>
      </c>
      <c r="H1081" t="s">
        <v>2964</v>
      </c>
      <c r="I1081" t="s">
        <v>2961</v>
      </c>
      <c r="J1081" t="e">
        <f>VLOOKUP(F1081,[1]!china_towns_second__2[[Column1]:[Y]],3,FALSE)</f>
        <v>#N/A</v>
      </c>
      <c r="K1081" t="e">
        <f>VLOOKUP(F1081,[1]!china_towns_second__2[[Column1]:[Y]],2,FALSE)</f>
        <v>#N/A</v>
      </c>
      <c r="L1081" t="s">
        <v>4653</v>
      </c>
      <c r="M1081" t="str">
        <f>VLOOKUP(H1081,CHOOSE({1,2},Table12[Native],Table12[Name]),2,0)</f>
        <v>Shānyīn Xiàn</v>
      </c>
      <c r="N1081" s="13" t="str">
        <f>VLOOKUP(I1081,CHOOSE({1,2},Table12[Native],Table12[Name]),2,0)</f>
        <v>Shuòzhōu Shì</v>
      </c>
      <c r="O1081" s="13" t="str">
        <f t="shared" si="32"/>
        <v>Wumaying Xiang (Shuòzhōu Shì)</v>
      </c>
      <c r="P1081" s="13" t="str">
        <f t="shared" si="33"/>
        <v>Wumaying Xiang (Shuòzhōu Shì)</v>
      </c>
    </row>
    <row r="1082" spans="1:16" hidden="1" x14ac:dyDescent="0.25">
      <c r="A1082" t="s">
        <v>1660</v>
      </c>
      <c r="B1082" t="str">
        <f>IF(COUNTIF(A:A,A1082)&gt;1,_xlfn.CONCAT(A1082," (",N1082,")"),A1082)</f>
        <v>Wútóng Zhèn</v>
      </c>
      <c r="C1082" t="str">
        <f>IF(COUNTIF(B:B,B1082)&gt;1,_xlfn.CONCAT(A1082," (",M1082,")"),B1082)</f>
        <v>Wútóng Zhèn</v>
      </c>
      <c r="D1082" t="s">
        <v>1661</v>
      </c>
      <c r="E1082" t="s">
        <v>7</v>
      </c>
      <c r="F1082" t="str">
        <f>_xlfn.CONCAT(D1082,", ",H1082,", ",I1082,", ","山西省")</f>
        <v>梧桐镇, 孝义市, 吕梁市, 山西省</v>
      </c>
      <c r="G1082">
        <v>26766</v>
      </c>
      <c r="H1082" t="s">
        <v>2957</v>
      </c>
      <c r="I1082" t="s">
        <v>2946</v>
      </c>
      <c r="J1082">
        <f>VLOOKUP(F1082,[1]!china_towns_second__2[[Column1]:[Y]],3,FALSE)</f>
        <v>37.073948463557301</v>
      </c>
      <c r="K1082">
        <f>VLOOKUP(F1082,[1]!china_towns_second__2[[Column1]:[Y]],2,FALSE)</f>
        <v>111.8208104</v>
      </c>
      <c r="L1082" t="s">
        <v>4654</v>
      </c>
      <c r="M1082" t="str">
        <f>VLOOKUP(H1082,CHOOSE({1,2},Table12[Native],Table12[Name]),2,0)</f>
        <v>Xiàoyì Shì</v>
      </c>
      <c r="N1082" s="13" t="str">
        <f>VLOOKUP(I1082,CHOOSE({1,2},Table12[Native],Table12[Name]),2,0)</f>
        <v>Lǚliáng Shì</v>
      </c>
      <c r="O1082" s="13" t="str">
        <f t="shared" si="32"/>
        <v>Wutong Zhen (Lǚliáng Shì)</v>
      </c>
      <c r="P1082" s="13" t="str">
        <f t="shared" si="33"/>
        <v>Wutong Zhen (Lǚliáng Shì)</v>
      </c>
    </row>
    <row r="1083" spans="1:16" hidden="1" x14ac:dyDescent="0.25">
      <c r="A1083" t="s">
        <v>2816</v>
      </c>
      <c r="B1083" t="str">
        <f>IF(COUNTIF(A:A,A1083)&gt;1,_xlfn.CONCAT(A1083," (",N1083,")"),A1083)</f>
        <v>Wŭxìnghú Nóngchăng</v>
      </c>
      <c r="C1083" t="str">
        <f>IF(COUNTIF(B:B,B1083)&gt;1,_xlfn.CONCAT(A1083," (",M1083,")"),B1083)</f>
        <v>Wŭxìnghú Nóngchăng</v>
      </c>
      <c r="D1083" t="s">
        <v>2817</v>
      </c>
      <c r="E1083" t="s">
        <v>35</v>
      </c>
      <c r="F1083" t="str">
        <f>_xlfn.CONCAT(D1083,", ",H1083,", ",I1083,", ","山西省")</f>
        <v>伍姓湖农场, 永济市, 运城市, 山西省</v>
      </c>
      <c r="G1083">
        <v>828</v>
      </c>
      <c r="H1083" t="s">
        <v>3015</v>
      </c>
      <c r="I1083" t="s">
        <v>3003</v>
      </c>
      <c r="J1083">
        <f>VLOOKUP(F1083,[1]!china_towns_second__2[[Column1]:[Y]],3,FALSE)</f>
        <v>34.900025709130702</v>
      </c>
      <c r="K1083">
        <f>VLOOKUP(F1083,[1]!china_towns_second__2[[Column1]:[Y]],2,FALSE)</f>
        <v>110.50450650000001</v>
      </c>
      <c r="L1083" t="s">
        <v>4655</v>
      </c>
      <c r="M1083" t="str">
        <f>VLOOKUP(H1083,CHOOSE({1,2},Table12[Native],Table12[Name]),2,0)</f>
        <v>Yŏngjì Shì</v>
      </c>
      <c r="N1083" s="13" t="str">
        <f>VLOOKUP(I1083,CHOOSE({1,2},Table12[Native],Table12[Name]),2,0)</f>
        <v>Yùnchéng Shì</v>
      </c>
      <c r="O1083" s="13" t="str">
        <f t="shared" si="32"/>
        <v>Wuxinghu Nongchang (Yùnchéng Shì)</v>
      </c>
      <c r="P1083" s="13" t="str">
        <f t="shared" si="33"/>
        <v>Wuxinghu Nongchang (Yùnchéng Shì)</v>
      </c>
    </row>
    <row r="1084" spans="1:16" hidden="1" x14ac:dyDescent="0.25">
      <c r="A1084" t="s">
        <v>259</v>
      </c>
      <c r="B1084" t="str">
        <f>IF(COUNTIF(A:A,A1084)&gt;1,_xlfn.CONCAT(A1084," (",N1084,")"),A1084)</f>
        <v>Wúyuán Zhèn</v>
      </c>
      <c r="C1084" t="str">
        <f>IF(COUNTIF(B:B,B1084)&gt;1,_xlfn.CONCAT(A1084," (",M1084,")"),B1084)</f>
        <v>Wúyuán Zhèn</v>
      </c>
      <c r="D1084" t="s">
        <v>260</v>
      </c>
      <c r="E1084" t="s">
        <v>7</v>
      </c>
      <c r="F1084" t="str">
        <f>_xlfn.CONCAT(D1084,", ",H1084,", ",I1084,", ","山西省")</f>
        <v>吾元镇, 屯留区, 长治市, 山西省</v>
      </c>
      <c r="G1084">
        <v>15530</v>
      </c>
      <c r="H1084" t="s">
        <v>2890</v>
      </c>
      <c r="I1084" t="s">
        <v>2878</v>
      </c>
      <c r="J1084">
        <f>VLOOKUP(F1084,[1]!china_towns_second__2[[Column1]:[Y]],3,FALSE)</f>
        <v>36.417363361851301</v>
      </c>
      <c r="K1084">
        <f>VLOOKUP(F1084,[1]!china_towns_second__2[[Column1]:[Y]],2,FALSE)</f>
        <v>112.7120101</v>
      </c>
      <c r="L1084" t="s">
        <v>4656</v>
      </c>
      <c r="M1084" t="str">
        <f>VLOOKUP(H1084,CHOOSE({1,2},Table12[Native],Table12[Name]),2,0)</f>
        <v>Túnliú Qū</v>
      </c>
      <c r="N1084" s="13" t="str">
        <f>VLOOKUP(I1084,CHOOSE({1,2},Table12[Native],Table12[Name]),2,0)</f>
        <v>Chángzhì Shì</v>
      </c>
      <c r="O1084" s="13" t="str">
        <f t="shared" si="32"/>
        <v>Wuyuan Zhen (Chángzhì Shì)</v>
      </c>
      <c r="P1084" s="13" t="str">
        <f t="shared" si="33"/>
        <v>Wuyuan Zhen (Chángzhì Shì)</v>
      </c>
    </row>
    <row r="1085" spans="1:16" hidden="1" x14ac:dyDescent="0.25">
      <c r="A1085" t="s">
        <v>1662</v>
      </c>
      <c r="B1085" t="str">
        <f>IF(COUNTIF(A:A,A1085)&gt;1,_xlfn.CONCAT(A1085," (",N1085,")"),A1085)</f>
        <v>Xiàbăo Zhèn</v>
      </c>
      <c r="C1085" t="str">
        <f>IF(COUNTIF(B:B,B1085)&gt;1,_xlfn.CONCAT(A1085," (",M1085,")"),B1085)</f>
        <v>Xiàbăo Zhèn</v>
      </c>
      <c r="D1085" t="s">
        <v>1663</v>
      </c>
      <c r="E1085" t="s">
        <v>7</v>
      </c>
      <c r="F1085" t="str">
        <f>_xlfn.CONCAT(D1085,", ",H1085,", ",I1085,", ","山西省")</f>
        <v>下堡镇, 孝义市, 吕梁市, 山西省</v>
      </c>
      <c r="G1085">
        <v>18119</v>
      </c>
      <c r="H1085" t="s">
        <v>2957</v>
      </c>
      <c r="I1085" t="s">
        <v>2946</v>
      </c>
      <c r="J1085">
        <f>VLOOKUP(F1085,[1]!china_towns_second__2[[Column1]:[Y]],3,FALSE)</f>
        <v>37.149652468729698</v>
      </c>
      <c r="K1085">
        <f>VLOOKUP(F1085,[1]!china_towns_second__2[[Column1]:[Y]],2,FALSE)</f>
        <v>111.5843995</v>
      </c>
      <c r="L1085" t="s">
        <v>4657</v>
      </c>
      <c r="M1085" t="str">
        <f>VLOOKUP(H1085,CHOOSE({1,2},Table12[Native],Table12[Name]),2,0)</f>
        <v>Xiàoyì Shì</v>
      </c>
      <c r="N1085" s="13" t="str">
        <f>VLOOKUP(I1085,CHOOSE({1,2},Table12[Native],Table12[Name]),2,0)</f>
        <v>Lǚliáng Shì</v>
      </c>
      <c r="O1085" s="13" t="str">
        <f t="shared" si="32"/>
        <v>Xiabao Zhen (Lǚliáng Shì)</v>
      </c>
      <c r="P1085" s="13" t="str">
        <f t="shared" si="33"/>
        <v>Xiabao Zhen (Lǚliáng Shì)</v>
      </c>
    </row>
    <row r="1086" spans="1:16" hidden="1" x14ac:dyDescent="0.25">
      <c r="A1086" t="s">
        <v>753</v>
      </c>
      <c r="B1086" t="str">
        <f>IF(COUNTIF(A:A,A1086)&gt;1,_xlfn.CONCAT(A1086," (",N1086,")"),A1086)</f>
        <v>Xiàcūn Zhèn</v>
      </c>
      <c r="C1086" t="str">
        <f>IF(COUNTIF(B:B,B1086)&gt;1,_xlfn.CONCAT(A1086," (",M1086,")"),B1086)</f>
        <v>Xiàcūn Zhèn</v>
      </c>
      <c r="D1086" t="s">
        <v>754</v>
      </c>
      <c r="E1086" t="s">
        <v>7</v>
      </c>
      <c r="F1086" t="str">
        <f>_xlfn.CONCAT(D1086,", ",H1086,", ",I1086,", ","山西省")</f>
        <v>下村镇, 泽州县, 晋城市, 山西省</v>
      </c>
      <c r="G1086">
        <v>46926</v>
      </c>
      <c r="H1086" t="s">
        <v>2912</v>
      </c>
      <c r="I1086" t="s">
        <v>2906</v>
      </c>
      <c r="J1086">
        <f>VLOOKUP(F1086,[1]!china_towns_second__2[[Column1]:[Y]],3,FALSE)</f>
        <v>35.653922064379501</v>
      </c>
      <c r="K1086">
        <f>VLOOKUP(F1086,[1]!china_towns_second__2[[Column1]:[Y]],2,FALSE)</f>
        <v>112.7167965</v>
      </c>
      <c r="L1086" t="s">
        <v>4658</v>
      </c>
      <c r="M1086" t="str">
        <f>VLOOKUP(H1086,CHOOSE({1,2},Table12[Native],Table12[Name]),2,0)</f>
        <v>Zézhōu Xiàn</v>
      </c>
      <c r="N1086" s="13" t="str">
        <f>VLOOKUP(I1086,CHOOSE({1,2},Table12[Native],Table12[Name]),2,0)</f>
        <v>Jìnchéng Shì</v>
      </c>
      <c r="O1086" s="13" t="str">
        <f t="shared" si="32"/>
        <v>Xiacun Zhen (Jìnchéng Shì)</v>
      </c>
      <c r="P1086" s="13" t="str">
        <f t="shared" si="33"/>
        <v>Xiacun Zhen (Jìnchéng Shì)</v>
      </c>
    </row>
    <row r="1087" spans="1:16" hidden="1" x14ac:dyDescent="0.25">
      <c r="A1087" t="s">
        <v>261</v>
      </c>
      <c r="B1087" t="str">
        <f>IF(COUNTIF(A:A,A1087)&gt;1,_xlfn.CONCAT(A1087," (",N1087,")"),A1087)</f>
        <v>Xiàdiàn Zhèn</v>
      </c>
      <c r="C1087" t="str">
        <f>IF(COUNTIF(B:B,B1087)&gt;1,_xlfn.CONCAT(A1087," (",M1087,")"),B1087)</f>
        <v>Xiàdiàn Zhèn</v>
      </c>
      <c r="D1087" t="s">
        <v>262</v>
      </c>
      <c r="E1087" t="s">
        <v>7</v>
      </c>
      <c r="F1087" t="str">
        <f>_xlfn.CONCAT(D1087,", ",H1087,", ",I1087,", ","山西省")</f>
        <v>夏店镇, 襄垣县, 长治市, 山西省</v>
      </c>
      <c r="G1087">
        <v>28829</v>
      </c>
      <c r="H1087" t="s">
        <v>2892</v>
      </c>
      <c r="I1087" t="s">
        <v>2878</v>
      </c>
      <c r="J1087">
        <f>VLOOKUP(F1087,[1]!china_towns_second__2[[Column1]:[Y]],3,FALSE)</f>
        <v>36.527796054129801</v>
      </c>
      <c r="K1087">
        <f>VLOOKUP(F1087,[1]!china_towns_second__2[[Column1]:[Y]],2,FALSE)</f>
        <v>112.8974996</v>
      </c>
      <c r="L1087" t="s">
        <v>4659</v>
      </c>
      <c r="M1087" t="str">
        <f>VLOOKUP(H1087,CHOOSE({1,2},Table12[Native],Table12[Name]),2,0)</f>
        <v>Xiāngyuán Xiàn</v>
      </c>
      <c r="N1087" s="13" t="str">
        <f>VLOOKUP(I1087,CHOOSE({1,2},Table12[Native],Table12[Name]),2,0)</f>
        <v>Chángzhì Shì</v>
      </c>
      <c r="O1087" s="13" t="str">
        <f t="shared" si="32"/>
        <v>Xiadian Zhen (Chángzhì Shì)</v>
      </c>
      <c r="P1087" s="13" t="str">
        <f t="shared" si="33"/>
        <v>Xiadian Zhen (Chángzhì Shì)</v>
      </c>
    </row>
    <row r="1088" spans="1:16" hidden="1" x14ac:dyDescent="0.25">
      <c r="A1088" t="s">
        <v>529</v>
      </c>
      <c r="B1088" t="str">
        <f>IF(COUNTIF(A:A,A1088)&gt;1,_xlfn.CONCAT(A1088," (",N1088,")"),A1088)</f>
        <v>Xiàguān Xiāng</v>
      </c>
      <c r="C1088" t="str">
        <f>IF(COUNTIF(B:B,B1088)&gt;1,_xlfn.CONCAT(A1088," (",M1088,")"),B1088)</f>
        <v>Xiàguān Xiāng</v>
      </c>
      <c r="D1088" t="s">
        <v>530</v>
      </c>
      <c r="E1088" t="s">
        <v>17</v>
      </c>
      <c r="F1088" t="str">
        <f>_xlfn.CONCAT(D1088,", ",H1088,", ",I1088,", ","山西省")</f>
        <v>下关乡, 灵丘县, 大同市, 山西省</v>
      </c>
      <c r="G1088">
        <v>6778</v>
      </c>
      <c r="H1088" t="s">
        <v>2897</v>
      </c>
      <c r="I1088" t="s">
        <v>2894</v>
      </c>
      <c r="J1088" t="e">
        <f>VLOOKUP(F1088,[1]!china_towns_second__2[[Column1]:[Y]],3,FALSE)</f>
        <v>#N/A</v>
      </c>
      <c r="K1088" t="e">
        <f>VLOOKUP(F1088,[1]!china_towns_second__2[[Column1]:[Y]],2,FALSE)</f>
        <v>#N/A</v>
      </c>
      <c r="L1088" t="s">
        <v>4660</v>
      </c>
      <c r="M1088" t="str">
        <f>VLOOKUP(H1088,CHOOSE({1,2},Table12[Native],Table12[Name]),2,0)</f>
        <v>Língqiū Xiàn</v>
      </c>
      <c r="N1088" s="13" t="str">
        <f>VLOOKUP(I1088,CHOOSE({1,2},Table12[Native],Table12[Name]),2,0)</f>
        <v>Dàtóng Shì</v>
      </c>
      <c r="O1088" s="13" t="str">
        <f t="shared" si="32"/>
        <v>Xiaguan Xiang (Dàtóng Shì)</v>
      </c>
      <c r="P1088" s="13" t="str">
        <f t="shared" si="33"/>
        <v>Xiaguan Xiang (Dàtóng Shì)</v>
      </c>
    </row>
    <row r="1089" spans="1:16" hidden="1" x14ac:dyDescent="0.25">
      <c r="A1089" t="s">
        <v>531</v>
      </c>
      <c r="B1089" t="str">
        <f>IF(COUNTIF(A:A,A1089)&gt;1,_xlfn.CONCAT(A1089," (",N1089,")"),A1089)</f>
        <v>Xiàháncūn Xiāng</v>
      </c>
      <c r="C1089" t="str">
        <f>IF(COUNTIF(B:B,B1089)&gt;1,_xlfn.CONCAT(A1089," (",M1089,")"),B1089)</f>
        <v>Xiàháncūn Xiāng</v>
      </c>
      <c r="D1089" t="s">
        <v>532</v>
      </c>
      <c r="E1089" t="s">
        <v>17</v>
      </c>
      <c r="F1089" t="str">
        <f>_xlfn.CONCAT(D1089,", ",H1089,", ",I1089,", ","山西省")</f>
        <v>下韩村乡, 浑源县, 大同市, 山西省</v>
      </c>
      <c r="G1089">
        <v>9047</v>
      </c>
      <c r="H1089" t="s">
        <v>2896</v>
      </c>
      <c r="I1089" t="s">
        <v>2894</v>
      </c>
      <c r="J1089" t="e">
        <f>VLOOKUP(F1089,[1]!china_towns_second__2[[Column1]:[Y]],3,FALSE)</f>
        <v>#N/A</v>
      </c>
      <c r="K1089" t="e">
        <f>VLOOKUP(F1089,[1]!china_towns_second__2[[Column1]:[Y]],2,FALSE)</f>
        <v>#N/A</v>
      </c>
      <c r="L1089" t="s">
        <v>4661</v>
      </c>
      <c r="M1089" t="str">
        <f>VLOOKUP(H1089,CHOOSE({1,2},Table12[Native],Table12[Name]),2,0)</f>
        <v>Húnyuán Xiàn</v>
      </c>
      <c r="N1089" s="13" t="str">
        <f>VLOOKUP(I1089,CHOOSE({1,2},Table12[Native],Table12[Name]),2,0)</f>
        <v>Dàtóng Shì</v>
      </c>
      <c r="O1089" s="13" t="str">
        <f t="shared" si="32"/>
        <v>Xiahancun Xiang (Dàtóng Shì)</v>
      </c>
      <c r="P1089" s="13" t="str">
        <f t="shared" si="33"/>
        <v>Xiahancun Xiang (Dàtóng Shì)</v>
      </c>
    </row>
    <row r="1090" spans="1:16" hidden="1" x14ac:dyDescent="0.25">
      <c r="A1090" t="s">
        <v>2818</v>
      </c>
      <c r="B1090" t="str">
        <f>IF(COUNTIF(A:A,A1090)&gt;1,_xlfn.CONCAT(A1090," (",N1090,")"),A1090)</f>
        <v>Xiàhuà Xiāng</v>
      </c>
      <c r="C1090" t="str">
        <f>IF(COUNTIF(B:B,B1090)&gt;1,_xlfn.CONCAT(A1090," (",M1090,")"),B1090)</f>
        <v>Xiàhuà Xiāng</v>
      </c>
      <c r="D1090" t="s">
        <v>2819</v>
      </c>
      <c r="E1090" t="s">
        <v>17</v>
      </c>
      <c r="F1090" t="str">
        <f>_xlfn.CONCAT(D1090,", ",H1090,", ",I1090,", ","山西省")</f>
        <v>下化乡, 河津市, 运城市, 山西省</v>
      </c>
      <c r="G1090">
        <v>15020</v>
      </c>
      <c r="H1090" t="s">
        <v>3004</v>
      </c>
      <c r="I1090" t="s">
        <v>3003</v>
      </c>
      <c r="J1090" t="e">
        <f>VLOOKUP(F1090,[1]!china_towns_second__2[[Column1]:[Y]],3,FALSE)</f>
        <v>#N/A</v>
      </c>
      <c r="K1090" t="e">
        <f>VLOOKUP(F1090,[1]!china_towns_second__2[[Column1]:[Y]],2,FALSE)</f>
        <v>#N/A</v>
      </c>
      <c r="L1090" t="s">
        <v>4662</v>
      </c>
      <c r="M1090" t="str">
        <f>VLOOKUP(H1090,CHOOSE({1,2},Table12[Native],Table12[Name]),2,0)</f>
        <v>Héjīn Shì</v>
      </c>
      <c r="N1090" s="13" t="str">
        <f>VLOOKUP(I1090,CHOOSE({1,2},Table12[Native],Table12[Name]),2,0)</f>
        <v>Yùnchéng Shì</v>
      </c>
      <c r="O1090" s="13" t="str">
        <f t="shared" ref="O1090:O1153" si="34">_xlfn.CONCAT(L1090," (",N1090,")")</f>
        <v>Xiahua Xiang (Yùnchéng Shì)</v>
      </c>
      <c r="P1090" s="13" t="str">
        <f t="shared" ref="P1090:P1153" si="35">IF(COUNTIF(O:O,O1090)&gt;1,_xlfn.CONCAT(L1090," (",M1090,")"),O1090)</f>
        <v>Xiahua Xiang (Yùnchéng Shì)</v>
      </c>
    </row>
    <row r="1091" spans="1:16" hidden="1" x14ac:dyDescent="0.25">
      <c r="A1091" t="s">
        <v>1664</v>
      </c>
      <c r="B1091" t="str">
        <f>IF(COUNTIF(A:A,A1091)&gt;1,_xlfn.CONCAT(A1091," (",N1091,")"),A1091)</f>
        <v>Xiàjiāyíng Zhèn [incl. Xiàjiāyíng Shēngtài Gōngyè Yuánqū]</v>
      </c>
      <c r="C1091" t="str">
        <f>IF(COUNTIF(B:B,B1091)&gt;1,_xlfn.CONCAT(A1091," (",M1091,")"),B1091)</f>
        <v>Xiàjiāyíng Zhèn [incl. Xiàjiāyíng Shēngtài Gōngyè Yuánqū]</v>
      </c>
      <c r="D1091" t="s">
        <v>1665</v>
      </c>
      <c r="E1091" t="s">
        <v>7</v>
      </c>
      <c r="F1091" t="str">
        <f>_xlfn.CONCAT(D1091,", ",H1091,", ",I1091,", ","山西省")</f>
        <v>夏家营镇, 交城县, 吕梁市, 山西省</v>
      </c>
      <c r="G1091">
        <v>36525</v>
      </c>
      <c r="H1091" t="s">
        <v>2949</v>
      </c>
      <c r="I1091" t="s">
        <v>2946</v>
      </c>
      <c r="J1091">
        <f>VLOOKUP(F1091,[1]!china_towns_second__2[[Column1]:[Y]],3,FALSE)</f>
        <v>37.545765185255703</v>
      </c>
      <c r="K1091">
        <f>VLOOKUP(F1091,[1]!china_towns_second__2[[Column1]:[Y]],2,FALSE)</f>
        <v>112.22080529999999</v>
      </c>
      <c r="L1091" t="s">
        <v>4663</v>
      </c>
      <c r="M1091" t="str">
        <f>VLOOKUP(H1091,CHOOSE({1,2},Table12[Native],Table12[Name]),2,0)</f>
        <v>Jiāochéng Xiàn</v>
      </c>
      <c r="N1091" s="13" t="str">
        <f>VLOOKUP(I1091,CHOOSE({1,2},Table12[Native],Table12[Name]),2,0)</f>
        <v>Lǚliáng Shì</v>
      </c>
      <c r="O1091" s="13" t="str">
        <f t="shared" si="34"/>
        <v>Xiajiaying Zhen [incl. Xiajiaying Shengtai Gongye Yuanqu] (Lǚliáng Shì)</v>
      </c>
      <c r="P1091" s="13" t="str">
        <f t="shared" si="35"/>
        <v>Xiajiaying Zhen [incl. Xiajiaying Shengtai Gongye Yuanqu] (Lǚliáng Shì)</v>
      </c>
    </row>
    <row r="1092" spans="1:16" hidden="1" x14ac:dyDescent="0.25">
      <c r="A1092" t="s">
        <v>1826</v>
      </c>
      <c r="B1092" t="str">
        <f>IF(COUNTIF(A:A,A1092)&gt;1,_xlfn.CONCAT(A1092," (",N1092,")"),A1092)</f>
        <v>Xiàlăbā Xiāng</v>
      </c>
      <c r="C1092" t="str">
        <f>IF(COUNTIF(B:B,B1092)&gt;1,_xlfn.CONCAT(A1092," (",M1092,")"),B1092)</f>
        <v>Xiàlăbā Xiāng</v>
      </c>
      <c r="D1092" t="s">
        <v>1827</v>
      </c>
      <c r="E1092" t="s">
        <v>17</v>
      </c>
      <c r="F1092" t="str">
        <f>_xlfn.CONCAT(D1092,", ",H1092,", ",I1092,", ","山西省")</f>
        <v>下喇叭乡, 山阴县, 朔州市, 山西省</v>
      </c>
      <c r="G1092">
        <v>3207</v>
      </c>
      <c r="H1092" t="s">
        <v>2964</v>
      </c>
      <c r="I1092" t="s">
        <v>2961</v>
      </c>
      <c r="J1092" t="e">
        <f>VLOOKUP(F1092,[1]!china_towns_second__2[[Column1]:[Y]],3,FALSE)</f>
        <v>#N/A</v>
      </c>
      <c r="K1092" t="e">
        <f>VLOOKUP(F1092,[1]!china_towns_second__2[[Column1]:[Y]],2,FALSE)</f>
        <v>#N/A</v>
      </c>
      <c r="L1092" t="s">
        <v>4664</v>
      </c>
      <c r="M1092" t="str">
        <f>VLOOKUP(H1092,CHOOSE({1,2},Table12[Native],Table12[Name]),2,0)</f>
        <v>Shānyīn Xiàn</v>
      </c>
      <c r="N1092" s="13" t="str">
        <f>VLOOKUP(I1092,CHOOSE({1,2},Table12[Native],Table12[Name]),2,0)</f>
        <v>Shuòzhōu Shì</v>
      </c>
      <c r="O1092" s="13" t="str">
        <f t="shared" si="34"/>
        <v>Xialaba Xiang (Shuòzhōu Shì)</v>
      </c>
      <c r="P1092" s="13" t="str">
        <f t="shared" si="35"/>
        <v>Xialaba Xiang (Shuòzhōu Shì)</v>
      </c>
    </row>
    <row r="1093" spans="1:16" hidden="1" x14ac:dyDescent="0.25">
      <c r="A1093" t="s">
        <v>1333</v>
      </c>
      <c r="B1093" t="str">
        <f>IF(COUNTIF(A:A,A1093)&gt;1,_xlfn.CONCAT(A1093," (",N1093,")"),A1093)</f>
        <v>Xiàlĭ Xiāng</v>
      </c>
      <c r="C1093" t="str">
        <f>IF(COUNTIF(B:B,B1093)&gt;1,_xlfn.CONCAT(A1093," (",M1093,")"),B1093)</f>
        <v>Xiàlĭ Xiāng</v>
      </c>
      <c r="D1093" t="s">
        <v>1334</v>
      </c>
      <c r="E1093" t="s">
        <v>17</v>
      </c>
      <c r="F1093" t="str">
        <f>_xlfn.CONCAT(D1093,", ",H1093,", ",I1093,", ","山西省")</f>
        <v>下李乡, 隰县, 临汾市, 山西省</v>
      </c>
      <c r="G1093">
        <v>8623</v>
      </c>
      <c r="H1093" t="s">
        <v>2941</v>
      </c>
      <c r="I1093" t="s">
        <v>2927</v>
      </c>
      <c r="J1093" t="e">
        <f>VLOOKUP(F1093,[1]!china_towns_second__2[[Column1]:[Y]],3,FALSE)</f>
        <v>#N/A</v>
      </c>
      <c r="K1093" t="e">
        <f>VLOOKUP(F1093,[1]!china_towns_second__2[[Column1]:[Y]],2,FALSE)</f>
        <v>#N/A</v>
      </c>
      <c r="L1093" t="s">
        <v>4665</v>
      </c>
      <c r="M1093" t="str">
        <f>VLOOKUP(H1093,CHOOSE({1,2},Table12[Native],Table12[Name]),2,0)</f>
        <v>Xí Xiàn</v>
      </c>
      <c r="N1093" s="13" t="str">
        <f>VLOOKUP(I1093,CHOOSE({1,2},Table12[Native],Table12[Name]),2,0)</f>
        <v>Línfén Shì</v>
      </c>
      <c r="O1093" s="13" t="str">
        <f t="shared" si="34"/>
        <v>Xiali Xiang (Línfén Shì)</v>
      </c>
      <c r="P1093" s="13" t="str">
        <f t="shared" si="35"/>
        <v>Xiali Xiang (Línfén Shì)</v>
      </c>
    </row>
    <row r="1094" spans="1:16" hidden="1" x14ac:dyDescent="0.25">
      <c r="A1094" t="s">
        <v>263</v>
      </c>
      <c r="B1094" t="str">
        <f>IF(COUNTIF(A:A,A1094)&gt;1,_xlfn.CONCAT(A1094," (",N1094,")"),A1094)</f>
        <v>Xiàliáng Zhèn</v>
      </c>
      <c r="C1094" t="str">
        <f>IF(COUNTIF(B:B,B1094)&gt;1,_xlfn.CONCAT(A1094," (",M1094,")"),B1094)</f>
        <v>Xiàliáng Zhèn</v>
      </c>
      <c r="D1094" t="s">
        <v>264</v>
      </c>
      <c r="E1094" t="s">
        <v>7</v>
      </c>
      <c r="F1094" t="str">
        <f>_xlfn.CONCAT(D1094,", ",H1094,", ",I1094,", ","山西省")</f>
        <v>下良镇, 襄垣县, 长治市, 山西省</v>
      </c>
      <c r="G1094">
        <v>15944</v>
      </c>
      <c r="H1094" t="s">
        <v>2892</v>
      </c>
      <c r="I1094" t="s">
        <v>2878</v>
      </c>
      <c r="J1094">
        <f>VLOOKUP(F1094,[1]!china_towns_second__2[[Column1]:[Y]],3,FALSE)</f>
        <v>36.646644405081297</v>
      </c>
      <c r="K1094">
        <f>VLOOKUP(F1094,[1]!china_towns_second__2[[Column1]:[Y]],2,FALSE)</f>
        <v>113.0966473</v>
      </c>
      <c r="L1094" t="s">
        <v>4666</v>
      </c>
      <c r="M1094" t="str">
        <f>VLOOKUP(H1094,CHOOSE({1,2},Table12[Native],Table12[Name]),2,0)</f>
        <v>Xiāngyuán Xiàn</v>
      </c>
      <c r="N1094" s="13" t="str">
        <f>VLOOKUP(I1094,CHOOSE({1,2},Table12[Native],Table12[Name]),2,0)</f>
        <v>Chángzhì Shì</v>
      </c>
      <c r="O1094" s="13" t="str">
        <f t="shared" si="34"/>
        <v>Xialiang Zhen (Chángzhì Shì)</v>
      </c>
      <c r="P1094" s="13" t="str">
        <f t="shared" si="35"/>
        <v>Xialiang Zhen (Chángzhì Shì)</v>
      </c>
    </row>
    <row r="1095" spans="1:16" hidden="1" x14ac:dyDescent="0.25">
      <c r="A1095" t="s">
        <v>1828</v>
      </c>
      <c r="B1095" t="str">
        <f>IF(COUNTIF(A:A,A1095)&gt;1,_xlfn.CONCAT(A1095," (",N1095,")"),A1095)</f>
        <v>Xiàmăyù Xiāng</v>
      </c>
      <c r="C1095" t="str">
        <f>IF(COUNTIF(B:B,B1095)&gt;1,_xlfn.CONCAT(A1095," (",M1095,")"),B1095)</f>
        <v>Xiàmăyù Xiāng</v>
      </c>
      <c r="D1095" t="s">
        <v>1829</v>
      </c>
      <c r="E1095" t="s">
        <v>17</v>
      </c>
      <c r="F1095" t="str">
        <f>_xlfn.CONCAT(D1095,", ",H1095,", ",I1095,", ","山西省")</f>
        <v>下马峪乡, 应县, 朔州市, 山西省</v>
      </c>
      <c r="G1095">
        <v>9922</v>
      </c>
      <c r="H1095" t="s">
        <v>2966</v>
      </c>
      <c r="I1095" t="s">
        <v>2961</v>
      </c>
      <c r="J1095" t="e">
        <f>VLOOKUP(F1095,[1]!china_towns_second__2[[Column1]:[Y]],3,FALSE)</f>
        <v>#N/A</v>
      </c>
      <c r="K1095" t="e">
        <f>VLOOKUP(F1095,[1]!china_towns_second__2[[Column1]:[Y]],2,FALSE)</f>
        <v>#N/A</v>
      </c>
      <c r="L1095" t="s">
        <v>4667</v>
      </c>
      <c r="M1095" t="str">
        <f>VLOOKUP(H1095,CHOOSE({1,2},Table12[Native],Table12[Name]),2,0)</f>
        <v>Yīng Xiàn</v>
      </c>
      <c r="N1095" s="13" t="str">
        <f>VLOOKUP(I1095,CHOOSE({1,2},Table12[Native],Table12[Name]),2,0)</f>
        <v>Shuòzhōu Shì</v>
      </c>
      <c r="O1095" s="13" t="str">
        <f t="shared" si="34"/>
        <v>Xiamayu Xiang (Shuòzhōu Shì)</v>
      </c>
      <c r="P1095" s="13" t="str">
        <f t="shared" si="35"/>
        <v>Xiamayu Xiang (Shuòzhōu Shì)</v>
      </c>
    </row>
    <row r="1096" spans="1:16" hidden="1" x14ac:dyDescent="0.25">
      <c r="A1096" t="s">
        <v>992</v>
      </c>
      <c r="B1096" t="str">
        <f>IF(COUNTIF(A:A,A1096)&gt;1,_xlfn.CONCAT(A1096," (",N1096,")"),A1096)</f>
        <v>Xiàmén Zhèn</v>
      </c>
      <c r="C1096" t="str">
        <f>IF(COUNTIF(B:B,B1096)&gt;1,_xlfn.CONCAT(A1096," (",M1096,")"),B1096)</f>
        <v>Xiàmén Zhèn</v>
      </c>
      <c r="D1096" t="s">
        <v>993</v>
      </c>
      <c r="E1096" t="s">
        <v>7</v>
      </c>
      <c r="F1096" t="str">
        <f>_xlfn.CONCAT(D1096,", ",H1096,", ",I1096,", ","山西省")</f>
        <v>夏门镇, 灵石县, 晋中市, 山西省</v>
      </c>
      <c r="G1096">
        <v>11653</v>
      </c>
      <c r="H1096" t="s">
        <v>2917</v>
      </c>
      <c r="I1096" t="s">
        <v>2914</v>
      </c>
      <c r="J1096">
        <f>VLOOKUP(F1096,[1]!china_towns_second__2[[Column1]:[Y]],3,FALSE)</f>
        <v>36.852551298595699</v>
      </c>
      <c r="K1096">
        <f>VLOOKUP(F1096,[1]!china_towns_second__2[[Column1]:[Y]],2,FALSE)</f>
        <v>111.6725769</v>
      </c>
      <c r="L1096" t="s">
        <v>4668</v>
      </c>
      <c r="M1096" t="str">
        <f>VLOOKUP(H1096,CHOOSE({1,2},Table12[Native],Table12[Name]),2,0)</f>
        <v>Língshí Xiàn</v>
      </c>
      <c r="N1096" s="13" t="str">
        <f>VLOOKUP(I1096,CHOOSE({1,2},Table12[Native],Table12[Name]),2,0)</f>
        <v>Jìnzhōng Shì</v>
      </c>
      <c r="O1096" s="13" t="str">
        <f t="shared" si="34"/>
        <v>Xiamen Zhen (Jìnzhōng Shì)</v>
      </c>
      <c r="P1096" s="13" t="str">
        <f t="shared" si="35"/>
        <v>Xiamen Zhen (Jìnzhōng Shì)</v>
      </c>
    </row>
    <row r="1097" spans="1:16" hidden="1" x14ac:dyDescent="0.25">
      <c r="A1097" t="s">
        <v>1830</v>
      </c>
      <c r="B1097" t="str">
        <f>IF(COUNTIF(A:A,A1097)&gt;1,_xlfn.CONCAT(A1097," (",N1097,")"),A1097)</f>
        <v>Xiàmiàngāo Xiāng</v>
      </c>
      <c r="C1097" t="str">
        <f>IF(COUNTIF(B:B,B1097)&gt;1,_xlfn.CONCAT(A1097," (",M1097,")"),B1097)</f>
        <v>Xiàmiàngāo Xiāng</v>
      </c>
      <c r="D1097" t="s">
        <v>1831</v>
      </c>
      <c r="E1097" t="s">
        <v>17</v>
      </c>
      <c r="F1097" t="str">
        <f>_xlfn.CONCAT(D1097,", ",H1097,", ",I1097,", ","山西省")</f>
        <v>下面高乡, 平鲁区, 朔州市, 山西省</v>
      </c>
      <c r="G1097">
        <v>14755</v>
      </c>
      <c r="H1097" t="s">
        <v>2963</v>
      </c>
      <c r="I1097" t="s">
        <v>2961</v>
      </c>
      <c r="J1097" t="e">
        <f>VLOOKUP(F1097,[1]!china_towns_second__2[[Column1]:[Y]],3,FALSE)</f>
        <v>#N/A</v>
      </c>
      <c r="K1097" t="e">
        <f>VLOOKUP(F1097,[1]!china_towns_second__2[[Column1]:[Y]],2,FALSE)</f>
        <v>#N/A</v>
      </c>
      <c r="L1097" t="s">
        <v>4669</v>
      </c>
      <c r="M1097" t="str">
        <f>VLOOKUP(H1097,CHOOSE({1,2},Table12[Native],Table12[Name]),2,0)</f>
        <v>Pínglŭ Qū</v>
      </c>
      <c r="N1097" s="13" t="str">
        <f>VLOOKUP(I1097,CHOOSE({1,2},Table12[Native],Table12[Name]),2,0)</f>
        <v>Shuòzhōu Shì</v>
      </c>
      <c r="O1097" s="13" t="str">
        <f t="shared" si="34"/>
        <v>Xiamiangao Xiang (Shuòzhōu Shì)</v>
      </c>
      <c r="P1097" s="13" t="str">
        <f t="shared" si="35"/>
        <v>Xiamiangao Xiang (Shuòzhōu Shì)</v>
      </c>
    </row>
    <row r="1098" spans="1:16" hidden="1" x14ac:dyDescent="0.25">
      <c r="A1098" t="s">
        <v>1832</v>
      </c>
      <c r="B1098" t="str">
        <f>IF(COUNTIF(A:A,A1098)&gt;1,_xlfn.CONCAT(A1098," (",N1098,")"),A1098)</f>
        <v>Xiàmùjiăo Xiāng</v>
      </c>
      <c r="C1098" t="str">
        <f>IF(COUNTIF(B:B,B1098)&gt;1,_xlfn.CONCAT(A1098," (",M1098,")"),B1098)</f>
        <v>Xiàmùjiăo Xiāng</v>
      </c>
      <c r="D1098" t="s">
        <v>1833</v>
      </c>
      <c r="E1098" t="s">
        <v>17</v>
      </c>
      <c r="F1098" t="str">
        <f>_xlfn.CONCAT(D1098,", ",H1098,", ",I1098,", ","山西省")</f>
        <v>下木角乡, 平鲁区, 朔州市, 山西省</v>
      </c>
      <c r="G1098">
        <v>2241</v>
      </c>
      <c r="H1098" t="s">
        <v>2963</v>
      </c>
      <c r="I1098" t="s">
        <v>2961</v>
      </c>
      <c r="J1098" t="e">
        <f>VLOOKUP(F1098,[1]!china_towns_second__2[[Column1]:[Y]],3,FALSE)</f>
        <v>#N/A</v>
      </c>
      <c r="K1098" t="e">
        <f>VLOOKUP(F1098,[1]!china_towns_second__2[[Column1]:[Y]],2,FALSE)</f>
        <v>#N/A</v>
      </c>
      <c r="L1098" t="s">
        <v>4670</v>
      </c>
      <c r="M1098" t="str">
        <f>VLOOKUP(H1098,CHOOSE({1,2},Table12[Native],Table12[Name]),2,0)</f>
        <v>Pínglŭ Qū</v>
      </c>
      <c r="N1098" s="13" t="str">
        <f>VLOOKUP(I1098,CHOOSE({1,2},Table12[Native],Table12[Name]),2,0)</f>
        <v>Shuòzhōu Shì</v>
      </c>
      <c r="O1098" s="13" t="str">
        <f t="shared" si="34"/>
        <v>Xiamujiao Xiang (Shuòzhōu Shì)</v>
      </c>
      <c r="P1098" s="13" t="str">
        <f t="shared" si="35"/>
        <v>Xiamujiao Xiang (Shuòzhōu Shì)</v>
      </c>
    </row>
    <row r="1099" spans="1:16" hidden="1" x14ac:dyDescent="0.25">
      <c r="A1099" t="s">
        <v>1335</v>
      </c>
      <c r="B1099" t="str">
        <f>IF(COUNTIF(A:A,A1099)&gt;1,_xlfn.CONCAT(A1099," (",N1099,")"),A1099)</f>
        <v>Xiàndĭ Zhèn</v>
      </c>
      <c r="C1099" t="str">
        <f>IF(COUNTIF(B:B,B1099)&gt;1,_xlfn.CONCAT(A1099," (",M1099,")"),B1099)</f>
        <v>Xiàndĭ Zhèn</v>
      </c>
      <c r="D1099" t="s">
        <v>1336</v>
      </c>
      <c r="E1099" t="s">
        <v>7</v>
      </c>
      <c r="F1099" t="str">
        <f>_xlfn.CONCAT(D1099,", ",H1099,", ",I1099,", ","山西省")</f>
        <v>县底镇, 尧都区, 临汾市, 山西省</v>
      </c>
      <c r="G1099">
        <v>33518</v>
      </c>
      <c r="H1099" t="s">
        <v>2942</v>
      </c>
      <c r="I1099" t="s">
        <v>2927</v>
      </c>
      <c r="J1099">
        <f>VLOOKUP(F1099,[1]!china_towns_second__2[[Column1]:[Y]],3,FALSE)</f>
        <v>36.018323073432903</v>
      </c>
      <c r="K1099">
        <f>VLOOKUP(F1099,[1]!china_towns_second__2[[Column1]:[Y]],2,FALSE)</f>
        <v>111.62345809999999</v>
      </c>
      <c r="L1099" t="s">
        <v>4671</v>
      </c>
      <c r="M1099" t="str">
        <f>VLOOKUP(H1099,CHOOSE({1,2},Table12[Native],Table12[Name]),2,0)</f>
        <v>Yáodū Qū</v>
      </c>
      <c r="N1099" s="13" t="str">
        <f>VLOOKUP(I1099,CHOOSE({1,2},Table12[Native],Table12[Name]),2,0)</f>
        <v>Línfén Shì</v>
      </c>
      <c r="O1099" s="13" t="str">
        <f t="shared" si="34"/>
        <v>Xiandi Zhen (Línfén Shì)</v>
      </c>
      <c r="P1099" s="13" t="str">
        <f t="shared" si="35"/>
        <v>Xiandi Zhen (Línfén Shì)</v>
      </c>
    </row>
    <row r="1100" spans="1:16" hidden="1" x14ac:dyDescent="0.25">
      <c r="A1100" t="s">
        <v>994</v>
      </c>
      <c r="B1100" t="str">
        <f>IF(COUNTIF(A:A,A1100)&gt;1,_xlfn.CONCAT(A1100," (",N1100,")"),A1100)</f>
        <v>Xiānglè Xiāng</v>
      </c>
      <c r="C1100" t="str">
        <f>IF(COUNTIF(B:B,B1100)&gt;1,_xlfn.CONCAT(A1100," (",M1100,")"),B1100)</f>
        <v>Xiānglè Xiāng</v>
      </c>
      <c r="D1100" t="s">
        <v>995</v>
      </c>
      <c r="E1100" t="s">
        <v>17</v>
      </c>
      <c r="F1100" t="str">
        <f>_xlfn.CONCAT(D1100,", ",H1100,", ",I1100,", ","山西省")</f>
        <v>香乐乡, 平遥县, 晋中市, 山西省</v>
      </c>
      <c r="G1100">
        <v>22951</v>
      </c>
      <c r="H1100" t="s">
        <v>2918</v>
      </c>
      <c r="I1100" t="s">
        <v>2914</v>
      </c>
      <c r="J1100" t="e">
        <f>VLOOKUP(F1100,[1]!china_towns_second__2[[Column1]:[Y]],3,FALSE)</f>
        <v>#N/A</v>
      </c>
      <c r="K1100" t="e">
        <f>VLOOKUP(F1100,[1]!china_towns_second__2[[Column1]:[Y]],2,FALSE)</f>
        <v>#N/A</v>
      </c>
      <c r="L1100" t="s">
        <v>4672</v>
      </c>
      <c r="M1100" t="str">
        <f>VLOOKUP(H1100,CHOOSE({1,2},Table12[Native],Table12[Name]),2,0)</f>
        <v>Píngyáo Xiàn</v>
      </c>
      <c r="N1100" s="13" t="str">
        <f>VLOOKUP(I1100,CHOOSE({1,2},Table12[Native],Table12[Name]),2,0)</f>
        <v>Jìnzhōng Shì</v>
      </c>
      <c r="O1100" s="13" t="str">
        <f t="shared" si="34"/>
        <v>Xiangle Xiang (Jìnzhōng Shì)</v>
      </c>
      <c r="P1100" s="13" t="str">
        <f t="shared" si="35"/>
        <v>Xiangle Xiang (Jìnzhōng Shì)</v>
      </c>
    </row>
    <row r="1101" spans="1:16" hidden="1" x14ac:dyDescent="0.25">
      <c r="A1101" t="s">
        <v>1337</v>
      </c>
      <c r="B1101" t="str">
        <f>IF(COUNTIF(A:A,A1101)&gt;1,_xlfn.CONCAT(A1101," (",N1101,")"),A1101)</f>
        <v>Xiānglíng Zhèn</v>
      </c>
      <c r="C1101" t="str">
        <f>IF(COUNTIF(B:B,B1101)&gt;1,_xlfn.CONCAT(A1101," (",M1101,")"),B1101)</f>
        <v>Xiānglíng Zhèn</v>
      </c>
      <c r="D1101" t="s">
        <v>1338</v>
      </c>
      <c r="E1101" t="s">
        <v>7</v>
      </c>
      <c r="F1101" t="str">
        <f>_xlfn.CONCAT(D1101,", ",H1101,", ",I1101,", ","山西省")</f>
        <v>襄陵镇, 襄汾县, 临汾市, 山西省</v>
      </c>
      <c r="G1101">
        <v>40711</v>
      </c>
      <c r="H1101" t="s">
        <v>2939</v>
      </c>
      <c r="I1101" t="s">
        <v>2927</v>
      </c>
      <c r="J1101">
        <f>VLOOKUP(F1101,[1]!china_towns_second__2[[Column1]:[Y]],3,FALSE)</f>
        <v>36.014910155038201</v>
      </c>
      <c r="K1101">
        <f>VLOOKUP(F1101,[1]!china_towns_second__2[[Column1]:[Y]],2,FALSE)</f>
        <v>111.3380983</v>
      </c>
      <c r="L1101" t="s">
        <v>4673</v>
      </c>
      <c r="M1101" t="str">
        <f>VLOOKUP(H1101,CHOOSE({1,2},Table12[Native],Table12[Name]),2,0)</f>
        <v>Xiāngfén Xiàn</v>
      </c>
      <c r="N1101" s="13" t="str">
        <f>VLOOKUP(I1101,CHOOSE({1,2},Table12[Native],Table12[Name]),2,0)</f>
        <v>Línfén Shì</v>
      </c>
      <c r="O1101" s="13" t="str">
        <f t="shared" si="34"/>
        <v>Xiangling Zhen (Línfén Shì)</v>
      </c>
      <c r="P1101" s="13" t="str">
        <f t="shared" si="35"/>
        <v>Xiangling Zhen (Línfén Shì)</v>
      </c>
    </row>
    <row r="1102" spans="1:16" hidden="1" x14ac:dyDescent="0.25">
      <c r="A1102" t="s">
        <v>1339</v>
      </c>
      <c r="B1102" t="str">
        <f>IF(COUNTIF(A:A,A1102)&gt;1,_xlfn.CONCAT(A1102," (",N1102,")"),A1102)</f>
        <v>Xiăngshuĭhé Zhèn</v>
      </c>
      <c r="C1102" t="str">
        <f>IF(COUNTIF(B:B,B1102)&gt;1,_xlfn.CONCAT(A1102," (",M1102,")"),B1102)</f>
        <v>Xiăngshuĭhé Zhèn</v>
      </c>
      <c r="D1102" t="s">
        <v>1340</v>
      </c>
      <c r="E1102" t="s">
        <v>7</v>
      </c>
      <c r="F1102" t="str">
        <f>_xlfn.CONCAT(D1102,", ",H1102,", ",I1102,", ","山西省")</f>
        <v>响水河镇, 浮山县, 临汾市, 山西省</v>
      </c>
      <c r="G1102">
        <v>16498</v>
      </c>
      <c r="H1102" t="s">
        <v>2931</v>
      </c>
      <c r="I1102" t="s">
        <v>2927</v>
      </c>
      <c r="J1102">
        <f>VLOOKUP(F1102,[1]!china_towns_second__2[[Column1]:[Y]],3,FALSE)</f>
        <v>35.8887824859397</v>
      </c>
      <c r="K1102">
        <f>VLOOKUP(F1102,[1]!china_towns_second__2[[Column1]:[Y]],2,FALSE)</f>
        <v>111.81135260000001</v>
      </c>
      <c r="L1102" t="s">
        <v>4674</v>
      </c>
      <c r="M1102" t="str">
        <f>VLOOKUP(H1102,CHOOSE({1,2},Table12[Native],Table12[Name]),2,0)</f>
        <v>Fúshān Xiàn</v>
      </c>
      <c r="N1102" s="13" t="str">
        <f>VLOOKUP(I1102,CHOOSE({1,2},Table12[Native],Table12[Name]),2,0)</f>
        <v>Línfén Shì</v>
      </c>
      <c r="O1102" s="13" t="str">
        <f t="shared" si="34"/>
        <v>Xiangshuihe Zhen (Línfén Shì)</v>
      </c>
      <c r="P1102" s="13" t="str">
        <f t="shared" si="35"/>
        <v>Xiangshuihe Zhen (Línfén Shì)</v>
      </c>
    </row>
    <row r="1103" spans="1:16" hidden="1" x14ac:dyDescent="0.25">
      <c r="A1103" t="s">
        <v>1341</v>
      </c>
      <c r="B1103" t="str">
        <f>IF(COUNTIF(A:A,A1103)&gt;1,_xlfn.CONCAT(A1103," (",N1103,")"),A1103)</f>
        <v>Xiāngxiánjiē Jiēdào</v>
      </c>
      <c r="C1103" t="str">
        <f>IF(COUNTIF(B:B,B1103)&gt;1,_xlfn.CONCAT(A1103," (",M1103,")"),B1103)</f>
        <v>Xiāngxiánjiē Jiēdào</v>
      </c>
      <c r="D1103" t="s">
        <v>1342</v>
      </c>
      <c r="E1103" t="s">
        <v>31</v>
      </c>
      <c r="F1103" t="str">
        <f>_xlfn.CONCAT(D1103,", ",H1103,", ",I1103,", ","山西省")</f>
        <v>乡贤街街道, 尧都区, 临汾市, 山西省</v>
      </c>
      <c r="G1103">
        <v>58307</v>
      </c>
      <c r="H1103" t="s">
        <v>2942</v>
      </c>
      <c r="I1103" t="s">
        <v>2927</v>
      </c>
      <c r="J1103">
        <f>VLOOKUP(F1103,[1]!china_towns_second__2[[Column1]:[Y]],3,FALSE)</f>
        <v>36.066419651420802</v>
      </c>
      <c r="K1103">
        <f>VLOOKUP(F1103,[1]!china_towns_second__2[[Column1]:[Y]],2,FALSE)</f>
        <v>111.52384670000001</v>
      </c>
      <c r="L1103" t="s">
        <v>4675</v>
      </c>
      <c r="M1103" t="str">
        <f>VLOOKUP(H1103,CHOOSE({1,2},Table12[Native],Table12[Name]),2,0)</f>
        <v>Yáodū Qū</v>
      </c>
      <c r="N1103" s="13" t="str">
        <f>VLOOKUP(I1103,CHOOSE({1,2},Table12[Native],Table12[Name]),2,0)</f>
        <v>Línfén Shì</v>
      </c>
      <c r="O1103" s="13" t="str">
        <f t="shared" si="34"/>
        <v>Xiangxianjie Jiedao (Línfén Shì)</v>
      </c>
      <c r="P1103" s="13" t="str">
        <f t="shared" si="35"/>
        <v>Xiangxianjie Jiedao (Línfén Shì)</v>
      </c>
    </row>
    <row r="1104" spans="1:16" hidden="1" x14ac:dyDescent="0.25">
      <c r="A1104" t="s">
        <v>2046</v>
      </c>
      <c r="B1104" t="str">
        <f>IF(COUNTIF(A:A,A1104)&gt;1,_xlfn.CONCAT(A1104," (",N1104,")"),A1104)</f>
        <v>Xiàngyáng Zhèn</v>
      </c>
      <c r="C1104" t="str">
        <f>IF(COUNTIF(B:B,B1104)&gt;1,_xlfn.CONCAT(A1104," (",M1104,")"),B1104)</f>
        <v>Xiàngyáng Zhèn</v>
      </c>
      <c r="D1104" t="s">
        <v>2047</v>
      </c>
      <c r="E1104" t="s">
        <v>7</v>
      </c>
      <c r="F1104" t="str">
        <f>_xlfn.CONCAT(D1104,", ",H1104,", ",I1104,", ","山西省")</f>
        <v>向阳镇, 尖草坪区, 太原市, 山西省</v>
      </c>
      <c r="G1104">
        <v>17298</v>
      </c>
      <c r="H1104" t="s">
        <v>2971</v>
      </c>
      <c r="I1104" t="s">
        <v>2969</v>
      </c>
      <c r="J1104">
        <f>VLOOKUP(F1104,[1]!china_towns_second__2[[Column1]:[Y]],3,FALSE)</f>
        <v>37.996307538768697</v>
      </c>
      <c r="K1104">
        <f>VLOOKUP(F1104,[1]!china_towns_second__2[[Column1]:[Y]],2,FALSE)</f>
        <v>112.49146500000001</v>
      </c>
      <c r="L1104" t="s">
        <v>4676</v>
      </c>
      <c r="M1104" t="str">
        <f>VLOOKUP(H1104,CHOOSE({1,2},Table12[Native],Table12[Name]),2,0)</f>
        <v>Jiāncăopíng Qū</v>
      </c>
      <c r="N1104" s="13" t="str">
        <f>VLOOKUP(I1104,CHOOSE({1,2},Table12[Native],Table12[Name]),2,0)</f>
        <v>Tàiyuán Shì</v>
      </c>
      <c r="O1104" s="13" t="str">
        <f t="shared" si="34"/>
        <v>Xiangyang Zhen (Tàiyuán Shì)</v>
      </c>
      <c r="P1104" s="13" t="str">
        <f t="shared" si="35"/>
        <v>Xiangyang Zhen (Tàiyuán Shì)</v>
      </c>
    </row>
    <row r="1105" spans="1:16" hidden="1" x14ac:dyDescent="0.25">
      <c r="A1105" t="s">
        <v>1834</v>
      </c>
      <c r="B1105" t="str">
        <f>IF(COUNTIF(A:A,A1105)&gt;1,_xlfn.CONCAT(A1105," (",N1105,")"),A1105)</f>
        <v>Xiàngyángbăo Xiāng</v>
      </c>
      <c r="C1105" t="str">
        <f>IF(COUNTIF(B:B,B1105)&gt;1,_xlfn.CONCAT(A1105," (",M1105,")"),B1105)</f>
        <v>Xiàngyángbăo Xiāng</v>
      </c>
      <c r="D1105" t="s">
        <v>1835</v>
      </c>
      <c r="E1105" t="s">
        <v>17</v>
      </c>
      <c r="F1105" t="str">
        <f>_xlfn.CONCAT(D1105,", ",H1105,", ",I1105,", ","山西省")</f>
        <v>向阳堡乡, 平鲁区, 朔州市, 山西省</v>
      </c>
      <c r="G1105">
        <v>12380</v>
      </c>
      <c r="H1105" t="s">
        <v>2963</v>
      </c>
      <c r="I1105" t="s">
        <v>2961</v>
      </c>
      <c r="J1105" t="e">
        <f>VLOOKUP(F1105,[1]!china_towns_second__2[[Column1]:[Y]],3,FALSE)</f>
        <v>#N/A</v>
      </c>
      <c r="K1105" t="e">
        <f>VLOOKUP(F1105,[1]!china_towns_second__2[[Column1]:[Y]],2,FALSE)</f>
        <v>#N/A</v>
      </c>
      <c r="L1105" t="s">
        <v>4677</v>
      </c>
      <c r="M1105" t="str">
        <f>VLOOKUP(H1105,CHOOSE({1,2},Table12[Native],Table12[Name]),2,0)</f>
        <v>Pínglŭ Qū</v>
      </c>
      <c r="N1105" s="13" t="str">
        <f>VLOOKUP(I1105,CHOOSE({1,2},Table12[Native],Table12[Name]),2,0)</f>
        <v>Shuòzhōu Shì</v>
      </c>
      <c r="O1105" s="13" t="str">
        <f t="shared" si="34"/>
        <v>Xiangyangbao Xiang (Shuòzhōu Shì)</v>
      </c>
      <c r="P1105" s="13" t="str">
        <f t="shared" si="35"/>
        <v>Xiangyangbao Xiang (Shuòzhōu Shì)</v>
      </c>
    </row>
    <row r="1106" spans="1:16" hidden="1" x14ac:dyDescent="0.25">
      <c r="A1106" t="s">
        <v>533</v>
      </c>
      <c r="B1106" t="str">
        <f>IF(COUNTIF(A:A,A1106)&gt;1,_xlfn.CONCAT(A1106," (",N1106,")"),A1106)</f>
        <v>Xiàngyánglĭ Jiēdào</v>
      </c>
      <c r="C1106" t="str">
        <f>IF(COUNTIF(B:B,B1106)&gt;1,_xlfn.CONCAT(A1106," (",M1106,")"),B1106)</f>
        <v>Xiàngyánglĭ Jiēdào</v>
      </c>
      <c r="D1106" t="s">
        <v>534</v>
      </c>
      <c r="E1106" t="s">
        <v>31</v>
      </c>
      <c r="F1106" t="str">
        <f>_xlfn.CONCAT(D1106,", ",H1106,", ",I1106,", ","山西省")</f>
        <v>向阳里街道, 平城区, 大同市, 山西省</v>
      </c>
      <c r="G1106">
        <v>45063</v>
      </c>
      <c r="H1106" t="s">
        <v>2898</v>
      </c>
      <c r="I1106" t="s">
        <v>2894</v>
      </c>
      <c r="J1106" t="e">
        <f>VLOOKUP(F1106,[1]!china_towns_second__2[[Column1]:[Y]],3,FALSE)</f>
        <v>#N/A</v>
      </c>
      <c r="K1106" t="e">
        <f>VLOOKUP(F1106,[1]!china_towns_second__2[[Column1]:[Y]],2,FALSE)</f>
        <v>#N/A</v>
      </c>
      <c r="L1106" t="s">
        <v>4678</v>
      </c>
      <c r="M1106" t="str">
        <f>VLOOKUP(H1106,CHOOSE({1,2},Table12[Native],Table12[Name]),2,0)</f>
        <v>Píngchéng Qū</v>
      </c>
      <c r="N1106" s="13" t="str">
        <f>VLOOKUP(I1106,CHOOSE({1,2},Table12[Native],Table12[Name]),2,0)</f>
        <v>Dàtóng Shì</v>
      </c>
      <c r="O1106" s="13" t="str">
        <f t="shared" si="34"/>
        <v>Xiangyangli Jiedao (Dàtóng Shì)</v>
      </c>
      <c r="P1106" s="13" t="str">
        <f t="shared" si="35"/>
        <v>Xiangyangli Jiedao (Dàtóng Shì)</v>
      </c>
    </row>
    <row r="1107" spans="1:16" hidden="1" x14ac:dyDescent="0.25">
      <c r="A1107" t="s">
        <v>996</v>
      </c>
      <c r="B1107" t="str">
        <f>IF(COUNTIF(A:A,A1107)&gt;1,_xlfn.CONCAT(A1107," (",N1107,")"),A1107)</f>
        <v>Xiāngyuán Xiāng</v>
      </c>
      <c r="C1107" t="str">
        <f>IF(COUNTIF(B:B,B1107)&gt;1,_xlfn.CONCAT(A1107," (",M1107,")"),B1107)</f>
        <v>Xiāngyuán Xiāng</v>
      </c>
      <c r="D1107" t="s">
        <v>997</v>
      </c>
      <c r="E1107" t="s">
        <v>17</v>
      </c>
      <c r="F1107" t="str">
        <f>_xlfn.CONCAT(D1107,", ",H1107,", ",I1107,", ","山西省")</f>
        <v>襄垣乡, 平遥县, 晋中市, 山西省</v>
      </c>
      <c r="G1107">
        <v>22076</v>
      </c>
      <c r="H1107" t="s">
        <v>2918</v>
      </c>
      <c r="I1107" t="s">
        <v>2914</v>
      </c>
      <c r="J1107" t="e">
        <f>VLOOKUP(F1107,[1]!china_towns_second__2[[Column1]:[Y]],3,FALSE)</f>
        <v>#N/A</v>
      </c>
      <c r="K1107" t="e">
        <f>VLOOKUP(F1107,[1]!china_towns_second__2[[Column1]:[Y]],2,FALSE)</f>
        <v>#N/A</v>
      </c>
      <c r="L1107" t="s">
        <v>4679</v>
      </c>
      <c r="M1107" t="str">
        <f>VLOOKUP(H1107,CHOOSE({1,2},Table12[Native],Table12[Name]),2,0)</f>
        <v>Píngyáo Xiàn</v>
      </c>
      <c r="N1107" s="13" t="str">
        <f>VLOOKUP(I1107,CHOOSE({1,2},Table12[Native],Table12[Name]),2,0)</f>
        <v>Jìnzhōng Shì</v>
      </c>
      <c r="O1107" s="13" t="str">
        <f t="shared" si="34"/>
        <v>Xiangyuan Xiang (Jìnzhōng Shì)</v>
      </c>
      <c r="P1107" s="13" t="str">
        <f t="shared" si="35"/>
        <v>Xiangyuan Xiang (Jìnzhōng Shì)</v>
      </c>
    </row>
    <row r="1108" spans="1:16" hidden="1" x14ac:dyDescent="0.25">
      <c r="A1108" t="s">
        <v>2554</v>
      </c>
      <c r="B1108" t="str">
        <f>IF(COUNTIF(A:A,A1108)&gt;1,_xlfn.CONCAT(A1108," (",N1108,")"),A1108)</f>
        <v>Xiānrén Xiāng</v>
      </c>
      <c r="C1108" t="str">
        <f>IF(COUNTIF(B:B,B1108)&gt;1,_xlfn.CONCAT(A1108," (",M1108,")"),B1108)</f>
        <v>Xiānrén Xiāng</v>
      </c>
      <c r="D1108" t="s">
        <v>2555</v>
      </c>
      <c r="E1108" t="s">
        <v>17</v>
      </c>
      <c r="F1108" t="str">
        <f>_xlfn.CONCAT(D1108,", ",H1108,", ",I1108,", ","山西省")</f>
        <v>仙人乡, 盂县, 阳泉市, 山西省</v>
      </c>
      <c r="G1108">
        <v>13151</v>
      </c>
      <c r="H1108" t="s">
        <v>3001</v>
      </c>
      <c r="I1108" t="s">
        <v>2997</v>
      </c>
      <c r="J1108" t="e">
        <f>VLOOKUP(F1108,[1]!china_towns_second__2[[Column1]:[Y]],3,FALSE)</f>
        <v>#N/A</v>
      </c>
      <c r="K1108" t="e">
        <f>VLOOKUP(F1108,[1]!china_towns_second__2[[Column1]:[Y]],2,FALSE)</f>
        <v>#N/A</v>
      </c>
      <c r="L1108" t="s">
        <v>4680</v>
      </c>
      <c r="M1108" t="str">
        <f>VLOOKUP(H1108,CHOOSE({1,2},Table12[Native],Table12[Name]),2,0)</f>
        <v>Yú Xiàn</v>
      </c>
      <c r="N1108" s="13" t="str">
        <f>VLOOKUP(I1108,CHOOSE({1,2},Table12[Native],Table12[Name]),2,0)</f>
        <v>Yángquán Shì</v>
      </c>
      <c r="O1108" s="13" t="str">
        <f t="shared" si="34"/>
        <v>Xianren Xiang (Yángquán Shì)</v>
      </c>
      <c r="P1108" s="13" t="str">
        <f t="shared" si="35"/>
        <v>Xianren Xiang (Yángquán Shì)</v>
      </c>
    </row>
    <row r="1109" spans="1:16" hidden="1" x14ac:dyDescent="0.25">
      <c r="A1109" t="s">
        <v>998</v>
      </c>
      <c r="B1109" t="str">
        <f>IF(COUNTIF(A:A,A1109)&gt;1,_xlfn.CONCAT(A1109," (",N1109,")"),A1109)</f>
        <v>Xiăobái Xiāng</v>
      </c>
      <c r="C1109" t="str">
        <f>IF(COUNTIF(B:B,B1109)&gt;1,_xlfn.CONCAT(A1109," (",M1109,")"),B1109)</f>
        <v>Xiăobái Xiāng</v>
      </c>
      <c r="D1109" t="s">
        <v>999</v>
      </c>
      <c r="E1109" t="s">
        <v>17</v>
      </c>
      <c r="F1109" t="str">
        <f>_xlfn.CONCAT(D1109,", ",H1109,", ",I1109,", ","山西省")</f>
        <v>小白乡, 太谷区, 晋中市, 山西省</v>
      </c>
      <c r="G1109">
        <v>15656</v>
      </c>
      <c r="H1109" t="s">
        <v>2921</v>
      </c>
      <c r="I1109" t="s">
        <v>2914</v>
      </c>
      <c r="J1109" t="e">
        <f>VLOOKUP(F1109,[1]!china_towns_second__2[[Column1]:[Y]],3,FALSE)</f>
        <v>#N/A</v>
      </c>
      <c r="K1109" t="e">
        <f>VLOOKUP(F1109,[1]!china_towns_second__2[[Column1]:[Y]],2,FALSE)</f>
        <v>#N/A</v>
      </c>
      <c r="L1109" t="s">
        <v>4681</v>
      </c>
      <c r="M1109" t="str">
        <f>VLOOKUP(H1109,CHOOSE({1,2},Table12[Native],Table12[Name]),2,0)</f>
        <v>Tàigŭ Qū</v>
      </c>
      <c r="N1109" s="13" t="str">
        <f>VLOOKUP(I1109,CHOOSE({1,2},Table12[Native],Table12[Name]),2,0)</f>
        <v>Jìnzhōng Shì</v>
      </c>
      <c r="O1109" s="13" t="str">
        <f t="shared" si="34"/>
        <v>Xiaobai Xiang (Jìnzhōng Shì)</v>
      </c>
      <c r="P1109" s="13" t="str">
        <f t="shared" si="35"/>
        <v>Xiaobai Xiang (Jìnzhōng Shì)</v>
      </c>
    </row>
    <row r="1110" spans="1:16" hidden="1" x14ac:dyDescent="0.25">
      <c r="A1110" t="s">
        <v>2048</v>
      </c>
      <c r="B1110" t="str">
        <f>IF(COUNTIF(A:A,A1110)&gt;1,_xlfn.CONCAT(A1110," (",N1110,")"),A1110)</f>
        <v>Xiăodiàn Jiēdào</v>
      </c>
      <c r="C1110" t="str">
        <f>IF(COUNTIF(B:B,B1110)&gt;1,_xlfn.CONCAT(A1110," (",M1110,")"),B1110)</f>
        <v>Xiăodiàn Jiēdào</v>
      </c>
      <c r="D1110" t="s">
        <v>2049</v>
      </c>
      <c r="E1110" t="s">
        <v>31</v>
      </c>
      <c r="F1110" t="str">
        <f>_xlfn.CONCAT(D1110,", ",H1110,", ",I1110,", ","山西省")</f>
        <v>小店街道, 小店区, 太原市, 山西省</v>
      </c>
      <c r="G1110">
        <v>99836</v>
      </c>
      <c r="H1110" t="s">
        <v>2976</v>
      </c>
      <c r="I1110" t="s">
        <v>2969</v>
      </c>
      <c r="J1110">
        <f>VLOOKUP(F1110,[1]!china_towns_second__2[[Column1]:[Y]],3,FALSE)</f>
        <v>37.722472997808602</v>
      </c>
      <c r="K1110">
        <f>VLOOKUP(F1110,[1]!china_towns_second__2[[Column1]:[Y]],2,FALSE)</f>
        <v>112.5524862</v>
      </c>
      <c r="L1110" t="s">
        <v>4682</v>
      </c>
      <c r="M1110" t="str">
        <f>VLOOKUP(H1110,CHOOSE({1,2},Table12[Native],Table12[Name]),2,0)</f>
        <v>Xiăodiàn Qū</v>
      </c>
      <c r="N1110" s="13" t="str">
        <f>VLOOKUP(I1110,CHOOSE({1,2},Table12[Native],Table12[Name]),2,0)</f>
        <v>Tàiyuán Shì</v>
      </c>
      <c r="O1110" s="13" t="str">
        <f t="shared" si="34"/>
        <v>Xiaodian Jiedao (Tàiyuán Shì)</v>
      </c>
      <c r="P1110" s="13" t="str">
        <f t="shared" si="35"/>
        <v>Xiaodian Jiedao (Tàiyuán Shì)</v>
      </c>
    </row>
    <row r="1111" spans="1:16" hidden="1" x14ac:dyDescent="0.25">
      <c r="A1111" t="s">
        <v>2050</v>
      </c>
      <c r="B1111" t="str">
        <f>IF(COUNTIF(A:A,A1111)&gt;1,_xlfn.CONCAT(A1111," (",N1111,")"),A1111)</f>
        <v>Xiăofăn Xiāng</v>
      </c>
      <c r="C1111" t="str">
        <f>IF(COUNTIF(B:B,B1111)&gt;1,_xlfn.CONCAT(A1111," (",M1111,")"),B1111)</f>
        <v>Xiăofăn Xiāng</v>
      </c>
      <c r="D1111" t="s">
        <v>2051</v>
      </c>
      <c r="E1111" t="s">
        <v>17</v>
      </c>
      <c r="F1111" t="str">
        <f>_xlfn.CONCAT(D1111,", ",H1111,", ",I1111,", ","山西省")</f>
        <v>小返乡, 杏花岭区, 太原市, 山西省</v>
      </c>
      <c r="G1111">
        <v>6574</v>
      </c>
      <c r="H1111" t="s">
        <v>2977</v>
      </c>
      <c r="I1111" t="s">
        <v>2969</v>
      </c>
      <c r="J1111" t="e">
        <f>VLOOKUP(F1111,[1]!china_towns_second__2[[Column1]:[Y]],3,FALSE)</f>
        <v>#N/A</v>
      </c>
      <c r="K1111" t="e">
        <f>VLOOKUP(F1111,[1]!china_towns_second__2[[Column1]:[Y]],2,FALSE)</f>
        <v>#N/A</v>
      </c>
      <c r="L1111" t="s">
        <v>4683</v>
      </c>
      <c r="M1111" t="str">
        <f>VLOOKUP(H1111,CHOOSE({1,2},Table12[Native],Table12[Name]),2,0)</f>
        <v>Xìnghuālĭng Qū</v>
      </c>
      <c r="N1111" s="13" t="str">
        <f>VLOOKUP(I1111,CHOOSE({1,2},Table12[Native],Table12[Name]),2,0)</f>
        <v>Tàiyuán Shì</v>
      </c>
      <c r="O1111" s="13" t="str">
        <f t="shared" si="34"/>
        <v>Xiaofan Xiang (Tàiyuán Shì)</v>
      </c>
      <c r="P1111" s="13" t="str">
        <f t="shared" si="35"/>
        <v>Xiaofan Xiang (Tàiyuán Shì)</v>
      </c>
    </row>
    <row r="1112" spans="1:16" hidden="1" x14ac:dyDescent="0.25">
      <c r="A1112" t="s">
        <v>2392</v>
      </c>
      <c r="B1112" t="str">
        <f>IF(COUNTIF(A:A,A1112)&gt;1,_xlfn.CONCAT(A1112," (",N1112,")"),A1112)</f>
        <v>Xiăohétóu Zhèn</v>
      </c>
      <c r="C1112" t="str">
        <f>IF(COUNTIF(B:B,B1112)&gt;1,_xlfn.CONCAT(A1112," (",M1112,")"),B1112)</f>
        <v>Xiăohétóu Zhèn</v>
      </c>
      <c r="D1112" t="s">
        <v>2393</v>
      </c>
      <c r="E1112" t="s">
        <v>7</v>
      </c>
      <c r="F1112" t="str">
        <f>_xlfn.CONCAT(D1112,", ",H1112,", ",I1112,", ","山西省")</f>
        <v>小河头镇, 五寨县, 忻州市, 山西省</v>
      </c>
      <c r="G1112">
        <v>4473</v>
      </c>
      <c r="H1112" t="s">
        <v>2993</v>
      </c>
      <c r="I1112" t="s">
        <v>2981</v>
      </c>
      <c r="J1112">
        <f>VLOOKUP(F1112,[1]!china_towns_second__2[[Column1]:[Y]],3,FALSE)</f>
        <v>39.052461003694098</v>
      </c>
      <c r="K1112">
        <f>VLOOKUP(F1112,[1]!china_towns_second__2[[Column1]:[Y]],2,FALSE)</f>
        <v>111.78842849999999</v>
      </c>
      <c r="L1112" t="s">
        <v>4684</v>
      </c>
      <c r="M1112" t="str">
        <f>VLOOKUP(H1112,CHOOSE({1,2},Table12[Native],Table12[Name]),2,0)</f>
        <v>Wŭzhài Xiàn</v>
      </c>
      <c r="N1112" s="13" t="str">
        <f>VLOOKUP(I1112,CHOOSE({1,2},Table12[Native],Table12[Name]),2,0)</f>
        <v>Xīnzhōu Shì</v>
      </c>
      <c r="O1112" s="13" t="str">
        <f t="shared" si="34"/>
        <v>Xiaohetou Zhen (Xīnzhōu Shì)</v>
      </c>
      <c r="P1112" s="13" t="str">
        <f t="shared" si="35"/>
        <v>Xiaohetou Zhen (Xīnzhōu Shì)</v>
      </c>
    </row>
    <row r="1113" spans="1:16" hidden="1" x14ac:dyDescent="0.25">
      <c r="A1113" t="s">
        <v>1666</v>
      </c>
      <c r="B1113" t="str">
        <f>IF(COUNTIF(A:A,A1113)&gt;1,_xlfn.CONCAT(A1113," (",N1113,")"),A1113)</f>
        <v>Xiàojiāzhuāng Zhèn</v>
      </c>
      <c r="C1113" t="str">
        <f>IF(COUNTIF(B:B,B1113)&gt;1,_xlfn.CONCAT(A1113," (",M1113,")"),B1113)</f>
        <v>Xiàojiāzhuāng Zhèn</v>
      </c>
      <c r="D1113" t="s">
        <v>1667</v>
      </c>
      <c r="E1113" t="s">
        <v>7</v>
      </c>
      <c r="F1113" t="str">
        <f>_xlfn.CONCAT(D1113,", ",H1113,", ",I1113,", ","山西省")</f>
        <v>肖家庄镇, 汾阳市, 吕梁市, 山西省</v>
      </c>
      <c r="G1113">
        <v>32757</v>
      </c>
      <c r="H1113" t="s">
        <v>2948</v>
      </c>
      <c r="I1113" t="s">
        <v>2946</v>
      </c>
      <c r="J1113">
        <f>VLOOKUP(F1113,[1]!china_towns_second__2[[Column1]:[Y]],3,FALSE)</f>
        <v>37.262840447377201</v>
      </c>
      <c r="K1113">
        <f>VLOOKUP(F1113,[1]!china_towns_second__2[[Column1]:[Y]],2,FALSE)</f>
        <v>111.8766645</v>
      </c>
      <c r="L1113" t="s">
        <v>4685</v>
      </c>
      <c r="M1113" t="str">
        <f>VLOOKUP(H1113,CHOOSE({1,2},Table12[Native],Table12[Name]),2,0)</f>
        <v>Fényáng Shì</v>
      </c>
      <c r="N1113" s="13" t="str">
        <f>VLOOKUP(I1113,CHOOSE({1,2},Table12[Native],Table12[Name]),2,0)</f>
        <v>Lǚliáng Shì</v>
      </c>
      <c r="O1113" s="13" t="str">
        <f t="shared" si="34"/>
        <v>Xiaojiazhuang Zhen (Lǚliáng Shì)</v>
      </c>
      <c r="P1113" s="13" t="str">
        <f t="shared" si="35"/>
        <v>Xiaojiazhuang Zhen (Lǚliáng Shì)</v>
      </c>
    </row>
    <row r="1114" spans="1:16" hidden="1" x14ac:dyDescent="0.25">
      <c r="A1114" t="s">
        <v>2052</v>
      </c>
      <c r="B1114" t="str">
        <f>IF(COUNTIF(A:A,A1114)&gt;1,_xlfn.CONCAT(A1114," (",N1114,")"),A1114)</f>
        <v>Xiăojĭngyù Jiēdào</v>
      </c>
      <c r="C1114" t="str">
        <f>IF(COUNTIF(B:B,B1114)&gt;1,_xlfn.CONCAT(A1114," (",M1114,")"),B1114)</f>
        <v>Xiăojĭngyù Jiēdào</v>
      </c>
      <c r="D1114" t="s">
        <v>2053</v>
      </c>
      <c r="E1114" t="s">
        <v>31</v>
      </c>
      <c r="F1114" t="str">
        <f>_xlfn.CONCAT(D1114,", ",H1114,", ",I1114,", ","山西省")</f>
        <v>小井峪街道, 万柏林区, 太原市, 山西省</v>
      </c>
      <c r="G1114">
        <v>86215</v>
      </c>
      <c r="H1114" t="s">
        <v>2975</v>
      </c>
      <c r="I1114" t="s">
        <v>2969</v>
      </c>
      <c r="J1114">
        <f>VLOOKUP(F1114,[1]!china_towns_second__2[[Column1]:[Y]],3,FALSE)</f>
        <v>37.843023286522502</v>
      </c>
      <c r="K1114">
        <f>VLOOKUP(F1114,[1]!china_towns_second__2[[Column1]:[Y]],2,FALSE)</f>
        <v>112.4861784</v>
      </c>
      <c r="L1114" t="s">
        <v>4686</v>
      </c>
      <c r="M1114" t="str">
        <f>VLOOKUP(H1114,CHOOSE({1,2},Table12[Native],Table12[Name]),2,0)</f>
        <v>Wànbǎilín Qū</v>
      </c>
      <c r="N1114" s="13" t="str">
        <f>VLOOKUP(I1114,CHOOSE({1,2},Table12[Native],Table12[Name]),2,0)</f>
        <v>Tàiyuán Shì</v>
      </c>
      <c r="O1114" s="13" t="str">
        <f t="shared" si="34"/>
        <v>Xiaojingyu Jiedao (Tàiyuán Shì)</v>
      </c>
      <c r="P1114" s="13" t="str">
        <f t="shared" si="35"/>
        <v>Xiaojingyu Jiedao (Tàiyuán Shì)</v>
      </c>
    </row>
    <row r="1115" spans="1:16" hidden="1" x14ac:dyDescent="0.25">
      <c r="A1115" t="s">
        <v>535</v>
      </c>
      <c r="B1115" t="str">
        <f>IF(COUNTIF(A:A,A1115)&gt;1,_xlfn.CONCAT(A1115," (",N1115,")"),A1115)</f>
        <v>Xiăojīngzhuāng Xiāng</v>
      </c>
      <c r="C1115" t="str">
        <f>IF(COUNTIF(B:B,B1115)&gt;1,_xlfn.CONCAT(A1115," (",M1115,")"),B1115)</f>
        <v>Xiăojīngzhuāng Xiāng</v>
      </c>
      <c r="D1115" t="s">
        <v>536</v>
      </c>
      <c r="E1115" t="s">
        <v>17</v>
      </c>
      <c r="F1115" t="str">
        <f>_xlfn.CONCAT(D1115,", ",H1115,", ",I1115,", ","山西省")</f>
        <v>小京庄乡, 左云县, 大同市, 山西省</v>
      </c>
      <c r="G1115">
        <v>9870</v>
      </c>
      <c r="H1115" t="s">
        <v>2904</v>
      </c>
      <c r="I1115" t="s">
        <v>2894</v>
      </c>
      <c r="J1115" t="e">
        <f>VLOOKUP(F1115,[1]!china_towns_second__2[[Column1]:[Y]],3,FALSE)</f>
        <v>#N/A</v>
      </c>
      <c r="K1115" t="e">
        <f>VLOOKUP(F1115,[1]!china_towns_second__2[[Column1]:[Y]],2,FALSE)</f>
        <v>#N/A</v>
      </c>
      <c r="L1115" t="s">
        <v>4687</v>
      </c>
      <c r="M1115" t="str">
        <f>VLOOKUP(H1115,CHOOSE({1,2},Table12[Native],Table12[Name]),2,0)</f>
        <v>Zuǒyún Xiàn</v>
      </c>
      <c r="N1115" s="13" t="str">
        <f>VLOOKUP(I1115,CHOOSE({1,2},Table12[Native],Table12[Name]),2,0)</f>
        <v>Dàtóng Shì</v>
      </c>
      <c r="O1115" s="13" t="str">
        <f t="shared" si="34"/>
        <v>Xiaojingzhuang Xiang (Dàtóng Shì)</v>
      </c>
      <c r="P1115" s="13" t="str">
        <f t="shared" si="35"/>
        <v>Xiaojingzhuang Xiang (Dàtóng Shì)</v>
      </c>
    </row>
    <row r="1116" spans="1:16" hidden="1" x14ac:dyDescent="0.25">
      <c r="A1116" t="s">
        <v>2820</v>
      </c>
      <c r="B1116" t="str">
        <f>IF(COUNTIF(A:A,A1116)&gt;1,_xlfn.CONCAT(A1116," (",N1116,")"),A1116)</f>
        <v>Xiăoliáng Xiāng</v>
      </c>
      <c r="C1116" t="str">
        <f>IF(COUNTIF(B:B,B1116)&gt;1,_xlfn.CONCAT(A1116," (",M1116,")"),B1116)</f>
        <v>Xiăoliáng Xiāng</v>
      </c>
      <c r="D1116" t="s">
        <v>2821</v>
      </c>
      <c r="E1116" t="s">
        <v>17</v>
      </c>
      <c r="F1116" t="str">
        <f>_xlfn.CONCAT(D1116,", ",H1116,", ",I1116,", ","山西省")</f>
        <v>小梁乡, 河津市, 运城市, 山西省</v>
      </c>
      <c r="G1116">
        <v>29448</v>
      </c>
      <c r="H1116" t="s">
        <v>3004</v>
      </c>
      <c r="I1116" t="s">
        <v>3003</v>
      </c>
      <c r="J1116" t="e">
        <f>VLOOKUP(F1116,[1]!china_towns_second__2[[Column1]:[Y]],3,FALSE)</f>
        <v>#N/A</v>
      </c>
      <c r="K1116" t="e">
        <f>VLOOKUP(F1116,[1]!china_towns_second__2[[Column1]:[Y]],2,FALSE)</f>
        <v>#N/A</v>
      </c>
      <c r="L1116" t="s">
        <v>4688</v>
      </c>
      <c r="M1116" t="str">
        <f>VLOOKUP(H1116,CHOOSE({1,2},Table12[Native],Table12[Name]),2,0)</f>
        <v>Héjīn Shì</v>
      </c>
      <c r="N1116" s="13" t="str">
        <f>VLOOKUP(I1116,CHOOSE({1,2},Table12[Native],Table12[Name]),2,0)</f>
        <v>Yùnchéng Shì</v>
      </c>
      <c r="O1116" s="13" t="str">
        <f t="shared" si="34"/>
        <v>Xiaoliang Xiang (Yùnchéng Shì)</v>
      </c>
      <c r="P1116" s="13" t="str">
        <f t="shared" si="35"/>
        <v>Xiaoliang Xiang (Yùnchéng Shì)</v>
      </c>
    </row>
    <row r="1117" spans="1:16" hidden="1" x14ac:dyDescent="0.25">
      <c r="A1117" t="s">
        <v>1836</v>
      </c>
      <c r="B1117" t="str">
        <f>IF(COUNTIF(A:A,A1117)&gt;1,_xlfn.CONCAT(A1117," (",N1117,")"),A1117)</f>
        <v>Xiăopíngyì Xiāng</v>
      </c>
      <c r="C1117" t="str">
        <f>IF(COUNTIF(B:B,B1117)&gt;1,_xlfn.CONCAT(A1117," (",M1117,")"),B1117)</f>
        <v>Xiăopíngyì Xiāng</v>
      </c>
      <c r="D1117" t="s">
        <v>1837</v>
      </c>
      <c r="E1117" t="s">
        <v>17</v>
      </c>
      <c r="F1117" t="str">
        <f>_xlfn.CONCAT(D1117,", ",H1117,", ",I1117,", ","山西省")</f>
        <v>小平易乡, 朔城区, 朔州市, 山西省</v>
      </c>
      <c r="G1117">
        <v>23658</v>
      </c>
      <c r="H1117" t="s">
        <v>2965</v>
      </c>
      <c r="I1117" t="s">
        <v>2961</v>
      </c>
      <c r="J1117" t="e">
        <f>VLOOKUP(F1117,[1]!china_towns_second__2[[Column1]:[Y]],3,FALSE)</f>
        <v>#N/A</v>
      </c>
      <c r="K1117" t="e">
        <f>VLOOKUP(F1117,[1]!china_towns_second__2[[Column1]:[Y]],2,FALSE)</f>
        <v>#N/A</v>
      </c>
      <c r="L1117" t="s">
        <v>4689</v>
      </c>
      <c r="M1117" t="str">
        <f>VLOOKUP(H1117,CHOOSE({1,2},Table12[Native],Table12[Name]),2,0)</f>
        <v>Shuòchéng Qū</v>
      </c>
      <c r="N1117" s="13" t="str">
        <f>VLOOKUP(I1117,CHOOSE({1,2},Table12[Native],Table12[Name]),2,0)</f>
        <v>Shuòzhōu Shì</v>
      </c>
      <c r="O1117" s="13" t="str">
        <f t="shared" si="34"/>
        <v>Xiaopingyi Xiang (Shuòzhōu Shì)</v>
      </c>
      <c r="P1117" s="13" t="str">
        <f t="shared" si="35"/>
        <v>Xiaopingyi Xiang (Shuòzhōu Shì)</v>
      </c>
    </row>
    <row r="1118" spans="1:16" hidden="1" x14ac:dyDescent="0.25">
      <c r="A1118" t="s">
        <v>1668</v>
      </c>
      <c r="B1118" t="str">
        <f>IF(COUNTIF(A:A,A1118)&gt;1,_xlfn.CONCAT(A1118," (",N1118,")"),A1118)</f>
        <v>Xiăosuàn Zhèn</v>
      </c>
      <c r="C1118" t="str">
        <f>IF(COUNTIF(B:B,B1118)&gt;1,_xlfn.CONCAT(A1118," (",M1118,")"),B1118)</f>
        <v>Xiăosuàn Zhèn</v>
      </c>
      <c r="D1118" t="s">
        <v>1669</v>
      </c>
      <c r="E1118" t="s">
        <v>7</v>
      </c>
      <c r="F1118" t="str">
        <f>_xlfn.CONCAT(D1118,", ",H1118,", ",I1118,", ","山西省")</f>
        <v>小蒜镇, 石楼县, 吕梁市, 山西省</v>
      </c>
      <c r="G1118">
        <v>9310</v>
      </c>
      <c r="H1118" t="s">
        <v>2955</v>
      </c>
      <c r="I1118" t="s">
        <v>2946</v>
      </c>
      <c r="J1118">
        <f>VLOOKUP(F1118,[1]!china_towns_second__2[[Column1]:[Y]],3,FALSE)</f>
        <v>37.1227336217691</v>
      </c>
      <c r="K1118">
        <f>VLOOKUP(F1118,[1]!china_towns_second__2[[Column1]:[Y]],2,FALSE)</f>
        <v>110.6573753</v>
      </c>
      <c r="L1118" t="s">
        <v>4690</v>
      </c>
      <c r="M1118" t="str">
        <f>VLOOKUP(H1118,CHOOSE({1,2},Table12[Native],Table12[Name]),2,0)</f>
        <v>Shílóu Xiàn</v>
      </c>
      <c r="N1118" s="13" t="str">
        <f>VLOOKUP(I1118,CHOOSE({1,2},Table12[Native],Table12[Name]),2,0)</f>
        <v>Lǚliáng Shì</v>
      </c>
      <c r="O1118" s="13" t="str">
        <f t="shared" si="34"/>
        <v>Xiaosuan Zhen (Lǚliáng Shì)</v>
      </c>
      <c r="P1118" s="13" t="str">
        <f t="shared" si="35"/>
        <v>Xiaosuan Zhen (Lǚliáng Shì)</v>
      </c>
    </row>
    <row r="1119" spans="1:16" hidden="1" x14ac:dyDescent="0.25">
      <c r="A1119" t="s">
        <v>1670</v>
      </c>
      <c r="B1119" t="str">
        <f>IF(COUNTIF(A:A,A1119)&gt;1,_xlfn.CONCAT(A1119," (",N1119,")"),A1119)</f>
        <v>Xiàoyì Zhèn</v>
      </c>
      <c r="C1119" t="str">
        <f>IF(COUNTIF(B:B,B1119)&gt;1,_xlfn.CONCAT(A1119," (",M1119,")"),B1119)</f>
        <v>Xiàoyì Zhèn</v>
      </c>
      <c r="D1119" t="s">
        <v>1671</v>
      </c>
      <c r="E1119" t="s">
        <v>7</v>
      </c>
      <c r="F1119" t="str">
        <f>_xlfn.CONCAT(D1119,", ",H1119,", ",I1119,", ","山西省")</f>
        <v>孝义镇, 文水县, 吕梁市, 山西省</v>
      </c>
      <c r="G1119">
        <v>27981</v>
      </c>
      <c r="H1119" t="s">
        <v>2956</v>
      </c>
      <c r="I1119" t="s">
        <v>2946</v>
      </c>
      <c r="J1119">
        <f>VLOOKUP(F1119,[1]!china_towns_second__2[[Column1]:[Y]],3,FALSE)</f>
        <v>37.379927897723398</v>
      </c>
      <c r="K1119">
        <f>VLOOKUP(F1119,[1]!china_towns_second__2[[Column1]:[Y]],2,FALSE)</f>
        <v>111.99312310000001</v>
      </c>
      <c r="L1119" t="s">
        <v>4691</v>
      </c>
      <c r="M1119" t="str">
        <f>VLOOKUP(H1119,CHOOSE({1,2},Table12[Native],Table12[Name]),2,0)</f>
        <v>Wénshuĭ Xiàn</v>
      </c>
      <c r="N1119" s="13" t="str">
        <f>VLOOKUP(I1119,CHOOSE({1,2},Table12[Native],Table12[Name]),2,0)</f>
        <v>Lǚliáng Shì</v>
      </c>
      <c r="O1119" s="13" t="str">
        <f t="shared" si="34"/>
        <v>Xiaoyi Zhen (Lǚliáng Shì)</v>
      </c>
      <c r="P1119" s="13" t="str">
        <f t="shared" si="35"/>
        <v>Xiaoyi Zhen (Lǚliáng Shì)</v>
      </c>
    </row>
    <row r="1120" spans="1:16" hidden="1" x14ac:dyDescent="0.25">
      <c r="A1120" t="s">
        <v>1672</v>
      </c>
      <c r="B1120" t="str">
        <f>IF(COUNTIF(A:A,A1120)&gt;1,_xlfn.CONCAT(A1120," (",N1120,")"),A1120)</f>
        <v>Xiàqŭ Zhèn</v>
      </c>
      <c r="C1120" t="str">
        <f>IF(COUNTIF(B:B,B1120)&gt;1,_xlfn.CONCAT(A1120," (",M1120,")"),B1120)</f>
        <v>Xiàqŭ Zhèn</v>
      </c>
      <c r="D1120" t="s">
        <v>1673</v>
      </c>
      <c r="E1120" t="s">
        <v>7</v>
      </c>
      <c r="F1120" t="str">
        <f>_xlfn.CONCAT(D1120,", ",H1120,", ",I1120,", ","山西省")</f>
        <v>下曲镇, 文水县, 吕梁市, 山西省</v>
      </c>
      <c r="G1120">
        <v>39332</v>
      </c>
      <c r="H1120" t="s">
        <v>2956</v>
      </c>
      <c r="I1120" t="s">
        <v>2946</v>
      </c>
      <c r="J1120">
        <f>VLOOKUP(F1120,[1]!china_towns_second__2[[Column1]:[Y]],3,FALSE)</f>
        <v>37.342397752451397</v>
      </c>
      <c r="K1120">
        <f>VLOOKUP(F1120,[1]!china_towns_second__2[[Column1]:[Y]],2,FALSE)</f>
        <v>112.1229775</v>
      </c>
      <c r="L1120" t="s">
        <v>4692</v>
      </c>
      <c r="M1120" t="str">
        <f>VLOOKUP(H1120,CHOOSE({1,2},Table12[Native],Table12[Name]),2,0)</f>
        <v>Wénshuĭ Xiàn</v>
      </c>
      <c r="N1120" s="13" t="str">
        <f>VLOOKUP(I1120,CHOOSE({1,2},Table12[Native],Table12[Name]),2,0)</f>
        <v>Lǚliáng Shì</v>
      </c>
      <c r="O1120" s="13" t="str">
        <f t="shared" si="34"/>
        <v>Xiaqu Zhen (Lǚliáng Shì)</v>
      </c>
      <c r="P1120" s="13" t="str">
        <f t="shared" si="35"/>
        <v>Xiaqu Zhen (Lǚliáng Shì)</v>
      </c>
    </row>
    <row r="1121" spans="1:16" hidden="1" x14ac:dyDescent="0.25">
      <c r="A1121" t="s">
        <v>2394</v>
      </c>
      <c r="B1121" t="str">
        <f>IF(COUNTIF(A:A,A1121)&gt;1,_xlfn.CONCAT(A1121," (",N1121,")"),A1121)</f>
        <v>Xiàrúyuè Xiāng</v>
      </c>
      <c r="C1121" t="str">
        <f>IF(COUNTIF(B:B,B1121)&gt;1,_xlfn.CONCAT(A1121," (",M1121,")"),B1121)</f>
        <v>Xiàrúyuè Xiāng</v>
      </c>
      <c r="D1121" t="s">
        <v>2395</v>
      </c>
      <c r="E1121" t="s">
        <v>17</v>
      </c>
      <c r="F1121" t="str">
        <f>_xlfn.CONCAT(D1121,", ",H1121,", ",I1121,", ","山西省")</f>
        <v>下茹越乡, 繁峙县, 忻州市, 山西省</v>
      </c>
      <c r="G1121">
        <v>8028</v>
      </c>
      <c r="H1121" t="s">
        <v>2985</v>
      </c>
      <c r="I1121" t="s">
        <v>2981</v>
      </c>
      <c r="J1121" t="e">
        <f>VLOOKUP(F1121,[1]!china_towns_second__2[[Column1]:[Y]],3,FALSE)</f>
        <v>#N/A</v>
      </c>
      <c r="K1121" t="e">
        <f>VLOOKUP(F1121,[1]!china_towns_second__2[[Column1]:[Y]],2,FALSE)</f>
        <v>#N/A</v>
      </c>
      <c r="L1121" t="s">
        <v>4693</v>
      </c>
      <c r="M1121" t="str">
        <f>VLOOKUP(H1121,CHOOSE({1,2},Table12[Native],Table12[Name]),2,0)</f>
        <v>Fánshì Xiàn</v>
      </c>
      <c r="N1121" s="13" t="str">
        <f>VLOOKUP(I1121,CHOOSE({1,2},Table12[Native],Table12[Name]),2,0)</f>
        <v>Xīnzhōu Shì</v>
      </c>
      <c r="O1121" s="13" t="str">
        <f t="shared" si="34"/>
        <v>Xiaruyue Xiang (Xīnzhōu Shì)</v>
      </c>
      <c r="P1121" s="13" t="str">
        <f t="shared" si="35"/>
        <v>Xiaruyue Xiang (Xīnzhōu Shì)</v>
      </c>
    </row>
    <row r="1122" spans="1:16" hidden="1" x14ac:dyDescent="0.25">
      <c r="A1122" t="s">
        <v>2556</v>
      </c>
      <c r="B1122" t="str">
        <f>IF(COUNTIF(A:A,A1122)&gt;1,_xlfn.CONCAT(A1122," (",N1122,")"),A1122)</f>
        <v>Xiàshè Xiāng</v>
      </c>
      <c r="C1122" t="str">
        <f>IF(COUNTIF(B:B,B1122)&gt;1,_xlfn.CONCAT(A1122," (",M1122,")"),B1122)</f>
        <v>Xiàshè Xiāng</v>
      </c>
      <c r="D1122" t="s">
        <v>2557</v>
      </c>
      <c r="E1122" t="s">
        <v>17</v>
      </c>
      <c r="F1122" t="str">
        <f>_xlfn.CONCAT(D1122,", ",H1122,", ",I1122,", ","山西省")</f>
        <v>下社乡, 盂县, 阳泉市, 山西省</v>
      </c>
      <c r="G1122">
        <v>7750</v>
      </c>
      <c r="H1122" t="s">
        <v>3001</v>
      </c>
      <c r="I1122" t="s">
        <v>2997</v>
      </c>
      <c r="J1122" t="e">
        <f>VLOOKUP(F1122,[1]!china_towns_second__2[[Column1]:[Y]],3,FALSE)</f>
        <v>#N/A</v>
      </c>
      <c r="K1122" t="e">
        <f>VLOOKUP(F1122,[1]!china_towns_second__2[[Column1]:[Y]],2,FALSE)</f>
        <v>#N/A</v>
      </c>
      <c r="L1122" t="s">
        <v>4694</v>
      </c>
      <c r="M1122" t="str">
        <f>VLOOKUP(H1122,CHOOSE({1,2},Table12[Native],Table12[Name]),2,0)</f>
        <v>Yú Xiàn</v>
      </c>
      <c r="N1122" s="13" t="str">
        <f>VLOOKUP(I1122,CHOOSE({1,2},Table12[Native],Table12[Name]),2,0)</f>
        <v>Yángquán Shì</v>
      </c>
      <c r="O1122" s="13" t="str">
        <f t="shared" si="34"/>
        <v>Xiashe Xiang (Yángquán Shì)</v>
      </c>
      <c r="P1122" s="13" t="str">
        <f t="shared" si="35"/>
        <v>Xiashe Xiang (Yángquán Shì)</v>
      </c>
    </row>
    <row r="1123" spans="1:16" hidden="1" x14ac:dyDescent="0.25">
      <c r="A1123" t="s">
        <v>1838</v>
      </c>
      <c r="B1123" t="str">
        <f>IF(COUNTIF(A:A,A1123)&gt;1,_xlfn.CONCAT(A1123," (",N1123,")"),A1123)</f>
        <v>Xiàshè Zhèn</v>
      </c>
      <c r="C1123" t="str">
        <f>IF(COUNTIF(B:B,B1123)&gt;1,_xlfn.CONCAT(A1123," (",M1123,")"),B1123)</f>
        <v>Xiàshè Zhèn</v>
      </c>
      <c r="D1123" t="s">
        <v>1839</v>
      </c>
      <c r="E1123" t="s">
        <v>7</v>
      </c>
      <c r="F1123" t="str">
        <f>_xlfn.CONCAT(D1123,", ",H1123,", ",I1123,", ","山西省")</f>
        <v>下社镇, 应县, 朔州市, 山西省</v>
      </c>
      <c r="G1123">
        <v>21781</v>
      </c>
      <c r="H1123" t="s">
        <v>2966</v>
      </c>
      <c r="I1123" t="s">
        <v>2961</v>
      </c>
      <c r="J1123">
        <f>VLOOKUP(F1123,[1]!china_towns_second__2[[Column1]:[Y]],3,FALSE)</f>
        <v>39.518283806322898</v>
      </c>
      <c r="K1123">
        <f>VLOOKUP(F1123,[1]!china_towns_second__2[[Column1]:[Y]],2,FALSE)</f>
        <v>113.2984719</v>
      </c>
      <c r="L1123" t="s">
        <v>4695</v>
      </c>
      <c r="M1123" t="str">
        <f>VLOOKUP(H1123,CHOOSE({1,2},Table12[Native],Table12[Name]),2,0)</f>
        <v>Yīng Xiàn</v>
      </c>
      <c r="N1123" s="13" t="str">
        <f>VLOOKUP(I1123,CHOOSE({1,2},Table12[Native],Table12[Name]),2,0)</f>
        <v>Shuòzhōu Shì</v>
      </c>
      <c r="O1123" s="13" t="str">
        <f t="shared" si="34"/>
        <v>Xiashe Zhen (Shuòzhōu Shì)</v>
      </c>
      <c r="P1123" s="13" t="str">
        <f t="shared" si="35"/>
        <v>Xiashe Zhen (Shuòzhōu Shì)</v>
      </c>
    </row>
    <row r="1124" spans="1:16" hidden="1" x14ac:dyDescent="0.25">
      <c r="A1124" t="s">
        <v>537</v>
      </c>
      <c r="B1124" t="str">
        <f>IF(COUNTIF(A:A,A1124)&gt;1,_xlfn.CONCAT(A1124," (",N1124,")"),A1124)</f>
        <v>Xiàshēnjĭng Xiāng</v>
      </c>
      <c r="C1124" t="str">
        <f>IF(COUNTIF(B:B,B1124)&gt;1,_xlfn.CONCAT(A1124," (",M1124,")"),B1124)</f>
        <v>Xiàshēnjĭng Xiāng</v>
      </c>
      <c r="D1124" t="s">
        <v>538</v>
      </c>
      <c r="E1124" t="s">
        <v>17</v>
      </c>
      <c r="F1124" t="str">
        <f>_xlfn.CONCAT(D1124,", ",H1124,", ",I1124,", ","山西省")</f>
        <v>下深井乡, 阳高县, 大同市, 山西省</v>
      </c>
      <c r="G1124">
        <v>13226</v>
      </c>
      <c r="H1124" t="s">
        <v>2901</v>
      </c>
      <c r="I1124" t="s">
        <v>2894</v>
      </c>
      <c r="J1124" t="e">
        <f>VLOOKUP(F1124,[1]!china_towns_second__2[[Column1]:[Y]],3,FALSE)</f>
        <v>#N/A</v>
      </c>
      <c r="K1124" t="e">
        <f>VLOOKUP(F1124,[1]!china_towns_second__2[[Column1]:[Y]],2,FALSE)</f>
        <v>#N/A</v>
      </c>
      <c r="L1124" t="s">
        <v>4696</v>
      </c>
      <c r="M1124" t="str">
        <f>VLOOKUP(H1124,CHOOSE({1,2},Table12[Native],Table12[Name]),2,0)</f>
        <v>Yánggāo Xiàn</v>
      </c>
      <c r="N1124" s="13" t="str">
        <f>VLOOKUP(I1124,CHOOSE({1,2},Table12[Native],Table12[Name]),2,0)</f>
        <v>Dàtóng Shì</v>
      </c>
      <c r="O1124" s="13" t="str">
        <f t="shared" si="34"/>
        <v>Xiashenjing Xiang (Dàtóng Shì)</v>
      </c>
      <c r="P1124" s="13" t="str">
        <f t="shared" si="35"/>
        <v>Xiashenjing Xiang (Dàtóng Shì)</v>
      </c>
    </row>
    <row r="1125" spans="1:16" hidden="1" x14ac:dyDescent="0.25">
      <c r="A1125" t="s">
        <v>1840</v>
      </c>
      <c r="B1125" t="str">
        <f>IF(COUNTIF(A:A,A1125)&gt;1,_xlfn.CONCAT(A1125," (",N1125,")"),A1125)</f>
        <v>Xiàshuĭtóu Xiāng</v>
      </c>
      <c r="C1125" t="str">
        <f>IF(COUNTIF(B:B,B1125)&gt;1,_xlfn.CONCAT(A1125," (",M1125,")"),B1125)</f>
        <v>Xiàshuĭtóu Xiāng</v>
      </c>
      <c r="D1125" t="s">
        <v>1841</v>
      </c>
      <c r="E1125" t="s">
        <v>17</v>
      </c>
      <c r="F1125" t="str">
        <f>_xlfn.CONCAT(D1125,", ",H1125,", ",I1125,", ","山西省")</f>
        <v>下水头乡, 平鲁区, 朔州市, 山西省</v>
      </c>
      <c r="G1125">
        <v>7050</v>
      </c>
      <c r="H1125" t="s">
        <v>2963</v>
      </c>
      <c r="I1125" t="s">
        <v>2961</v>
      </c>
      <c r="J1125" t="e">
        <f>VLOOKUP(F1125,[1]!china_towns_second__2[[Column1]:[Y]],3,FALSE)</f>
        <v>#N/A</v>
      </c>
      <c r="K1125" t="e">
        <f>VLOOKUP(F1125,[1]!china_towns_second__2[[Column1]:[Y]],2,FALSE)</f>
        <v>#N/A</v>
      </c>
      <c r="L1125" t="s">
        <v>4697</v>
      </c>
      <c r="M1125" t="str">
        <f>VLOOKUP(H1125,CHOOSE({1,2},Table12[Native],Table12[Name]),2,0)</f>
        <v>Pínglŭ Qū</v>
      </c>
      <c r="N1125" s="13" t="str">
        <f>VLOOKUP(I1125,CHOOSE({1,2},Table12[Native],Table12[Name]),2,0)</f>
        <v>Shuòzhōu Shì</v>
      </c>
      <c r="O1125" s="13" t="str">
        <f t="shared" si="34"/>
        <v>Xiashuitou Xiang (Shuòzhōu Shì)</v>
      </c>
      <c r="P1125" s="13" t="str">
        <f t="shared" si="35"/>
        <v>Xiashuitou Xiang (Shuòzhōu Shì)</v>
      </c>
    </row>
    <row r="1126" spans="1:16" hidden="1" x14ac:dyDescent="0.25">
      <c r="A1126" t="s">
        <v>1842</v>
      </c>
      <c r="B1126" t="str">
        <f>IF(COUNTIF(A:A,A1126)&gt;1,_xlfn.CONCAT(A1126," (",N1126,")"),A1126)</f>
        <v>Xiàtuánbăo Xiāng</v>
      </c>
      <c r="C1126" t="str">
        <f>IF(COUNTIF(B:B,B1126)&gt;1,_xlfn.CONCAT(A1126," (",M1126,")"),B1126)</f>
        <v>Xiàtuánbăo Xiāng</v>
      </c>
      <c r="D1126" t="s">
        <v>1843</v>
      </c>
      <c r="E1126" t="s">
        <v>17</v>
      </c>
      <c r="F1126" t="str">
        <f>_xlfn.CONCAT(D1126,", ",H1126,", ",I1126,", ","山西省")</f>
        <v>下团堡乡, 朔城区, 朔州市, 山西省</v>
      </c>
      <c r="G1126">
        <v>25141</v>
      </c>
      <c r="H1126" t="s">
        <v>2965</v>
      </c>
      <c r="I1126" t="s">
        <v>2961</v>
      </c>
      <c r="J1126" t="e">
        <f>VLOOKUP(F1126,[1]!china_towns_second__2[[Column1]:[Y]],3,FALSE)</f>
        <v>#N/A</v>
      </c>
      <c r="K1126" t="e">
        <f>VLOOKUP(F1126,[1]!china_towns_second__2[[Column1]:[Y]],2,FALSE)</f>
        <v>#N/A</v>
      </c>
      <c r="L1126" t="s">
        <v>4698</v>
      </c>
      <c r="M1126" t="str">
        <f>VLOOKUP(H1126,CHOOSE({1,2},Table12[Native],Table12[Name]),2,0)</f>
        <v>Shuòchéng Qū</v>
      </c>
      <c r="N1126" s="13" t="str">
        <f>VLOOKUP(I1126,CHOOSE({1,2},Table12[Native],Table12[Name]),2,0)</f>
        <v>Shuòzhōu Shì</v>
      </c>
      <c r="O1126" s="13" t="str">
        <f t="shared" si="34"/>
        <v>Xiatuanbao Xiang (Shuòzhōu Shì)</v>
      </c>
      <c r="P1126" s="13" t="str">
        <f t="shared" si="35"/>
        <v>Xiatuanbao Xiang (Shuòzhōu Shì)</v>
      </c>
    </row>
    <row r="1127" spans="1:16" hidden="1" x14ac:dyDescent="0.25">
      <c r="A1127" t="s">
        <v>2054</v>
      </c>
      <c r="B1127" t="str">
        <f>IF(COUNTIF(A:A,A1127)&gt;1,_xlfn.CONCAT(A1127," (",N1127,")"),A1127)</f>
        <v>Xiàyuán Jiēdào</v>
      </c>
      <c r="C1127" t="str">
        <f>IF(COUNTIF(B:B,B1127)&gt;1,_xlfn.CONCAT(A1127," (",M1127,")"),B1127)</f>
        <v>Xiàyuán Jiēdào</v>
      </c>
      <c r="D1127" t="s">
        <v>2055</v>
      </c>
      <c r="E1127" t="s">
        <v>31</v>
      </c>
      <c r="F1127" t="str">
        <f>_xlfn.CONCAT(D1127,", ",H1127,", ",I1127,", ","山西省")</f>
        <v>下元街道, 万柏林区, 太原市, 山西省</v>
      </c>
      <c r="G1127">
        <v>89485</v>
      </c>
      <c r="H1127" t="s">
        <v>2975</v>
      </c>
      <c r="I1127" t="s">
        <v>2969</v>
      </c>
      <c r="J1127">
        <f>VLOOKUP(F1127,[1]!china_towns_second__2[[Column1]:[Y]],3,FALSE)</f>
        <v>37.846798927046002</v>
      </c>
      <c r="K1127">
        <f>VLOOKUP(F1127,[1]!china_towns_second__2[[Column1]:[Y]],2,FALSE)</f>
        <v>112.5184768</v>
      </c>
      <c r="L1127" t="s">
        <v>4699</v>
      </c>
      <c r="M1127" t="str">
        <f>VLOOKUP(H1127,CHOOSE({1,2},Table12[Native],Table12[Name]),2,0)</f>
        <v>Wànbǎilín Qū</v>
      </c>
      <c r="N1127" s="13" t="str">
        <f>VLOOKUP(I1127,CHOOSE({1,2},Table12[Native],Table12[Name]),2,0)</f>
        <v>Tàiyuán Shì</v>
      </c>
      <c r="O1127" s="13" t="str">
        <f t="shared" si="34"/>
        <v>Xiayuan Jiedao (Tàiyuán Shì)</v>
      </c>
      <c r="P1127" s="13" t="str">
        <f t="shared" si="35"/>
        <v>Xiayuan Jiedao (Tàiyuán Shì)</v>
      </c>
    </row>
    <row r="1128" spans="1:16" hidden="1" x14ac:dyDescent="0.25">
      <c r="A1128" t="s">
        <v>1674</v>
      </c>
      <c r="B1128" t="str">
        <f>IF(COUNTIF(A:A,A1128)&gt;1,_xlfn.CONCAT(A1128," (",N1128,")"),A1128)</f>
        <v>Xiàzăolín Xiāng</v>
      </c>
      <c r="C1128" t="str">
        <f>IF(COUNTIF(B:B,B1128)&gt;1,_xlfn.CONCAT(A1128," (",M1128,")"),B1128)</f>
        <v>Xiàzăolín Xiāng</v>
      </c>
      <c r="D1128" t="s">
        <v>1675</v>
      </c>
      <c r="E1128" t="s">
        <v>17</v>
      </c>
      <c r="F1128" t="str">
        <f>_xlfn.CONCAT(D1128,", ",H1128,", ",I1128,", ","山西省")</f>
        <v>下枣林乡, 中阳县, 吕梁市, 山西省</v>
      </c>
      <c r="G1128">
        <v>8047</v>
      </c>
      <c r="H1128" t="s">
        <v>2959</v>
      </c>
      <c r="I1128" t="s">
        <v>2946</v>
      </c>
      <c r="J1128" t="e">
        <f>VLOOKUP(F1128,[1]!china_towns_second__2[[Column1]:[Y]],3,FALSE)</f>
        <v>#N/A</v>
      </c>
      <c r="K1128" t="e">
        <f>VLOOKUP(F1128,[1]!china_towns_second__2[[Column1]:[Y]],2,FALSE)</f>
        <v>#N/A</v>
      </c>
      <c r="L1128" t="s">
        <v>4700</v>
      </c>
      <c r="M1128" t="str">
        <f>VLOOKUP(H1128,CHOOSE({1,2},Table12[Native],Table12[Name]),2,0)</f>
        <v>Zhōngyáng Xiàn</v>
      </c>
      <c r="N1128" s="13" t="str">
        <f>VLOOKUP(I1128,CHOOSE({1,2},Table12[Native],Table12[Name]),2,0)</f>
        <v>Lǚliáng Shì</v>
      </c>
      <c r="O1128" s="13" t="str">
        <f t="shared" si="34"/>
        <v>Xiazaolin Xiang (Lǚliáng Shì)</v>
      </c>
      <c r="P1128" s="13" t="str">
        <f t="shared" si="35"/>
        <v>Xiazaolin Xiang (Lǚliáng Shì)</v>
      </c>
    </row>
    <row r="1129" spans="1:16" hidden="1" x14ac:dyDescent="0.25">
      <c r="A1129" t="s">
        <v>1676</v>
      </c>
      <c r="B1129" t="str">
        <f>IF(COUNTIF(A:A,A1129)&gt;1,_xlfn.CONCAT(A1129," (",N1129,")"),A1129)</f>
        <v>Xiàzhà Xiāng</v>
      </c>
      <c r="C1129" t="str">
        <f>IF(COUNTIF(B:B,B1129)&gt;1,_xlfn.CONCAT(A1129," (",M1129,")"),B1129)</f>
        <v>Xiàzhà Xiāng</v>
      </c>
      <c r="D1129" t="s">
        <v>1677</v>
      </c>
      <c r="E1129" t="s">
        <v>17</v>
      </c>
      <c r="F1129" t="str">
        <f>_xlfn.CONCAT(D1129,", ",H1129,", ",I1129,", ","山西省")</f>
        <v>下栅乡, 孝义市, 吕梁市, 山西省</v>
      </c>
      <c r="G1129">
        <v>15037</v>
      </c>
      <c r="H1129" t="s">
        <v>2957</v>
      </c>
      <c r="I1129" t="s">
        <v>2946</v>
      </c>
      <c r="J1129" t="e">
        <f>VLOOKUP(F1129,[1]!china_towns_second__2[[Column1]:[Y]],3,FALSE)</f>
        <v>#N/A</v>
      </c>
      <c r="K1129" t="e">
        <f>VLOOKUP(F1129,[1]!china_towns_second__2[[Column1]:[Y]],2,FALSE)</f>
        <v>#N/A</v>
      </c>
      <c r="L1129" t="s">
        <v>4701</v>
      </c>
      <c r="M1129" t="str">
        <f>VLOOKUP(H1129,CHOOSE({1,2},Table12[Native],Table12[Name]),2,0)</f>
        <v>Xiàoyì Shì</v>
      </c>
      <c r="N1129" s="13" t="str">
        <f>VLOOKUP(I1129,CHOOSE({1,2},Table12[Native],Table12[Name]),2,0)</f>
        <v>Lǚliáng Shì</v>
      </c>
      <c r="O1129" s="13" t="str">
        <f t="shared" si="34"/>
        <v>Xiazha Xiang (Lǚliáng Shì)</v>
      </c>
      <c r="P1129" s="13" t="str">
        <f t="shared" si="35"/>
        <v>Xiazha Xiang (Lǚliáng Shì)</v>
      </c>
    </row>
    <row r="1130" spans="1:16" hidden="1" x14ac:dyDescent="0.25">
      <c r="A1130" t="s">
        <v>2558</v>
      </c>
      <c r="B1130" t="str">
        <f>IF(COUNTIF(A:A,A1130)&gt;1,_xlfn.CONCAT(A1130," (",N1130,")"),A1130)</f>
        <v>Xiàzhàn Jiēdào</v>
      </c>
      <c r="C1130" t="str">
        <f>IF(COUNTIF(B:B,B1130)&gt;1,_xlfn.CONCAT(A1130," (",M1130,")"),B1130)</f>
        <v>Xiàzhàn Jiēdào</v>
      </c>
      <c r="D1130" t="s">
        <v>2559</v>
      </c>
      <c r="E1130" t="s">
        <v>31</v>
      </c>
      <c r="F1130" t="str">
        <f>_xlfn.CONCAT(D1130,", ",H1130,", ",I1130,", ","山西省")</f>
        <v>下站街道, 城区, 晋城市, 山西省</v>
      </c>
      <c r="G1130">
        <v>25197</v>
      </c>
      <c r="H1130" t="s">
        <v>814</v>
      </c>
      <c r="I1130" t="s">
        <v>2906</v>
      </c>
      <c r="J1130" t="e">
        <f>VLOOKUP(F1130,[1]!china_towns_second__2[[Column1]:[Y]],3,FALSE)</f>
        <v>#N/A</v>
      </c>
      <c r="K1130" t="e">
        <f>VLOOKUP(F1130,[1]!china_towns_second__2[[Column1]:[Y]],2,FALSE)</f>
        <v>#N/A</v>
      </c>
      <c r="L1130" t="s">
        <v>4702</v>
      </c>
      <c r="M1130" t="str">
        <f>VLOOKUP(H1130,CHOOSE({1,2},Table12[Native],Table12[Name]),2,0)</f>
        <v>Chéng Qū</v>
      </c>
      <c r="N1130" s="13" t="str">
        <f>VLOOKUP(I1130,CHOOSE({1,2},Table12[Native],Table12[Name]),2,0)</f>
        <v>Jìnchéng Shì</v>
      </c>
      <c r="O1130" s="13" t="str">
        <f t="shared" si="34"/>
        <v>Xiazhan Jiedao (Jìnchéng Shì)</v>
      </c>
      <c r="P1130" s="13" t="str">
        <f t="shared" si="35"/>
        <v>Xiazhan Jiedao (Jìnchéng Shì)</v>
      </c>
    </row>
    <row r="1131" spans="1:16" hidden="1" x14ac:dyDescent="0.25">
      <c r="A1131" t="s">
        <v>265</v>
      </c>
      <c r="B1131" t="str">
        <f>IF(COUNTIF(A:A,A1131)&gt;1,_xlfn.CONCAT(A1131," (",N1131,")"),A1131)</f>
        <v>Xībáitù Xiāng</v>
      </c>
      <c r="C1131" t="str">
        <f>IF(COUNTIF(B:B,B1131)&gt;1,_xlfn.CONCAT(A1131," (",M1131,")"),B1131)</f>
        <v>Xībáitù Xiāng</v>
      </c>
      <c r="D1131" t="s">
        <v>266</v>
      </c>
      <c r="E1131" t="s">
        <v>17</v>
      </c>
      <c r="F1131" t="str">
        <f>_xlfn.CONCAT(D1131,", ",H1131,", ",I1131,", ","山西省")</f>
        <v>西白兔乡, 潞州区, 长治市, 山西省</v>
      </c>
      <c r="G1131">
        <v>9231</v>
      </c>
      <c r="H1131" t="s">
        <v>2885</v>
      </c>
      <c r="I1131" t="s">
        <v>2878</v>
      </c>
      <c r="J1131" t="e">
        <f>VLOOKUP(F1131,[1]!china_towns_second__2[[Column1]:[Y]],3,FALSE)</f>
        <v>#N/A</v>
      </c>
      <c r="K1131" t="e">
        <f>VLOOKUP(F1131,[1]!china_towns_second__2[[Column1]:[Y]],2,FALSE)</f>
        <v>#N/A</v>
      </c>
      <c r="L1131" t="s">
        <v>4703</v>
      </c>
      <c r="M1131" t="str">
        <f>VLOOKUP(H1131,CHOOSE({1,2},Table12[Native],Table12[Name]),2,0)</f>
        <v>Lùzhōu Qū</v>
      </c>
      <c r="N1131" s="13" t="str">
        <f>VLOOKUP(I1131,CHOOSE({1,2},Table12[Native],Table12[Name]),2,0)</f>
        <v>Chángzhì Shì</v>
      </c>
      <c r="O1131" s="13" t="str">
        <f t="shared" si="34"/>
        <v>Xibaitu Xiang (Chángzhì Shì)</v>
      </c>
      <c r="P1131" s="13" t="str">
        <f t="shared" si="35"/>
        <v>Xibaitu Xiang (Chángzhì Shì)</v>
      </c>
    </row>
    <row r="1132" spans="1:16" hidden="1" x14ac:dyDescent="0.25">
      <c r="A1132" t="s">
        <v>2396</v>
      </c>
      <c r="B1132" t="str">
        <f>IF(COUNTIF(A:A,A1132)&gt;1,_xlfn.CONCAT(A1132," (",N1132,")"),A1132)</f>
        <v>Xībàoyù Xiāng</v>
      </c>
      <c r="C1132" t="str">
        <f>IF(COUNTIF(B:B,B1132)&gt;1,_xlfn.CONCAT(A1132," (",M1132,")"),B1132)</f>
        <v>Xībàoyù Xiāng</v>
      </c>
      <c r="D1132" t="s">
        <v>2397</v>
      </c>
      <c r="E1132" t="s">
        <v>17</v>
      </c>
      <c r="F1132" t="str">
        <f>_xlfn.CONCAT(D1132,", ",H1132,", ",I1132,", ","山西省")</f>
        <v>西豹峪乡, 岢岚县, 忻州市, 山西省</v>
      </c>
      <c r="G1132">
        <v>2722</v>
      </c>
      <c r="H1132" t="s">
        <v>2988</v>
      </c>
      <c r="I1132" t="s">
        <v>2981</v>
      </c>
      <c r="J1132" t="e">
        <f>VLOOKUP(F1132,[1]!china_towns_second__2[[Column1]:[Y]],3,FALSE)</f>
        <v>#N/A</v>
      </c>
      <c r="K1132" t="e">
        <f>VLOOKUP(F1132,[1]!china_towns_second__2[[Column1]:[Y]],2,FALSE)</f>
        <v>#N/A</v>
      </c>
      <c r="L1132" t="s">
        <v>4704</v>
      </c>
      <c r="M1132" t="str">
        <f>VLOOKUP(H1132,CHOOSE({1,2},Table12[Native],Table12[Name]),2,0)</f>
        <v>Kĕlán Xiàn</v>
      </c>
      <c r="N1132" s="13" t="str">
        <f>VLOOKUP(I1132,CHOOSE({1,2},Table12[Native],Table12[Name]),2,0)</f>
        <v>Xīnzhōu Shì</v>
      </c>
      <c r="O1132" s="13" t="str">
        <f t="shared" si="34"/>
        <v>Xibaoyu Xiang (Xīnzhōu Shì)</v>
      </c>
      <c r="P1132" s="13" t="str">
        <f t="shared" si="35"/>
        <v>Xibaoyu Xiang (Xīnzhōu Shì)</v>
      </c>
    </row>
    <row r="1133" spans="1:16" hidden="1" x14ac:dyDescent="0.25">
      <c r="A1133" t="s">
        <v>1678</v>
      </c>
      <c r="B1133" t="str">
        <f>IF(COUNTIF(A:A,A1133)&gt;1,_xlfn.CONCAT(A1133," (",N1133,")"),A1133)</f>
        <v>Xīcáotóu Xiāng</v>
      </c>
      <c r="C1133" t="str">
        <f>IF(COUNTIF(B:B,B1133)&gt;1,_xlfn.CONCAT(A1133," (",M1133,")"),B1133)</f>
        <v>Xīcáotóu Xiāng</v>
      </c>
      <c r="D1133" t="s">
        <v>1679</v>
      </c>
      <c r="E1133" t="s">
        <v>17</v>
      </c>
      <c r="F1133" t="str">
        <f>_xlfn.CONCAT(D1133,", ",H1133,", ",I1133,", ","山西省")</f>
        <v>西槽头乡, 文水县, 吕梁市, 山西省</v>
      </c>
      <c r="G1133">
        <v>15990</v>
      </c>
      <c r="H1133" t="s">
        <v>2956</v>
      </c>
      <c r="I1133" t="s">
        <v>2946</v>
      </c>
      <c r="J1133" t="e">
        <f>VLOOKUP(F1133,[1]!china_towns_second__2[[Column1]:[Y]],3,FALSE)</f>
        <v>#N/A</v>
      </c>
      <c r="K1133" t="e">
        <f>VLOOKUP(F1133,[1]!china_towns_second__2[[Column1]:[Y]],2,FALSE)</f>
        <v>#N/A</v>
      </c>
      <c r="L1133" t="s">
        <v>4705</v>
      </c>
      <c r="M1133" t="str">
        <f>VLOOKUP(H1133,CHOOSE({1,2},Table12[Native],Table12[Name]),2,0)</f>
        <v>Wénshuĭ Xiàn</v>
      </c>
      <c r="N1133" s="13" t="str">
        <f>VLOOKUP(I1133,CHOOSE({1,2},Table12[Native],Table12[Name]),2,0)</f>
        <v>Lǚliáng Shì</v>
      </c>
      <c r="O1133" s="13" t="str">
        <f t="shared" si="34"/>
        <v>Xicaotou Xiang (Lǚliáng Shì)</v>
      </c>
      <c r="P1133" s="13" t="str">
        <f t="shared" si="35"/>
        <v>Xicaotou Xiang (Lǚliáng Shì)</v>
      </c>
    </row>
    <row r="1134" spans="1:16" hidden="1" x14ac:dyDescent="0.25">
      <c r="A1134" t="s">
        <v>1844</v>
      </c>
      <c r="B1134" t="str">
        <f>IF(COUNTIF(A:A,A1134)&gt;1,_xlfn.CONCAT(A1134," (",N1134,")"),A1134)</f>
        <v>Xīchéng</v>
      </c>
      <c r="C1134" t="str">
        <f>IF(COUNTIF(B:B,B1134)&gt;1,_xlfn.CONCAT(A1134," (",M1134,")"),B1134)</f>
        <v>Xīchéng</v>
      </c>
      <c r="D1134" t="s">
        <v>1845</v>
      </c>
      <c r="E1134" t="s">
        <v>31</v>
      </c>
      <c r="F1134" t="str">
        <f>_xlfn.CONCAT(D1134,", ",H1134,", ",I1134,", ","山西省")</f>
        <v>西城, 山阴县, 朔州市, 山西省</v>
      </c>
      <c r="G1134">
        <v>46031</v>
      </c>
      <c r="H1134" t="s">
        <v>2964</v>
      </c>
      <c r="I1134" t="s">
        <v>2961</v>
      </c>
      <c r="J1134" t="e">
        <f>VLOOKUP(F1134,[1]!china_towns_second__2[[Column1]:[Y]],3,FALSE)</f>
        <v>#N/A</v>
      </c>
      <c r="K1134" t="e">
        <f>VLOOKUP(F1134,[1]!china_towns_second__2[[Column1]:[Y]],2,FALSE)</f>
        <v>#N/A</v>
      </c>
      <c r="L1134" t="s">
        <v>4706</v>
      </c>
      <c r="M1134" t="str">
        <f>VLOOKUP(H1134,CHOOSE({1,2},Table12[Native],Table12[Name]),2,0)</f>
        <v>Shānyīn Xiàn</v>
      </c>
      <c r="N1134" s="13" t="str">
        <f>VLOOKUP(I1134,CHOOSE({1,2},Table12[Native],Table12[Name]),2,0)</f>
        <v>Shuòzhōu Shì</v>
      </c>
      <c r="O1134" s="13" t="str">
        <f t="shared" si="34"/>
        <v>Xicheng (Shuòzhōu Shì)</v>
      </c>
      <c r="P1134" s="13" t="str">
        <f t="shared" si="35"/>
        <v>Xicheng (Shuòzhōu Shì)</v>
      </c>
    </row>
    <row r="1135" spans="1:16" hidden="1" x14ac:dyDescent="0.25">
      <c r="A1135" t="s">
        <v>1000</v>
      </c>
      <c r="B1135" t="str">
        <f>IF(COUNTIF(A:A,A1135)&gt;1,_xlfn.CONCAT(A1135," (",N1135,")"),A1135)</f>
        <v>Xīchéng Guănlĭ Wĕiyuánhuì</v>
      </c>
      <c r="C1135" t="str">
        <f>IF(COUNTIF(B:B,B1135)&gt;1,_xlfn.CONCAT(A1135," (",M1135,")"),B1135)</f>
        <v>Xīchéng Guănlĭ Wĕiyuánhuì</v>
      </c>
      <c r="D1135" t="s">
        <v>1001</v>
      </c>
      <c r="E1135" t="s">
        <v>31</v>
      </c>
      <c r="F1135" t="str">
        <f>_xlfn.CONCAT(D1135,", ",H1135,", ",I1135,", ","山西省")</f>
        <v>西城管理委员会, 灵石县, 晋中市, 山西省</v>
      </c>
      <c r="G1135">
        <v>19046</v>
      </c>
      <c r="H1135" t="s">
        <v>2917</v>
      </c>
      <c r="I1135" t="s">
        <v>2914</v>
      </c>
      <c r="J1135">
        <f>VLOOKUP(F1135,[1]!china_towns_second__2[[Column1]:[Y]],3,FALSE)</f>
        <v>36.833183416876501</v>
      </c>
      <c r="K1135">
        <f>VLOOKUP(F1135,[1]!china_towns_second__2[[Column1]:[Y]],2,FALSE)</f>
        <v>111.75410530000001</v>
      </c>
      <c r="L1135" t="s">
        <v>4707</v>
      </c>
      <c r="M1135" t="str">
        <f>VLOOKUP(H1135,CHOOSE({1,2},Table12[Native],Table12[Name]),2,0)</f>
        <v>Língshí Xiàn</v>
      </c>
      <c r="N1135" s="13" t="str">
        <f>VLOOKUP(I1135,CHOOSE({1,2},Table12[Native],Table12[Name]),2,0)</f>
        <v>Jìnzhōng Shì</v>
      </c>
      <c r="O1135" s="13" t="str">
        <f t="shared" si="34"/>
        <v>Xicheng Guanli Weiyuanhui (Jìnzhōng Shì)</v>
      </c>
      <c r="P1135" s="13" t="str">
        <f t="shared" si="35"/>
        <v>Xicheng Guanli Weiyuanhui (Jìnzhōng Shì)</v>
      </c>
    </row>
    <row r="1136" spans="1:16" hidden="1" x14ac:dyDescent="0.25">
      <c r="A1136" t="s">
        <v>2822</v>
      </c>
      <c r="B1136" t="str">
        <f>IF(COUNTIF(A:A,A1136)&gt;1,_xlfn.CONCAT(A1136," (",N1136,")"),A1136)</f>
        <v>Xīchéng Jiēdào</v>
      </c>
      <c r="C1136" t="str">
        <f>IF(COUNTIF(B:B,B1136)&gt;1,_xlfn.CONCAT(A1136," (",M1136,")"),B1136)</f>
        <v>Xīchéng Jiēdào</v>
      </c>
      <c r="D1136" t="s">
        <v>2823</v>
      </c>
      <c r="E1136" t="s">
        <v>31</v>
      </c>
      <c r="F1136" t="str">
        <f>_xlfn.CONCAT(D1136,", ",H1136,", ",I1136,", ","山西省")</f>
        <v>西城街道, 盐湖区, 运城市, 山西省</v>
      </c>
      <c r="G1136">
        <v>30141</v>
      </c>
      <c r="H1136" t="s">
        <v>3014</v>
      </c>
      <c r="I1136" t="s">
        <v>3003</v>
      </c>
      <c r="J1136">
        <f>VLOOKUP(F1136,[1]!china_towns_second__2[[Column1]:[Y]],3,FALSE)</f>
        <v>35.005360111991401</v>
      </c>
      <c r="K1136">
        <f>VLOOKUP(F1136,[1]!china_towns_second__2[[Column1]:[Y]],2,FALSE)</f>
        <v>110.9635344</v>
      </c>
      <c r="L1136" t="s">
        <v>4708</v>
      </c>
      <c r="M1136" t="str">
        <f>VLOOKUP(H1136,CHOOSE({1,2},Table12[Native],Table12[Name]),2,0)</f>
        <v>Yánhú Qū</v>
      </c>
      <c r="N1136" s="13" t="str">
        <f>VLOOKUP(I1136,CHOOSE({1,2},Table12[Native],Table12[Name]),2,0)</f>
        <v>Yùnchéng Shì</v>
      </c>
      <c r="O1136" s="13" t="str">
        <f t="shared" si="34"/>
        <v>Xicheng Jiedao (Yùnchéng Shì)</v>
      </c>
      <c r="P1136" s="13" t="str">
        <f t="shared" si="35"/>
        <v>Xicheng Jiedao (Yùnchéng Shì)</v>
      </c>
    </row>
    <row r="1137" spans="1:16" hidden="1" x14ac:dyDescent="0.25">
      <c r="A1137" t="s">
        <v>1680</v>
      </c>
      <c r="B1137" t="str">
        <f>IF(COUNTIF(A:A,A1137)&gt;1,_xlfn.CONCAT(A1137," (",N1137,")"),A1137)</f>
        <v>Xīchéng Xiāng</v>
      </c>
      <c r="C1137" t="str">
        <f>IF(COUNTIF(B:B,B1137)&gt;1,_xlfn.CONCAT(A1137," (",M1137,")"),B1137)</f>
        <v>Xīchéng Xiāng</v>
      </c>
      <c r="D1137" t="s">
        <v>1681</v>
      </c>
      <c r="E1137" t="s">
        <v>17</v>
      </c>
      <c r="F1137" t="str">
        <f>_xlfn.CONCAT(D1137,", ",H1137,", ",I1137,", ","山西省")</f>
        <v>西城乡, 文水县, 吕梁市, 山西省</v>
      </c>
      <c r="G1137">
        <v>25475</v>
      </c>
      <c r="H1137" t="s">
        <v>2956</v>
      </c>
      <c r="I1137" t="s">
        <v>2946</v>
      </c>
      <c r="J1137" t="e">
        <f>VLOOKUP(F1137,[1]!china_towns_second__2[[Column1]:[Y]],3,FALSE)</f>
        <v>#N/A</v>
      </c>
      <c r="K1137" t="e">
        <f>VLOOKUP(F1137,[1]!china_towns_second__2[[Column1]:[Y]],2,FALSE)</f>
        <v>#N/A</v>
      </c>
      <c r="L1137" t="s">
        <v>4709</v>
      </c>
      <c r="M1137" t="str">
        <f>VLOOKUP(H1137,CHOOSE({1,2},Table12[Native],Table12[Name]),2,0)</f>
        <v>Wénshuĭ Xiàn</v>
      </c>
      <c r="N1137" s="13" t="str">
        <f>VLOOKUP(I1137,CHOOSE({1,2},Table12[Native],Table12[Name]),2,0)</f>
        <v>Lǚliáng Shì</v>
      </c>
      <c r="O1137" s="13" t="str">
        <f t="shared" si="34"/>
        <v>Xicheng Xiang (Lǚliáng Shì)</v>
      </c>
      <c r="P1137" s="13" t="str">
        <f t="shared" si="35"/>
        <v>Xicheng Xiang (Lǚliáng Shì)</v>
      </c>
    </row>
    <row r="1138" spans="1:16" hidden="1" x14ac:dyDescent="0.25">
      <c r="A1138" t="s">
        <v>267</v>
      </c>
      <c r="B1138" t="str">
        <f>IF(COUNTIF(A:A,A1138)&gt;1,_xlfn.CONCAT(A1138," (",N1138,")"),A1138)</f>
        <v>Xīchí Xiāng</v>
      </c>
      <c r="C1138" t="str">
        <f>IF(COUNTIF(B:B,B1138)&gt;1,_xlfn.CONCAT(A1138," (",M1138,")"),B1138)</f>
        <v>Xīchí Xiāng</v>
      </c>
      <c r="D1138" t="s">
        <v>268</v>
      </c>
      <c r="E1138" t="s">
        <v>17</v>
      </c>
      <c r="F1138" t="str">
        <f>_xlfn.CONCAT(D1138,", ",H1138,", ",I1138,", ","山西省")</f>
        <v>西池乡, 上党区, 长治市, 山西省</v>
      </c>
      <c r="G1138">
        <v>22692</v>
      </c>
      <c r="H1138" t="s">
        <v>2889</v>
      </c>
      <c r="I1138" t="s">
        <v>2878</v>
      </c>
      <c r="J1138" t="e">
        <f>VLOOKUP(F1138,[1]!china_towns_second__2[[Column1]:[Y]],3,FALSE)</f>
        <v>#N/A</v>
      </c>
      <c r="K1138" t="e">
        <f>VLOOKUP(F1138,[1]!china_towns_second__2[[Column1]:[Y]],2,FALSE)</f>
        <v>#N/A</v>
      </c>
      <c r="L1138" t="s">
        <v>4710</v>
      </c>
      <c r="M1138" t="str">
        <f>VLOOKUP(H1138,CHOOSE({1,2},Table12[Native],Table12[Name]),2,0)</f>
        <v>Shàngdăng Qū</v>
      </c>
      <c r="N1138" s="13" t="str">
        <f>VLOOKUP(I1138,CHOOSE({1,2},Table12[Native],Table12[Name]),2,0)</f>
        <v>Chángzhì Shì</v>
      </c>
      <c r="O1138" s="13" t="str">
        <f t="shared" si="34"/>
        <v>Xichi Xiang (Chángzhì Shì)</v>
      </c>
      <c r="P1138" s="13" t="str">
        <f t="shared" si="35"/>
        <v>Xichi Xiang (Chángzhì Shì)</v>
      </c>
    </row>
    <row r="1139" spans="1:16" hidden="1" x14ac:dyDescent="0.25">
      <c r="A1139" t="s">
        <v>539</v>
      </c>
      <c r="B1139" t="str">
        <f>IF(COUNTIF(A:A,A1139)&gt;1,_xlfn.CONCAT(A1139," (",N1139,")"),A1139)</f>
        <v>Xīcūn Xiāng (Dàtóng Shì)</v>
      </c>
      <c r="C1139" t="str">
        <f>IF(COUNTIF(B:B,B1139)&gt;1,_xlfn.CONCAT(A1139," (",M1139,")"),B1139)</f>
        <v>Xīcūn Xiāng (Dàtóng Shì)</v>
      </c>
      <c r="D1139" t="s">
        <v>540</v>
      </c>
      <c r="E1139" t="s">
        <v>17</v>
      </c>
      <c r="F1139" t="str">
        <f>_xlfn.CONCAT(D1139,", ",H1139,", ",I1139,", ","山西省")</f>
        <v>西村乡, 新荣区, 大同市, 山西省</v>
      </c>
      <c r="G1139">
        <v>10654</v>
      </c>
      <c r="H1139" t="s">
        <v>2900</v>
      </c>
      <c r="I1139" t="s">
        <v>2894</v>
      </c>
      <c r="J1139" t="e">
        <f>VLOOKUP(F1139,[1]!china_towns_second__2[[Column1]:[Y]],3,FALSE)</f>
        <v>#N/A</v>
      </c>
      <c r="K1139" t="e">
        <f>VLOOKUP(F1139,[1]!china_towns_second__2[[Column1]:[Y]],2,FALSE)</f>
        <v>#N/A</v>
      </c>
      <c r="L1139" t="s">
        <v>4711</v>
      </c>
      <c r="M1139" t="str">
        <f>VLOOKUP(H1139,CHOOSE({1,2},Table12[Native],Table12[Name]),2,0)</f>
        <v>Xīnróng Qū</v>
      </c>
      <c r="N1139" s="13" t="str">
        <f>VLOOKUP(I1139,CHOOSE({1,2},Table12[Native],Table12[Name]),2,0)</f>
        <v>Dàtóng Shì</v>
      </c>
      <c r="O1139" s="13" t="str">
        <f t="shared" si="34"/>
        <v>Xicun Xiang (Datong Shi) (Dàtóng Shì)</v>
      </c>
      <c r="P1139" s="13" t="str">
        <f t="shared" si="35"/>
        <v>Xicun Xiang (Datong Shi) (Dàtóng Shì)</v>
      </c>
    </row>
    <row r="1140" spans="1:16" hidden="1" x14ac:dyDescent="0.25">
      <c r="A1140" t="s">
        <v>539</v>
      </c>
      <c r="B1140" t="str">
        <f>IF(COUNTIF(A:A,A1140)&gt;1,_xlfn.CONCAT(A1140," (",N1140,")"),A1140)</f>
        <v>Xīcūn Xiāng (Yùnchéng Shì)</v>
      </c>
      <c r="C1140" t="str">
        <f>IF(COUNTIF(B:B,B1140)&gt;1,_xlfn.CONCAT(A1140," (",M1140,")"),B1140)</f>
        <v>Xīcūn Xiāng (Yùnchéng Shì)</v>
      </c>
      <c r="D1140" t="s">
        <v>540</v>
      </c>
      <c r="E1140" t="s">
        <v>17</v>
      </c>
      <c r="F1140" t="str">
        <f>_xlfn.CONCAT(D1140,", ",H1140,", ",I1140,", ","山西省")</f>
        <v>西村乡, 万荣县, 运城市, 山西省</v>
      </c>
      <c r="G1140">
        <v>18941</v>
      </c>
      <c r="H1140" t="s">
        <v>3010</v>
      </c>
      <c r="I1140" t="s">
        <v>3003</v>
      </c>
      <c r="J1140" t="e">
        <f>VLOOKUP(F1140,[1]!china_towns_second__2[[Column1]:[Y]],3,FALSE)</f>
        <v>#N/A</v>
      </c>
      <c r="K1140" t="e">
        <f>VLOOKUP(F1140,[1]!china_towns_second__2[[Column1]:[Y]],2,FALSE)</f>
        <v>#N/A</v>
      </c>
      <c r="L1140" t="s">
        <v>4712</v>
      </c>
      <c r="M1140" t="str">
        <f>VLOOKUP(H1140,CHOOSE({1,2},Table12[Native],Table12[Name]),2,0)</f>
        <v>Wànróng Xiàn</v>
      </c>
      <c r="N1140" s="13" t="str">
        <f>VLOOKUP(I1140,CHOOSE({1,2},Table12[Native],Table12[Name]),2,0)</f>
        <v>Yùnchéng Shì</v>
      </c>
      <c r="O1140" s="13" t="str">
        <f t="shared" si="34"/>
        <v>Xicun Xiang (Yuncheng Shi) (Yùnchéng Shì)</v>
      </c>
      <c r="P1140" s="13" t="str">
        <f t="shared" si="35"/>
        <v>Xicun Xiang (Yuncheng Shi) (Yùnchéng Shì)</v>
      </c>
    </row>
    <row r="1141" spans="1:16" hidden="1" x14ac:dyDescent="0.25">
      <c r="A1141" t="s">
        <v>541</v>
      </c>
      <c r="B1141" t="str">
        <f>IF(COUNTIF(A:A,A1141)&gt;1,_xlfn.CONCAT(A1141," (",N1141,")"),A1141)</f>
        <v>Xīfāngchéng Zhèn</v>
      </c>
      <c r="C1141" t="str">
        <f>IF(COUNTIF(B:B,B1141)&gt;1,_xlfn.CONCAT(A1141," (",M1141,")"),B1141)</f>
        <v>Xīfāngchéng Zhèn</v>
      </c>
      <c r="D1141" t="s">
        <v>542</v>
      </c>
      <c r="E1141" t="s">
        <v>7</v>
      </c>
      <c r="F1141" t="str">
        <f>_xlfn.CONCAT(D1141,", ",H1141,", ",I1141,", ","山西省")</f>
        <v>西坊城镇, 浑源县, 大同市, 山西省</v>
      </c>
      <c r="G1141">
        <v>13897</v>
      </c>
      <c r="H1141" t="s">
        <v>2896</v>
      </c>
      <c r="I1141" t="s">
        <v>2894</v>
      </c>
      <c r="J1141">
        <f>VLOOKUP(F1141,[1]!china_towns_second__2[[Column1]:[Y]],3,FALSE)</f>
        <v>39.588066063941703</v>
      </c>
      <c r="K1141">
        <f>VLOOKUP(F1141,[1]!china_towns_second__2[[Column1]:[Y]],2,FALSE)</f>
        <v>113.4844173</v>
      </c>
      <c r="L1141" t="s">
        <v>4713</v>
      </c>
      <c r="M1141" t="str">
        <f>VLOOKUP(H1141,CHOOSE({1,2},Table12[Native],Table12[Name]),2,0)</f>
        <v>Húnyuán Xiàn</v>
      </c>
      <c r="N1141" s="13" t="str">
        <f>VLOOKUP(I1141,CHOOSE({1,2},Table12[Native],Table12[Name]),2,0)</f>
        <v>Dàtóng Shì</v>
      </c>
      <c r="O1141" s="13" t="str">
        <f t="shared" si="34"/>
        <v>Xifangcheng Zhen (Dàtóng Shì)</v>
      </c>
      <c r="P1141" s="13" t="str">
        <f t="shared" si="35"/>
        <v>Xifangcheng Zhen (Dàtóng Shì)</v>
      </c>
    </row>
    <row r="1142" spans="1:16" hidden="1" x14ac:dyDescent="0.25">
      <c r="A1142" t="s">
        <v>269</v>
      </c>
      <c r="B1142" t="str">
        <f>IF(COUNTIF(A:A,A1142)&gt;1,_xlfn.CONCAT(A1142," (",N1142,")"),A1142)</f>
        <v>Xīgōu Xiāng</v>
      </c>
      <c r="C1142" t="str">
        <f>IF(COUNTIF(B:B,B1142)&gt;1,_xlfn.CONCAT(A1142," (",M1142,")"),B1142)</f>
        <v>Xīgōu Xiāng</v>
      </c>
      <c r="D1142" t="s">
        <v>270</v>
      </c>
      <c r="E1142" t="s">
        <v>17</v>
      </c>
      <c r="F1142" t="str">
        <f>_xlfn.CONCAT(D1142,", ",H1142,", ",I1142,", ","山西省")</f>
        <v>西沟乡, 平顺县, 长治市, 山西省</v>
      </c>
      <c r="G1142">
        <v>6862</v>
      </c>
      <c r="H1142" t="s">
        <v>2886</v>
      </c>
      <c r="I1142" t="s">
        <v>2878</v>
      </c>
      <c r="J1142" t="e">
        <f>VLOOKUP(F1142,[1]!china_towns_second__2[[Column1]:[Y]],3,FALSE)</f>
        <v>#N/A</v>
      </c>
      <c r="K1142" t="e">
        <f>VLOOKUP(F1142,[1]!china_towns_second__2[[Column1]:[Y]],2,FALSE)</f>
        <v>#N/A</v>
      </c>
      <c r="L1142" t="s">
        <v>4714</v>
      </c>
      <c r="M1142" t="str">
        <f>VLOOKUP(H1142,CHOOSE({1,2},Table12[Native],Table12[Name]),2,0)</f>
        <v>Píngshùn Xiàn</v>
      </c>
      <c r="N1142" s="13" t="str">
        <f>VLOOKUP(I1142,CHOOSE({1,2},Table12[Native],Table12[Name]),2,0)</f>
        <v>Chángzhì Shì</v>
      </c>
      <c r="O1142" s="13" t="str">
        <f t="shared" si="34"/>
        <v>Xigou Xiang (Chángzhì Shì)</v>
      </c>
      <c r="P1142" s="13" t="str">
        <f t="shared" si="35"/>
        <v>Xigou Xiang (Chángzhì Shì)</v>
      </c>
    </row>
    <row r="1143" spans="1:16" hidden="1" x14ac:dyDescent="0.25">
      <c r="A1143" t="s">
        <v>2056</v>
      </c>
      <c r="B1143" t="str">
        <f>IF(COUNTIF(A:A,A1143)&gt;1,_xlfn.CONCAT(A1143," (",N1143,")"),A1143)</f>
        <v>Xīgŭ Xiāng</v>
      </c>
      <c r="C1143" t="str">
        <f>IF(COUNTIF(B:B,B1143)&gt;1,_xlfn.CONCAT(A1143," (",M1143,")"),B1143)</f>
        <v>Xīgŭ Xiāng</v>
      </c>
      <c r="D1143" t="s">
        <v>2057</v>
      </c>
      <c r="E1143" t="s">
        <v>17</v>
      </c>
      <c r="F1143" t="str">
        <f>_xlfn.CONCAT(D1143,", ",H1143,", ",I1143,", ","山西省")</f>
        <v>西谷乡, 清徐县, 太原市, 山西省</v>
      </c>
      <c r="G1143">
        <v>19086</v>
      </c>
      <c r="H1143" t="s">
        <v>2974</v>
      </c>
      <c r="I1143" t="s">
        <v>2969</v>
      </c>
      <c r="J1143" t="e">
        <f>VLOOKUP(F1143,[1]!china_towns_second__2[[Column1]:[Y]],3,FALSE)</f>
        <v>#N/A</v>
      </c>
      <c r="K1143" t="e">
        <f>VLOOKUP(F1143,[1]!china_towns_second__2[[Column1]:[Y]],2,FALSE)</f>
        <v>#N/A</v>
      </c>
      <c r="L1143" t="s">
        <v>4715</v>
      </c>
      <c r="M1143" t="str">
        <f>VLOOKUP(H1143,CHOOSE({1,2},Table12[Native],Table12[Name]),2,0)</f>
        <v>Qīngxú Xiàn</v>
      </c>
      <c r="N1143" s="13" t="str">
        <f>VLOOKUP(I1143,CHOOSE({1,2},Table12[Native],Table12[Name]),2,0)</f>
        <v>Tàiyuán Shì</v>
      </c>
      <c r="O1143" s="13" t="str">
        <f t="shared" si="34"/>
        <v>Xigu Xiang (Tàiyuán Shì)</v>
      </c>
      <c r="P1143" s="13" t="str">
        <f t="shared" si="35"/>
        <v>Xigu Xiang (Tàiyuán Shì)</v>
      </c>
    </row>
    <row r="1144" spans="1:16" hidden="1" x14ac:dyDescent="0.25">
      <c r="A1144" t="s">
        <v>1002</v>
      </c>
      <c r="B1144" t="str">
        <f>IF(COUNTIF(A:A,A1144)&gt;1,_xlfn.CONCAT(A1144," (",N1144,")"),A1144)</f>
        <v>Xīguān Jiēdào</v>
      </c>
      <c r="C1144" t="str">
        <f>IF(COUNTIF(B:B,B1144)&gt;1,_xlfn.CONCAT(A1144," (",M1144,")"),B1144)</f>
        <v>Xīguān Jiēdào</v>
      </c>
      <c r="D1144" t="s">
        <v>1003</v>
      </c>
      <c r="E1144" t="s">
        <v>31</v>
      </c>
      <c r="F1144" t="str">
        <f>_xlfn.CONCAT(D1144,", ",H1144,", ",I1144,", ","山西省")</f>
        <v>西关街道, 介休市, 晋中市, 山西省</v>
      </c>
      <c r="G1144">
        <v>22041</v>
      </c>
      <c r="H1144" t="s">
        <v>2916</v>
      </c>
      <c r="I1144" t="s">
        <v>2914</v>
      </c>
      <c r="J1144">
        <f>VLOOKUP(F1144,[1]!china_towns_second__2[[Column1]:[Y]],3,FALSE)</f>
        <v>37.027416097556497</v>
      </c>
      <c r="K1144">
        <f>VLOOKUP(F1144,[1]!china_towns_second__2[[Column1]:[Y]],2,FALSE)</f>
        <v>111.8898105</v>
      </c>
      <c r="L1144" t="s">
        <v>4716</v>
      </c>
      <c r="M1144" t="str">
        <f>VLOOKUP(H1144,CHOOSE({1,2},Table12[Native],Table12[Name]),2,0)</f>
        <v>Jièxiū Shì</v>
      </c>
      <c r="N1144" s="13" t="str">
        <f>VLOOKUP(I1144,CHOOSE({1,2},Table12[Native],Table12[Name]),2,0)</f>
        <v>Jìnzhōng Shì</v>
      </c>
      <c r="O1144" s="13" t="str">
        <f t="shared" si="34"/>
        <v>Xiguan Jiedao (Jìnzhōng Shì)</v>
      </c>
      <c r="P1144" s="13" t="str">
        <f t="shared" si="35"/>
        <v>Xiguan Jiedao (Jìnzhōng Shì)</v>
      </c>
    </row>
    <row r="1145" spans="1:16" hidden="1" x14ac:dyDescent="0.25">
      <c r="A1145" t="s">
        <v>543</v>
      </c>
      <c r="B1145" t="str">
        <f>IF(COUNTIF(A:A,A1145)&gt;1,_xlfn.CONCAT(A1145," (",N1145,")"),A1145)</f>
        <v>Xīhánlĭng Xiāng</v>
      </c>
      <c r="C1145" t="str">
        <f>IF(COUNTIF(B:B,B1145)&gt;1,_xlfn.CONCAT(A1145," (",M1145,")"),B1145)</f>
        <v>Xīhánlĭng Xiāng</v>
      </c>
      <c r="D1145" t="s">
        <v>544</v>
      </c>
      <c r="E1145" t="s">
        <v>17</v>
      </c>
      <c r="F1145" t="str">
        <f>_xlfn.CONCAT(D1145,", ",H1145,", ",I1145,", ","山西省")</f>
        <v>西韩岭乡, 云冈区, 大同市, 山西省</v>
      </c>
      <c r="G1145">
        <v>29833</v>
      </c>
      <c r="H1145" t="s">
        <v>2902</v>
      </c>
      <c r="I1145" t="s">
        <v>2894</v>
      </c>
      <c r="J1145" t="e">
        <f>VLOOKUP(F1145,[1]!china_towns_second__2[[Column1]:[Y]],3,FALSE)</f>
        <v>#N/A</v>
      </c>
      <c r="K1145" t="e">
        <f>VLOOKUP(F1145,[1]!china_towns_second__2[[Column1]:[Y]],2,FALSE)</f>
        <v>#N/A</v>
      </c>
      <c r="L1145" t="s">
        <v>4717</v>
      </c>
      <c r="M1145" t="str">
        <f>VLOOKUP(H1145,CHOOSE({1,2},Table12[Native],Table12[Name]),2,0)</f>
        <v>Yúngāng Qū</v>
      </c>
      <c r="N1145" s="13" t="str">
        <f>VLOOKUP(I1145,CHOOSE({1,2},Table12[Native],Table12[Name]),2,0)</f>
        <v>Dàtóng Shì</v>
      </c>
      <c r="O1145" s="13" t="str">
        <f t="shared" si="34"/>
        <v>Xihanling Xiang (Dàtóng Shì)</v>
      </c>
      <c r="P1145" s="13" t="str">
        <f t="shared" si="35"/>
        <v>Xihanling Xiang (Dàtóng Shì)</v>
      </c>
    </row>
    <row r="1146" spans="1:16" hidden="1" x14ac:dyDescent="0.25">
      <c r="A1146" t="s">
        <v>757</v>
      </c>
      <c r="B1146" t="str">
        <f>IF(COUNTIF(A:A,A1146)&gt;1,_xlfn.CONCAT(A1146," (",N1146,")"),A1146)</f>
        <v>Xīhé Xiāng (Jìnchéng Shì)</v>
      </c>
      <c r="C1146" t="str">
        <f>IF(COUNTIF(B:B,B1146)&gt;1,_xlfn.CONCAT(A1146," (",M1146,")"),B1146)</f>
        <v>Xīhé Xiāng (Jìnchéng Shì)</v>
      </c>
      <c r="D1146" t="s">
        <v>758</v>
      </c>
      <c r="E1146" t="s">
        <v>17</v>
      </c>
      <c r="F1146" t="str">
        <f>_xlfn.CONCAT(D1146,", ",H1146,", ",I1146,", ","山西省")</f>
        <v>西河乡, 阳城县, 晋城市, 山西省</v>
      </c>
      <c r="G1146">
        <v>15941</v>
      </c>
      <c r="H1146" t="s">
        <v>2911</v>
      </c>
      <c r="I1146" t="s">
        <v>2906</v>
      </c>
      <c r="J1146" t="e">
        <f>VLOOKUP(F1146,[1]!china_towns_second__2[[Column1]:[Y]],3,FALSE)</f>
        <v>#N/A</v>
      </c>
      <c r="K1146" t="e">
        <f>VLOOKUP(F1146,[1]!china_towns_second__2[[Column1]:[Y]],2,FALSE)</f>
        <v>#N/A</v>
      </c>
      <c r="L1146" t="s">
        <v>4718</v>
      </c>
      <c r="M1146" t="str">
        <f>VLOOKUP(H1146,CHOOSE({1,2},Table12[Native],Table12[Name]),2,0)</f>
        <v>Yángchéng Xiàn</v>
      </c>
      <c r="N1146" s="13" t="str">
        <f>VLOOKUP(I1146,CHOOSE({1,2},Table12[Native],Table12[Name]),2,0)</f>
        <v>Jìnchéng Shì</v>
      </c>
      <c r="O1146" s="13" t="str">
        <f t="shared" si="34"/>
        <v>Xihe Xiang (Jincheng Shi) (Jìnchéng Shì)</v>
      </c>
      <c r="P1146" s="13" t="str">
        <f t="shared" si="35"/>
        <v>Xihe Xiang (Jincheng Shi) (Jìnchéng Shì)</v>
      </c>
    </row>
    <row r="1147" spans="1:16" hidden="1" x14ac:dyDescent="0.25">
      <c r="A1147" t="s">
        <v>757</v>
      </c>
      <c r="B1147" t="str">
        <f>IF(COUNTIF(A:A,A1147)&gt;1,_xlfn.CONCAT(A1147," (",N1147,")"),A1147)</f>
        <v>Xīhé Xiāng (Lǚliáng Shì)</v>
      </c>
      <c r="C1147" t="str">
        <f>IF(COUNTIF(B:B,B1147)&gt;1,_xlfn.CONCAT(A1147," (",M1147,")"),B1147)</f>
        <v>Xīhé Xiāng (Lǚliáng Shì)</v>
      </c>
      <c r="D1147" t="s">
        <v>758</v>
      </c>
      <c r="E1147" t="s">
        <v>17</v>
      </c>
      <c r="F1147" t="str">
        <f>_xlfn.CONCAT(D1147,", ",H1147,", ",I1147,", ","山西省")</f>
        <v>西河乡, 汾阳市, 吕梁市, 山西省</v>
      </c>
      <c r="G1147">
        <v>35057</v>
      </c>
      <c r="H1147" t="s">
        <v>2948</v>
      </c>
      <c r="I1147" t="s">
        <v>2946</v>
      </c>
      <c r="J1147" t="e">
        <f>VLOOKUP(F1147,[1]!china_towns_second__2[[Column1]:[Y]],3,FALSE)</f>
        <v>#N/A</v>
      </c>
      <c r="K1147" t="e">
        <f>VLOOKUP(F1147,[1]!china_towns_second__2[[Column1]:[Y]],2,FALSE)</f>
        <v>#N/A</v>
      </c>
      <c r="L1147" t="s">
        <v>4719</v>
      </c>
      <c r="M1147" t="str">
        <f>VLOOKUP(H1147,CHOOSE({1,2},Table12[Native],Table12[Name]),2,0)</f>
        <v>Fényáng Shì</v>
      </c>
      <c r="N1147" s="13" t="str">
        <f>VLOOKUP(I1147,CHOOSE({1,2},Table12[Native],Table12[Name]),2,0)</f>
        <v>Lǚliáng Shì</v>
      </c>
      <c r="O1147" s="13" t="str">
        <f t="shared" si="34"/>
        <v>Xihe Xiang (Luliang Shi) (Lǚliáng Shì)</v>
      </c>
      <c r="P1147" s="13" t="str">
        <f t="shared" si="35"/>
        <v>Xihe Xiang (Luliang Shi) (Lǚliáng Shì)</v>
      </c>
    </row>
    <row r="1148" spans="1:16" hidden="1" x14ac:dyDescent="0.25">
      <c r="A1148" t="s">
        <v>755</v>
      </c>
      <c r="B1148" t="str">
        <f>IF(COUNTIF(A:A,A1148)&gt;1,_xlfn.CONCAT(A1148," (",N1148,")"),A1148)</f>
        <v>Xīhédĭ Zhèn</v>
      </c>
      <c r="C1148" t="str">
        <f>IF(COUNTIF(B:B,B1148)&gt;1,_xlfn.CONCAT(A1148," (",M1148,")"),B1148)</f>
        <v>Xīhédĭ Zhèn</v>
      </c>
      <c r="D1148" t="s">
        <v>756</v>
      </c>
      <c r="E1148" t="s">
        <v>7</v>
      </c>
      <c r="F1148" t="str">
        <f>_xlfn.CONCAT(D1148,", ",H1148,", ",I1148,", ","山西省")</f>
        <v>西河底镇, 陵川县, 晋城市, 山西省</v>
      </c>
      <c r="G1148">
        <v>17400</v>
      </c>
      <c r="H1148" t="s">
        <v>2909</v>
      </c>
      <c r="I1148" t="s">
        <v>2906</v>
      </c>
      <c r="J1148">
        <f>VLOOKUP(F1148,[1]!china_towns_second__2[[Column1]:[Y]],3,FALSE)</f>
        <v>35.618429645044003</v>
      </c>
      <c r="K1148">
        <f>VLOOKUP(F1148,[1]!china_towns_second__2[[Column1]:[Y]],2,FALSE)</f>
        <v>113.0992681</v>
      </c>
      <c r="L1148" t="s">
        <v>4720</v>
      </c>
      <c r="M1148" t="str">
        <f>VLOOKUP(H1148,CHOOSE({1,2},Table12[Native],Table12[Name]),2,0)</f>
        <v>Língchuān Xiàn</v>
      </c>
      <c r="N1148" s="13" t="str">
        <f>VLOOKUP(I1148,CHOOSE({1,2},Table12[Native],Table12[Name]),2,0)</f>
        <v>Jìnchéng Shì</v>
      </c>
      <c r="O1148" s="13" t="str">
        <f t="shared" si="34"/>
        <v>Xihedi Zhen (Jìnchéng Shì)</v>
      </c>
      <c r="P1148" s="13" t="str">
        <f t="shared" si="35"/>
        <v>Xihedi Zhen (Jìnchéng Shì)</v>
      </c>
    </row>
    <row r="1149" spans="1:16" hidden="1" x14ac:dyDescent="0.25">
      <c r="A1149" t="s">
        <v>545</v>
      </c>
      <c r="B1149" t="str">
        <f>IF(COUNTIF(A:A,A1149)&gt;1,_xlfn.CONCAT(A1149," (",N1149,")"),A1149)</f>
        <v>Xīhuāyuán Jiēdào</v>
      </c>
      <c r="C1149" t="str">
        <f>IF(COUNTIF(B:B,B1149)&gt;1,_xlfn.CONCAT(A1149," (",M1149,")"),B1149)</f>
        <v>Xīhuāyuán Jiēdào</v>
      </c>
      <c r="D1149" t="s">
        <v>546</v>
      </c>
      <c r="E1149" t="s">
        <v>31</v>
      </c>
      <c r="F1149" t="str">
        <f>_xlfn.CONCAT(D1149,", ",H1149,", ",I1149,", ","山西省")</f>
        <v>西花园街道办事处, 平城区, 大同市, 山西省</v>
      </c>
      <c r="G1149">
        <v>26418</v>
      </c>
      <c r="H1149" t="s">
        <v>2898</v>
      </c>
      <c r="I1149" t="s">
        <v>2894</v>
      </c>
      <c r="J1149" t="e">
        <f>VLOOKUP(F1149,[1]!china_towns_second__2[[Column1]:[Y]],3,FALSE)</f>
        <v>#N/A</v>
      </c>
      <c r="K1149" t="e">
        <f>VLOOKUP(F1149,[1]!china_towns_second__2[[Column1]:[Y]],2,FALSE)</f>
        <v>#N/A</v>
      </c>
      <c r="L1149" t="s">
        <v>4721</v>
      </c>
      <c r="M1149" t="str">
        <f>VLOOKUP(H1149,CHOOSE({1,2},Table12[Native],Table12[Name]),2,0)</f>
        <v>Píngchéng Qū</v>
      </c>
      <c r="N1149" s="13" t="str">
        <f>VLOOKUP(I1149,CHOOSE({1,2},Table12[Native],Table12[Name]),2,0)</f>
        <v>Dàtóng Shì</v>
      </c>
      <c r="O1149" s="13" t="str">
        <f t="shared" si="34"/>
        <v>Xihuayuan Jiedao (Dàtóng Shì)</v>
      </c>
      <c r="P1149" s="13" t="str">
        <f t="shared" si="35"/>
        <v>Xihuayuan Jiedao (Dàtóng Shì)</v>
      </c>
    </row>
    <row r="1150" spans="1:16" hidden="1" x14ac:dyDescent="0.25">
      <c r="A1150" t="s">
        <v>271</v>
      </c>
      <c r="B1150" t="str">
        <f>IF(COUNTIF(A:A,A1150)&gt;1,_xlfn.CONCAT(A1150," (",N1150,")"),A1150)</f>
        <v>Xīhuŏ Zhèn [incl. Zhènxīng Xīnqū]</v>
      </c>
      <c r="C1150" t="str">
        <f>IF(COUNTIF(B:B,B1150)&gt;1,_xlfn.CONCAT(A1150," (",M1150,")"),B1150)</f>
        <v>Xīhuŏ Zhèn [incl. Zhènxīng Xīnqū]</v>
      </c>
      <c r="D1150" t="s">
        <v>272</v>
      </c>
      <c r="E1150" t="s">
        <v>7</v>
      </c>
      <c r="F1150" t="str">
        <f>_xlfn.CONCAT(D1150,", ",H1150,", ",I1150,", ","山西省")</f>
        <v>西火镇, 上党区, 长治市, 山西省</v>
      </c>
      <c r="G1150">
        <v>24945</v>
      </c>
      <c r="H1150" t="s">
        <v>2889</v>
      </c>
      <c r="I1150" t="s">
        <v>2878</v>
      </c>
      <c r="J1150">
        <f>VLOOKUP(F1150,[1]!china_towns_second__2[[Column1]:[Y]],3,FALSE)</f>
        <v>35.909552710741103</v>
      </c>
      <c r="K1150">
        <f>VLOOKUP(F1150,[1]!china_towns_second__2[[Column1]:[Y]],2,FALSE)</f>
        <v>113.15028030000001</v>
      </c>
      <c r="L1150" t="s">
        <v>4722</v>
      </c>
      <c r="M1150" t="str">
        <f>VLOOKUP(H1150,CHOOSE({1,2},Table12[Native],Table12[Name]),2,0)</f>
        <v>Shàngdăng Qū</v>
      </c>
      <c r="N1150" s="13" t="str">
        <f>VLOOKUP(I1150,CHOOSE({1,2},Table12[Native],Table12[Name]),2,0)</f>
        <v>Chángzhì Shì</v>
      </c>
      <c r="O1150" s="13" t="str">
        <f t="shared" si="34"/>
        <v>Xihuo Zhen [incl. Zhenxing Xinqu] (Chángzhì Shì)</v>
      </c>
      <c r="P1150" s="13" t="str">
        <f t="shared" si="35"/>
        <v>Xihuo Zhen [incl. Zhenxing Xinqu] (Chángzhì Shì)</v>
      </c>
    </row>
    <row r="1151" spans="1:16" hidden="1" x14ac:dyDescent="0.25">
      <c r="A1151" t="s">
        <v>273</v>
      </c>
      <c r="B1151" t="str">
        <f>IF(COUNTIF(A:A,A1151)&gt;1,_xlfn.CONCAT(A1151," (",N1151,")"),A1151)</f>
        <v>Xījiă Xiāng (Chángzhì Shì)</v>
      </c>
      <c r="C1151" t="str">
        <f>IF(COUNTIF(B:B,B1151)&gt;1,_xlfn.CONCAT(A1151," (",M1151,")"),B1151)</f>
        <v>Xījiă Xiāng (Chángzhì Shì)</v>
      </c>
      <c r="D1151" t="s">
        <v>274</v>
      </c>
      <c r="E1151" t="s">
        <v>17</v>
      </c>
      <c r="F1151" t="str">
        <f>_xlfn.CONCAT(D1151,", ",H1151,", ",I1151,", ","山西省")</f>
        <v>西贾乡, 屯留区, 长治市, 山西省</v>
      </c>
      <c r="G1151">
        <v>14948</v>
      </c>
      <c r="H1151" t="s">
        <v>2890</v>
      </c>
      <c r="I1151" t="s">
        <v>2878</v>
      </c>
      <c r="J1151" t="e">
        <f>VLOOKUP(F1151,[1]!china_towns_second__2[[Column1]:[Y]],3,FALSE)</f>
        <v>#N/A</v>
      </c>
      <c r="K1151" t="e">
        <f>VLOOKUP(F1151,[1]!china_towns_second__2[[Column1]:[Y]],2,FALSE)</f>
        <v>#N/A</v>
      </c>
      <c r="L1151" t="s">
        <v>4723</v>
      </c>
      <c r="M1151" t="str">
        <f>VLOOKUP(H1151,CHOOSE({1,2},Table12[Native],Table12[Name]),2,0)</f>
        <v>Túnliú Qū</v>
      </c>
      <c r="N1151" s="13" t="str">
        <f>VLOOKUP(I1151,CHOOSE({1,2},Table12[Native],Table12[Name]),2,0)</f>
        <v>Chángzhì Shì</v>
      </c>
      <c r="O1151" s="13" t="str">
        <f t="shared" si="34"/>
        <v>Xijia Xiang (Changzhi Shi) (Chángzhì Shì)</v>
      </c>
      <c r="P1151" s="13" t="str">
        <f t="shared" si="35"/>
        <v>Xijia Xiang (Changzhi Shi) (Chángzhì Shì)</v>
      </c>
    </row>
    <row r="1152" spans="1:16" hidden="1" x14ac:dyDescent="0.25">
      <c r="A1152" t="s">
        <v>273</v>
      </c>
      <c r="B1152" t="str">
        <f>IF(COUNTIF(A:A,A1152)&gt;1,_xlfn.CONCAT(A1152," (",N1152,")"),A1152)</f>
        <v>Xījiă Xiāng (Línfén Shì)</v>
      </c>
      <c r="C1152" t="str">
        <f>IF(COUNTIF(B:B,B1152)&gt;1,_xlfn.CONCAT(A1152," (",M1152,")"),B1152)</f>
        <v>Xījiă Xiāng (Línfén Shì)</v>
      </c>
      <c r="D1152" t="s">
        <v>274</v>
      </c>
      <c r="E1152" t="s">
        <v>17</v>
      </c>
      <c r="F1152" t="str">
        <f>_xlfn.CONCAT(D1152,", ",H1152,", ",I1152,", ","山西省")</f>
        <v>西贾乡, 襄汾县, 临汾市, 山西省</v>
      </c>
      <c r="G1152">
        <v>18617</v>
      </c>
      <c r="H1152" t="s">
        <v>2939</v>
      </c>
      <c r="I1152" t="s">
        <v>2927</v>
      </c>
      <c r="J1152" t="e">
        <f>VLOOKUP(F1152,[1]!china_towns_second__2[[Column1]:[Y]],3,FALSE)</f>
        <v>#N/A</v>
      </c>
      <c r="K1152" t="e">
        <f>VLOOKUP(F1152,[1]!china_towns_second__2[[Column1]:[Y]],2,FALSE)</f>
        <v>#N/A</v>
      </c>
      <c r="L1152" t="s">
        <v>4724</v>
      </c>
      <c r="M1152" t="str">
        <f>VLOOKUP(H1152,CHOOSE({1,2},Table12[Native],Table12[Name]),2,0)</f>
        <v>Xiāngfén Xiàn</v>
      </c>
      <c r="N1152" s="13" t="str">
        <f>VLOOKUP(I1152,CHOOSE({1,2},Table12[Native],Table12[Name]),2,0)</f>
        <v>Línfén Shì</v>
      </c>
      <c r="O1152" s="13" t="str">
        <f t="shared" si="34"/>
        <v>Xijia Xiang (Linfen Shi) (Línfén Shì)</v>
      </c>
      <c r="P1152" s="13" t="str">
        <f t="shared" si="35"/>
        <v>Xijia Xiang (Linfen Shi) (Línfén Shì)</v>
      </c>
    </row>
    <row r="1153" spans="1:16" hidden="1" x14ac:dyDescent="0.25">
      <c r="A1153" t="s">
        <v>1343</v>
      </c>
      <c r="B1153" t="str">
        <f>IF(COUNTIF(A:A,A1153)&gt;1,_xlfn.CONCAT(A1153," (",N1153,")"),A1153)</f>
        <v>Xījiāokŏu Xiāng</v>
      </c>
      <c r="C1153" t="str">
        <f>IF(COUNTIF(B:B,B1153)&gt;1,_xlfn.CONCAT(A1153," (",M1153,")"),B1153)</f>
        <v>Xījiāokŏu Xiāng</v>
      </c>
      <c r="D1153" t="s">
        <v>1344</v>
      </c>
      <c r="E1153" t="s">
        <v>17</v>
      </c>
      <c r="F1153" t="str">
        <f>_xlfn.CONCAT(D1153,", ",H1153,", ",I1153,", ","山西省")</f>
        <v>西交口乡, 乡宁县, 临汾市, 山西省</v>
      </c>
      <c r="G1153">
        <v>10875</v>
      </c>
      <c r="H1153" t="s">
        <v>2940</v>
      </c>
      <c r="I1153" t="s">
        <v>2927</v>
      </c>
      <c r="J1153" t="e">
        <f>VLOOKUP(F1153,[1]!china_towns_second__2[[Column1]:[Y]],3,FALSE)</f>
        <v>#N/A</v>
      </c>
      <c r="K1153" t="e">
        <f>VLOOKUP(F1153,[1]!china_towns_second__2[[Column1]:[Y]],2,FALSE)</f>
        <v>#N/A</v>
      </c>
      <c r="L1153" t="s">
        <v>4725</v>
      </c>
      <c r="M1153" t="str">
        <f>VLOOKUP(H1153,CHOOSE({1,2},Table12[Native],Table12[Name]),2,0)</f>
        <v>Xiāngníng Xiàn</v>
      </c>
      <c r="N1153" s="13" t="str">
        <f>VLOOKUP(I1153,CHOOSE({1,2},Table12[Native],Table12[Name]),2,0)</f>
        <v>Línfén Shì</v>
      </c>
      <c r="O1153" s="13" t="str">
        <f t="shared" si="34"/>
        <v>Xijiaokou Xiang (Línfén Shì)</v>
      </c>
      <c r="P1153" s="13" t="str">
        <f t="shared" si="35"/>
        <v>Xijiaokou Xiang (Línfén Shì)</v>
      </c>
    </row>
    <row r="1154" spans="1:16" hidden="1" x14ac:dyDescent="0.25">
      <c r="A1154" t="s">
        <v>547</v>
      </c>
      <c r="B1154" t="str">
        <f>IF(COUNTIF(A:A,A1154)&gt;1,_xlfn.CONCAT(A1154," (",N1154,")"),A1154)</f>
        <v>Xījiē</v>
      </c>
      <c r="C1154" t="str">
        <f>IF(COUNTIF(B:B,B1154)&gt;1,_xlfn.CONCAT(A1154," (",M1154,")"),B1154)</f>
        <v>Xījiē</v>
      </c>
      <c r="D1154" t="s">
        <v>548</v>
      </c>
      <c r="E1154" t="s">
        <v>35</v>
      </c>
      <c r="F1154" t="str">
        <f>_xlfn.CONCAT(D1154,", ",H1154,", ",I1154,", ","山西省")</f>
        <v>西街办事处, 云州区, 大同市, 山西省</v>
      </c>
      <c r="G1154">
        <v>10405</v>
      </c>
      <c r="H1154" t="s">
        <v>2903</v>
      </c>
      <c r="I1154" t="s">
        <v>2894</v>
      </c>
      <c r="J1154" t="e">
        <f>VLOOKUP(F1154,[1]!china_towns_second__2[[Column1]:[Y]],3,FALSE)</f>
        <v>#N/A</v>
      </c>
      <c r="K1154" t="e">
        <f>VLOOKUP(F1154,[1]!china_towns_second__2[[Column1]:[Y]],2,FALSE)</f>
        <v>#N/A</v>
      </c>
      <c r="L1154" t="s">
        <v>4726</v>
      </c>
      <c r="M1154" t="str">
        <f>VLOOKUP(H1154,CHOOSE({1,2},Table12[Native],Table12[Name]),2,0)</f>
        <v>Yúnzhōu Qū</v>
      </c>
      <c r="N1154" s="13" t="str">
        <f>VLOOKUP(I1154,CHOOSE({1,2},Table12[Native],Table12[Name]),2,0)</f>
        <v>Dàtóng Shì</v>
      </c>
      <c r="O1154" s="13" t="str">
        <f t="shared" ref="O1154:O1217" si="36">_xlfn.CONCAT(L1154," (",N1154,")")</f>
        <v>Xijie (Dàtóng Shì)</v>
      </c>
      <c r="P1154" s="13" t="str">
        <f t="shared" ref="P1154:P1217" si="37">IF(COUNTIF(O:O,O1154)&gt;1,_xlfn.CONCAT(L1154," (",M1154,")"),O1154)</f>
        <v>Xijie (Dàtóng Shì)</v>
      </c>
    </row>
    <row r="1155" spans="1:16" hidden="1" x14ac:dyDescent="0.25">
      <c r="A1155" t="s">
        <v>275</v>
      </c>
      <c r="B1155" t="str">
        <f>IF(COUNTIF(A:A,A1155)&gt;1,_xlfn.CONCAT(A1155," (",N1155,")"),A1155)</f>
        <v>Xījiē Jiēdào (Chángzhì Shì)</v>
      </c>
      <c r="C1155" t="str">
        <f>IF(COUNTIF(B:B,B1155)&gt;1,_xlfn.CONCAT(A1155," (",M1155,")"),B1155)</f>
        <v>Xījiē Jiēdào (Chángzhì Shì)</v>
      </c>
      <c r="D1155" t="s">
        <v>276</v>
      </c>
      <c r="E1155" t="s">
        <v>31</v>
      </c>
      <c r="F1155" t="str">
        <f>_xlfn.CONCAT(D1155,", ",H1155,", ",I1155,", ","山西省")</f>
        <v>西街街道, 潞州区, 长治市, 山西省</v>
      </c>
      <c r="G1155">
        <v>48617</v>
      </c>
      <c r="H1155" t="s">
        <v>2885</v>
      </c>
      <c r="I1155" t="s">
        <v>2878</v>
      </c>
      <c r="J1155" t="e">
        <f>VLOOKUP(F1155,[1]!china_towns_second__2[[Column1]:[Y]],3,FALSE)</f>
        <v>#N/A</v>
      </c>
      <c r="K1155" t="e">
        <f>VLOOKUP(F1155,[1]!china_towns_second__2[[Column1]:[Y]],2,FALSE)</f>
        <v>#N/A</v>
      </c>
      <c r="L1155" t="s">
        <v>4727</v>
      </c>
      <c r="M1155" t="str">
        <f>VLOOKUP(H1155,CHOOSE({1,2},Table12[Native],Table12[Name]),2,0)</f>
        <v>Lùzhōu Qū</v>
      </c>
      <c r="N1155" s="13" t="str">
        <f>VLOOKUP(I1155,CHOOSE({1,2},Table12[Native],Table12[Name]),2,0)</f>
        <v>Chángzhì Shì</v>
      </c>
      <c r="O1155" s="13" t="str">
        <f t="shared" si="36"/>
        <v>Xijie Jiedao (Changzhi Shi) (Chángzhì Shì)</v>
      </c>
      <c r="P1155" s="13" t="str">
        <f t="shared" si="37"/>
        <v>Xijie Jiedao (Changzhi Shi) (Chángzhì Shì)</v>
      </c>
    </row>
    <row r="1156" spans="1:16" hidden="1" x14ac:dyDescent="0.25">
      <c r="A1156" t="s">
        <v>275</v>
      </c>
      <c r="B1156" t="str">
        <f>IF(COUNTIF(A:A,A1156)&gt;1,_xlfn.CONCAT(A1156," (",N1156,")"),A1156)</f>
        <v>Xījiē Jiēdào (Dàtóng Shì)</v>
      </c>
      <c r="C1156" t="str">
        <f>IF(COUNTIF(B:B,B1156)&gt;1,_xlfn.CONCAT(A1156," (",M1156,")"),B1156)</f>
        <v>Xījiē Jiēdào (Dàtóng Shì)</v>
      </c>
      <c r="D1156" t="s">
        <v>276</v>
      </c>
      <c r="E1156" t="s">
        <v>31</v>
      </c>
      <c r="F1156" t="str">
        <f>_xlfn.CONCAT(D1156,", ",H1156,", ",I1156,", ","山西省")</f>
        <v>西街街道, 平城区, 大同市, 山西省</v>
      </c>
      <c r="G1156">
        <v>27083</v>
      </c>
      <c r="H1156" t="s">
        <v>2898</v>
      </c>
      <c r="I1156" t="s">
        <v>2894</v>
      </c>
      <c r="J1156" t="e">
        <f>VLOOKUP(F1156,[1]!china_towns_second__2[[Column1]:[Y]],3,FALSE)</f>
        <v>#N/A</v>
      </c>
      <c r="K1156" t="e">
        <f>VLOOKUP(F1156,[1]!china_towns_second__2[[Column1]:[Y]],2,FALSE)</f>
        <v>#N/A</v>
      </c>
      <c r="L1156" t="s">
        <v>4728</v>
      </c>
      <c r="M1156" t="str">
        <f>VLOOKUP(H1156,CHOOSE({1,2},Table12[Native],Table12[Name]),2,0)</f>
        <v>Píngchéng Qū</v>
      </c>
      <c r="N1156" s="13" t="str">
        <f>VLOOKUP(I1156,CHOOSE({1,2},Table12[Native],Table12[Name]),2,0)</f>
        <v>Dàtóng Shì</v>
      </c>
      <c r="O1156" s="13" t="str">
        <f t="shared" si="36"/>
        <v>Xijie Jiedao (Datong Shi) (Dàtóng Shì)</v>
      </c>
      <c r="P1156" s="13" t="str">
        <f t="shared" si="37"/>
        <v>Xijie Jiedao (Datong Shi) (Dàtóng Shì)</v>
      </c>
    </row>
    <row r="1157" spans="1:16" hidden="1" x14ac:dyDescent="0.25">
      <c r="A1157" t="s">
        <v>275</v>
      </c>
      <c r="B1157" t="str">
        <f>IF(COUNTIF(A:A,A1157)&gt;1,_xlfn.CONCAT(A1157," (",N1157,")"),A1157)</f>
        <v>Xījiē Jiēdào (Jìnchéng Shì)</v>
      </c>
      <c r="C1157" t="str">
        <f>IF(COUNTIF(B:B,B1157)&gt;1,_xlfn.CONCAT(A1157," (",M1157,")"),B1157)</f>
        <v>Xījiē Jiēdào (Jìnchéng Shì)</v>
      </c>
      <c r="D1157" t="s">
        <v>276</v>
      </c>
      <c r="E1157" t="s">
        <v>31</v>
      </c>
      <c r="F1157" t="str">
        <f>_xlfn.CONCAT(D1157,", ",H1157,", ",I1157,", ","山西省")</f>
        <v>西街街道, 城区, 晋城市, 山西省</v>
      </c>
      <c r="G1157">
        <v>57791</v>
      </c>
      <c r="H1157" t="s">
        <v>814</v>
      </c>
      <c r="I1157" t="s">
        <v>2906</v>
      </c>
      <c r="J1157">
        <f>VLOOKUP(F1157,[1]!china_towns_second__2[[Column1]:[Y]],3,FALSE)</f>
        <v>35.504143347763701</v>
      </c>
      <c r="K1157">
        <f>VLOOKUP(F1157,[1]!china_towns_second__2[[Column1]:[Y]],2,FALSE)</f>
        <v>112.8248131</v>
      </c>
      <c r="L1157" t="s">
        <v>4729</v>
      </c>
      <c r="M1157" t="str">
        <f>VLOOKUP(H1157,CHOOSE({1,2},Table12[Native],Table12[Name]),2,0)</f>
        <v>Chéng Qū</v>
      </c>
      <c r="N1157" s="13" t="str">
        <f>VLOOKUP(I1157,CHOOSE({1,2},Table12[Native],Table12[Name]),2,0)</f>
        <v>Jìnchéng Shì</v>
      </c>
      <c r="O1157" s="13" t="str">
        <f t="shared" si="36"/>
        <v>Xijie Jiedao (Jincheng Shi) (Jìnchéng Shì)</v>
      </c>
      <c r="P1157" s="13" t="str">
        <f t="shared" si="37"/>
        <v>Xijie Jiedao (Jincheng Shi) (Jìnchéng Shì)</v>
      </c>
    </row>
    <row r="1158" spans="1:16" hidden="1" x14ac:dyDescent="0.25">
      <c r="A1158" t="s">
        <v>277</v>
      </c>
      <c r="B1158" t="str">
        <f>IF(COUNTIF(A:A,A1158)&gt;1,_xlfn.CONCAT(A1158," (",N1158,")"),A1158)</f>
        <v>Xījĭng Zhèn</v>
      </c>
      <c r="C1158" t="str">
        <f>IF(COUNTIF(B:B,B1158)&gt;1,_xlfn.CONCAT(A1158," (",M1158,")"),B1158)</f>
        <v>Xījĭng Zhèn</v>
      </c>
      <c r="D1158" t="s">
        <v>278</v>
      </c>
      <c r="E1158" t="s">
        <v>7</v>
      </c>
      <c r="F1158" t="str">
        <f>_xlfn.CONCAT(D1158,", ",H1158,", ",I1158,", ","山西省")</f>
        <v>西井镇, 黎城县, 长治市, 山西省</v>
      </c>
      <c r="G1158">
        <v>25791</v>
      </c>
      <c r="H1158" t="s">
        <v>2882</v>
      </c>
      <c r="I1158" t="s">
        <v>2878</v>
      </c>
      <c r="J1158">
        <f>VLOOKUP(F1158,[1]!china_towns_second__2[[Column1]:[Y]],3,FALSE)</f>
        <v>36.708440535082801</v>
      </c>
      <c r="K1158">
        <f>VLOOKUP(F1158,[1]!china_towns_second__2[[Column1]:[Y]],2,FALSE)</f>
        <v>113.3905293</v>
      </c>
      <c r="L1158" t="s">
        <v>4730</v>
      </c>
      <c r="M1158" t="str">
        <f>VLOOKUP(H1158,CHOOSE({1,2},Table12[Native],Table12[Name]),2,0)</f>
        <v>Líchéng Xiàn</v>
      </c>
      <c r="N1158" s="13" t="str">
        <f>VLOOKUP(I1158,CHOOSE({1,2},Table12[Native],Table12[Name]),2,0)</f>
        <v>Chángzhì Shì</v>
      </c>
      <c r="O1158" s="13" t="str">
        <f t="shared" si="36"/>
        <v>Xijing Zhen (Chángzhì Shì)</v>
      </c>
      <c r="P1158" s="13" t="str">
        <f t="shared" si="37"/>
        <v>Xijing Zhen (Chángzhì Shì)</v>
      </c>
    </row>
    <row r="1159" spans="1:16" hidden="1" x14ac:dyDescent="0.25">
      <c r="A1159" t="s">
        <v>2058</v>
      </c>
      <c r="B1159" t="str">
        <f>IF(COUNTIF(A:A,A1159)&gt;1,_xlfn.CONCAT(A1159," (",N1159,")"),A1159)</f>
        <v>Xīlíngjĭng Xiāng</v>
      </c>
      <c r="C1159" t="str">
        <f>IF(COUNTIF(B:B,B1159)&gt;1,_xlfn.CONCAT(A1159," (",M1159,")"),B1159)</f>
        <v>Xīlíngjĭng Xiāng</v>
      </c>
      <c r="D1159" t="s">
        <v>2059</v>
      </c>
      <c r="E1159" t="s">
        <v>17</v>
      </c>
      <c r="F1159" t="str">
        <f>_xlfn.CONCAT(D1159,", ",H1159,", ",I1159,", ","山西省")</f>
        <v>西凌井乡, 阳曲县, 太原市, 山西省</v>
      </c>
      <c r="G1159">
        <v>894</v>
      </c>
      <c r="H1159" t="s">
        <v>2978</v>
      </c>
      <c r="I1159" t="s">
        <v>2969</v>
      </c>
      <c r="J1159" t="e">
        <f>VLOOKUP(F1159,[1]!china_towns_second__2[[Column1]:[Y]],3,FALSE)</f>
        <v>#N/A</v>
      </c>
      <c r="K1159" t="e">
        <f>VLOOKUP(F1159,[1]!china_towns_second__2[[Column1]:[Y]],2,FALSE)</f>
        <v>#N/A</v>
      </c>
      <c r="L1159" t="s">
        <v>4731</v>
      </c>
      <c r="M1159" t="str">
        <f>VLOOKUP(H1159,CHOOSE({1,2},Table12[Native],Table12[Name]),2,0)</f>
        <v>Yángqŭ Xiàn</v>
      </c>
      <c r="N1159" s="13" t="str">
        <f>VLOOKUP(I1159,CHOOSE({1,2},Table12[Native],Table12[Name]),2,0)</f>
        <v>Tàiyuán Shì</v>
      </c>
      <c r="O1159" s="13" t="str">
        <f t="shared" si="36"/>
        <v>Xilingjing Xiang (Tàiyuán Shì)</v>
      </c>
      <c r="P1159" s="13" t="str">
        <f t="shared" si="37"/>
        <v>Xilingjing Xiang (Tàiyuán Shì)</v>
      </c>
    </row>
    <row r="1160" spans="1:16" hidden="1" x14ac:dyDescent="0.25">
      <c r="A1160" t="s">
        <v>549</v>
      </c>
      <c r="B1160" t="str">
        <f>IF(COUNTIF(A:A,A1160)&gt;1,_xlfn.CONCAT(A1160," (",N1160,")"),A1160)</f>
        <v>Xīliúcūn Xiāng</v>
      </c>
      <c r="C1160" t="str">
        <f>IF(COUNTIF(B:B,B1160)&gt;1,_xlfn.CONCAT(A1160," (",M1160,")"),B1160)</f>
        <v>Xīliúcūn Xiāng</v>
      </c>
      <c r="D1160" t="s">
        <v>550</v>
      </c>
      <c r="E1160" t="s">
        <v>17</v>
      </c>
      <c r="F1160" t="str">
        <f>_xlfn.CONCAT(D1160,", ",H1160,", ",I1160,", ","山西省")</f>
        <v>西留村乡, 浑源县, 大同市, 山西省</v>
      </c>
      <c r="G1160">
        <v>11481</v>
      </c>
      <c r="H1160" t="s">
        <v>2896</v>
      </c>
      <c r="I1160" t="s">
        <v>2894</v>
      </c>
      <c r="J1160" t="e">
        <f>VLOOKUP(F1160,[1]!china_towns_second__2[[Column1]:[Y]],3,FALSE)</f>
        <v>#N/A</v>
      </c>
      <c r="K1160" t="e">
        <f>VLOOKUP(F1160,[1]!china_towns_second__2[[Column1]:[Y]],2,FALSE)</f>
        <v>#N/A</v>
      </c>
      <c r="L1160" t="s">
        <v>4732</v>
      </c>
      <c r="M1160" t="str">
        <f>VLOOKUP(H1160,CHOOSE({1,2},Table12[Native],Table12[Name]),2,0)</f>
        <v>Húnyuán Xiàn</v>
      </c>
      <c r="N1160" s="13" t="str">
        <f>VLOOKUP(I1160,CHOOSE({1,2},Table12[Native],Table12[Name]),2,0)</f>
        <v>Dàtóng Shì</v>
      </c>
      <c r="O1160" s="13" t="str">
        <f t="shared" si="36"/>
        <v>Xiliucun Xiang (Dàtóng Shì)</v>
      </c>
      <c r="P1160" s="13" t="str">
        <f t="shared" si="37"/>
        <v>Xiliucun Xiang (Dàtóng Shì)</v>
      </c>
    </row>
    <row r="1161" spans="1:16" hidden="1" x14ac:dyDescent="0.25">
      <c r="A1161" t="s">
        <v>279</v>
      </c>
      <c r="B1161" t="str">
        <f>IF(COUNTIF(A:A,A1161)&gt;1,_xlfn.CONCAT(A1161," (",N1161,")"),A1161)</f>
        <v>Xīliúzhài Kāifāqū</v>
      </c>
      <c r="C1161" t="str">
        <f>IF(COUNTIF(B:B,B1161)&gt;1,_xlfn.CONCAT(A1161," (",M1161,")"),B1161)</f>
        <v>Xīliúzhài Kāifāqū</v>
      </c>
      <c r="D1161" t="s">
        <v>280</v>
      </c>
      <c r="E1161" t="s">
        <v>35</v>
      </c>
      <c r="F1161" t="str">
        <f>_xlfn.CONCAT(D1161,", ",H1161,", ",I1161,", ","山西省")</f>
        <v>西流寨开发区, 屯留区, 长治市, 山西省</v>
      </c>
      <c r="G1161">
        <v>4358</v>
      </c>
      <c r="H1161" t="s">
        <v>2890</v>
      </c>
      <c r="I1161" t="s">
        <v>2878</v>
      </c>
      <c r="J1161">
        <f>VLOOKUP(F1161,[1]!china_towns_second__2[[Column1]:[Y]],3,FALSE)</f>
        <v>36.232259527016602</v>
      </c>
      <c r="K1161">
        <f>VLOOKUP(F1161,[1]!china_towns_second__2[[Column1]:[Y]],2,FALSE)</f>
        <v>112.6301023</v>
      </c>
      <c r="L1161" t="s">
        <v>4733</v>
      </c>
      <c r="M1161" t="str">
        <f>VLOOKUP(H1161,CHOOSE({1,2},Table12[Native],Table12[Name]),2,0)</f>
        <v>Túnliú Qū</v>
      </c>
      <c r="N1161" s="13" t="str">
        <f>VLOOKUP(I1161,CHOOSE({1,2},Table12[Native],Table12[Name]),2,0)</f>
        <v>Chángzhì Shì</v>
      </c>
      <c r="O1161" s="13" t="str">
        <f t="shared" si="36"/>
        <v>Xiliuzhai Kaifaqu (Chángzhì Shì)</v>
      </c>
      <c r="P1161" s="13" t="str">
        <f t="shared" si="37"/>
        <v>Xiliuzhai Kaifaqu (Chángzhì Shì)</v>
      </c>
    </row>
    <row r="1162" spans="1:16" hidden="1" x14ac:dyDescent="0.25">
      <c r="A1162" t="s">
        <v>1004</v>
      </c>
      <c r="B1162" t="str">
        <f>IF(COUNTIF(A:A,A1162)&gt;1,_xlfn.CONCAT(A1162," (",N1162,")"),A1162)</f>
        <v>Xīliùzhī Xiāng</v>
      </c>
      <c r="C1162" t="str">
        <f>IF(COUNTIF(B:B,B1162)&gt;1,_xlfn.CONCAT(A1162," (",M1162,")"),B1162)</f>
        <v>Xīliùzhī Xiāng</v>
      </c>
      <c r="D1162" t="s">
        <v>1005</v>
      </c>
      <c r="E1162" t="s">
        <v>17</v>
      </c>
      <c r="F1162" t="str">
        <f>_xlfn.CONCAT(D1162,", ",H1162,", ",I1162,", ","山西省")</f>
        <v>西六支乡, 祁县, 晋中市, 山西省</v>
      </c>
      <c r="G1162">
        <v>20527</v>
      </c>
      <c r="H1162" t="s">
        <v>2919</v>
      </c>
      <c r="I1162" t="s">
        <v>2914</v>
      </c>
      <c r="J1162" t="e">
        <f>VLOOKUP(F1162,[1]!china_towns_second__2[[Column1]:[Y]],3,FALSE)</f>
        <v>#N/A</v>
      </c>
      <c r="K1162" t="e">
        <f>VLOOKUP(F1162,[1]!china_towns_second__2[[Column1]:[Y]],2,FALSE)</f>
        <v>#N/A</v>
      </c>
      <c r="L1162" t="s">
        <v>4734</v>
      </c>
      <c r="M1162" t="str">
        <f>VLOOKUP(H1162,CHOOSE({1,2},Table12[Native],Table12[Name]),2,0)</f>
        <v>Qí Xiàn</v>
      </c>
      <c r="N1162" s="13" t="str">
        <f>VLOOKUP(I1162,CHOOSE({1,2},Table12[Native],Table12[Name]),2,0)</f>
        <v>Jìnzhōng Shì</v>
      </c>
      <c r="O1162" s="13" t="str">
        <f t="shared" si="36"/>
        <v>Xiliuzhi Xiang (Jìnzhōng Shì)</v>
      </c>
      <c r="P1162" s="13" t="str">
        <f t="shared" si="37"/>
        <v>Xiliuzhi Xiang (Jìnzhōng Shì)</v>
      </c>
    </row>
    <row r="1163" spans="1:16" hidden="1" x14ac:dyDescent="0.25">
      <c r="A1163" t="s">
        <v>1006</v>
      </c>
      <c r="B1163" t="str">
        <f>IF(COUNTIF(A:A,A1163)&gt;1,_xlfn.CONCAT(A1163," (",N1163,")"),A1163)</f>
        <v>Xīluò Zhèn</v>
      </c>
      <c r="C1163" t="str">
        <f>IF(COUNTIF(B:B,B1163)&gt;1,_xlfn.CONCAT(A1163," (",M1163,")"),B1163)</f>
        <v>Xīluò Zhèn</v>
      </c>
      <c r="D1163" t="s">
        <v>1007</v>
      </c>
      <c r="E1163" t="s">
        <v>7</v>
      </c>
      <c r="F1163" t="str">
        <f>_xlfn.CONCAT(D1163,", ",H1163,", ",I1163,", ","山西省")</f>
        <v>西洛镇, 寿阳县, 晋中市, 山西省</v>
      </c>
      <c r="G1163">
        <v>7513</v>
      </c>
      <c r="H1163" t="s">
        <v>2920</v>
      </c>
      <c r="I1163" t="s">
        <v>2914</v>
      </c>
      <c r="J1163">
        <f>VLOOKUP(F1163,[1]!china_towns_second__2[[Column1]:[Y]],3,FALSE)</f>
        <v>37.707964415310002</v>
      </c>
      <c r="K1163">
        <f>VLOOKUP(F1163,[1]!china_towns_second__2[[Column1]:[Y]],2,FALSE)</f>
        <v>112.9942836</v>
      </c>
      <c r="L1163" t="s">
        <v>4735</v>
      </c>
      <c r="M1163" t="str">
        <f>VLOOKUP(H1163,CHOOSE({1,2},Table12[Native],Table12[Name]),2,0)</f>
        <v>Shòuyáng Xiàn</v>
      </c>
      <c r="N1163" s="13" t="str">
        <f>VLOOKUP(I1163,CHOOSE({1,2},Table12[Native],Table12[Name]),2,0)</f>
        <v>Jìnzhōng Shì</v>
      </c>
      <c r="O1163" s="13" t="str">
        <f t="shared" si="36"/>
        <v>Xiluo Zhen (Jìnzhōng Shì)</v>
      </c>
      <c r="P1163" s="13" t="str">
        <f t="shared" si="37"/>
        <v>Xiluo Zhen (Jìnzhōng Shì)</v>
      </c>
    </row>
    <row r="1164" spans="1:16" hidden="1" x14ac:dyDescent="0.25">
      <c r="A1164" t="s">
        <v>1008</v>
      </c>
      <c r="B1164" t="str">
        <f>IF(COUNTIF(A:A,A1164)&gt;1,_xlfn.CONCAT(A1164," (",N1164,")"),A1164)</f>
        <v>Xīmă Xiāng</v>
      </c>
      <c r="C1164" t="str">
        <f>IF(COUNTIF(B:B,B1164)&gt;1,_xlfn.CONCAT(A1164," (",M1164,")"),B1164)</f>
        <v>Xīmă Xiāng</v>
      </c>
      <c r="D1164" t="s">
        <v>1009</v>
      </c>
      <c r="E1164" t="s">
        <v>17</v>
      </c>
      <c r="F1164" t="str">
        <f>_xlfn.CONCAT(D1164,", ",H1164,", ",I1164,", ","山西省")</f>
        <v>西马乡, 榆社县, 晋中市, 山西省</v>
      </c>
      <c r="G1164">
        <v>10191</v>
      </c>
      <c r="H1164" t="s">
        <v>2924</v>
      </c>
      <c r="I1164" t="s">
        <v>2914</v>
      </c>
      <c r="J1164" t="e">
        <f>VLOOKUP(F1164,[1]!china_towns_second__2[[Column1]:[Y]],3,FALSE)</f>
        <v>#N/A</v>
      </c>
      <c r="K1164" t="e">
        <f>VLOOKUP(F1164,[1]!china_towns_second__2[[Column1]:[Y]],2,FALSE)</f>
        <v>#N/A</v>
      </c>
      <c r="L1164" t="s">
        <v>4736</v>
      </c>
      <c r="M1164" t="str">
        <f>VLOOKUP(H1164,CHOOSE({1,2},Table12[Native],Table12[Name]),2,0)</f>
        <v>Yúshè Xiàn</v>
      </c>
      <c r="N1164" s="13" t="str">
        <f>VLOOKUP(I1164,CHOOSE({1,2},Table12[Native],Table12[Name]),2,0)</f>
        <v>Jìnzhōng Shì</v>
      </c>
      <c r="O1164" s="13" t="str">
        <f t="shared" si="36"/>
        <v>Xima Xiang (Jìnzhōng Shì)</v>
      </c>
      <c r="P1164" s="13" t="str">
        <f t="shared" si="37"/>
        <v>Xima Xiang (Jìnzhōng Shì)</v>
      </c>
    </row>
    <row r="1165" spans="1:16" hidden="1" x14ac:dyDescent="0.25">
      <c r="A1165" t="s">
        <v>2398</v>
      </c>
      <c r="B1165" t="str">
        <f>IF(COUNTIF(A:A,A1165)&gt;1,_xlfn.CONCAT(A1165," (",N1165,")"),A1165)</f>
        <v>Xīmăfāng Xiāng</v>
      </c>
      <c r="C1165" t="str">
        <f>IF(COUNTIF(B:B,B1165)&gt;1,_xlfn.CONCAT(A1165," (",M1165,")"),B1165)</f>
        <v>Xīmăfāng Xiāng</v>
      </c>
      <c r="D1165" t="s">
        <v>2399</v>
      </c>
      <c r="E1165" t="s">
        <v>17</v>
      </c>
      <c r="F1165" t="str">
        <f>_xlfn.CONCAT(D1165,", ",H1165,", ",I1165,", ","山西省")</f>
        <v>西马坊乡, 宁武县, 忻州市, 山西省</v>
      </c>
      <c r="G1165">
        <v>8346</v>
      </c>
      <c r="H1165" t="s">
        <v>2989</v>
      </c>
      <c r="I1165" t="s">
        <v>2981</v>
      </c>
      <c r="J1165" t="e">
        <f>VLOOKUP(F1165,[1]!china_towns_second__2[[Column1]:[Y]],3,FALSE)</f>
        <v>#N/A</v>
      </c>
      <c r="K1165" t="e">
        <f>VLOOKUP(F1165,[1]!china_towns_second__2[[Column1]:[Y]],2,FALSE)</f>
        <v>#N/A</v>
      </c>
      <c r="L1165" t="s">
        <v>4737</v>
      </c>
      <c r="M1165" t="str">
        <f>VLOOKUP(H1165,CHOOSE({1,2},Table12[Native],Table12[Name]),2,0)</f>
        <v>Níngwŭ Xiàn</v>
      </c>
      <c r="N1165" s="13" t="str">
        <f>VLOOKUP(I1165,CHOOSE({1,2},Table12[Native],Table12[Name]),2,0)</f>
        <v>Xīnzhōu Shì</v>
      </c>
      <c r="O1165" s="13" t="str">
        <f t="shared" si="36"/>
        <v>Ximafang Xiang (Xīnzhōu Shì)</v>
      </c>
      <c r="P1165" s="13" t="str">
        <f t="shared" si="37"/>
        <v>Ximafang Xiang (Xīnzhōu Shì)</v>
      </c>
    </row>
    <row r="1166" spans="1:16" hidden="1" x14ac:dyDescent="0.25">
      <c r="A1166" t="s">
        <v>2060</v>
      </c>
      <c r="B1166" t="str">
        <f>IF(COUNTIF(A:A,A1166)&gt;1,_xlfn.CONCAT(A1166," (",N1166,")"),A1166)</f>
        <v>Xīmíng Jiēdào</v>
      </c>
      <c r="C1166" t="str">
        <f>IF(COUNTIF(B:B,B1166)&gt;1,_xlfn.CONCAT(A1166," (",M1166,")"),B1166)</f>
        <v>Xīmíng Jiēdào</v>
      </c>
      <c r="D1166" t="s">
        <v>2061</v>
      </c>
      <c r="E1166" t="s">
        <v>31</v>
      </c>
      <c r="F1166" t="str">
        <f>_xlfn.CONCAT(D1166,", ",H1166,", ",I1166,", ","山西省")</f>
        <v>西铭街道, 万柏林区, 太原市, 山西省</v>
      </c>
      <c r="G1166">
        <v>19628</v>
      </c>
      <c r="H1166" t="s">
        <v>2975</v>
      </c>
      <c r="I1166" t="s">
        <v>2969</v>
      </c>
      <c r="J1166">
        <f>VLOOKUP(F1166,[1]!china_towns_second__2[[Column1]:[Y]],3,FALSE)</f>
        <v>37.850876870592202</v>
      </c>
      <c r="K1166">
        <f>VLOOKUP(F1166,[1]!china_towns_second__2[[Column1]:[Y]],2,FALSE)</f>
        <v>112.39117880000001</v>
      </c>
      <c r="L1166" t="s">
        <v>4738</v>
      </c>
      <c r="M1166" t="str">
        <f>VLOOKUP(H1166,CHOOSE({1,2},Table12[Native],Table12[Name]),2,0)</f>
        <v>Wànbǎilín Qū</v>
      </c>
      <c r="N1166" s="13" t="str">
        <f>VLOOKUP(I1166,CHOOSE({1,2},Table12[Native],Table12[Name]),2,0)</f>
        <v>Tàiyuán Shì</v>
      </c>
      <c r="O1166" s="13" t="str">
        <f t="shared" si="36"/>
        <v>Ximing Jiedao (Tàiyuán Shì)</v>
      </c>
      <c r="P1166" s="13" t="str">
        <f t="shared" si="37"/>
        <v>Ximing Jiedao (Tàiyuán Shì)</v>
      </c>
    </row>
    <row r="1167" spans="1:16" hidden="1" x14ac:dyDescent="0.25">
      <c r="A1167" t="s">
        <v>2824</v>
      </c>
      <c r="B1167" t="str">
        <f>IF(COUNTIF(A:A,A1167)&gt;1,_xlfn.CONCAT(A1167," (",N1167,")"),A1167)</f>
        <v>Xīmò Zhèn</v>
      </c>
      <c r="C1167" t="str">
        <f>IF(COUNTIF(B:B,B1167)&gt;1,_xlfn.CONCAT(A1167," (",M1167,")"),B1167)</f>
        <v>Xīmò Zhèn</v>
      </c>
      <c r="D1167" t="s">
        <v>2825</v>
      </c>
      <c r="E1167" t="s">
        <v>7</v>
      </c>
      <c r="F1167" t="str">
        <f>_xlfn.CONCAT(D1167,", ",H1167,", ",I1167,", ","山西省")</f>
        <v>西陌镇, 芮城县, 运城市, 山西省</v>
      </c>
      <c r="G1167">
        <v>21656</v>
      </c>
      <c r="H1167" t="s">
        <v>3009</v>
      </c>
      <c r="I1167" t="s">
        <v>3003</v>
      </c>
      <c r="J1167">
        <f>VLOOKUP(F1167,[1]!china_towns_second__2[[Column1]:[Y]],3,FALSE)</f>
        <v>34.777069549887699</v>
      </c>
      <c r="K1167">
        <f>VLOOKUP(F1167,[1]!china_towns_second__2[[Column1]:[Y]],2,FALSE)</f>
        <v>110.78053730000001</v>
      </c>
      <c r="L1167" t="s">
        <v>4739</v>
      </c>
      <c r="M1167" t="str">
        <f>VLOOKUP(H1167,CHOOSE({1,2},Table12[Native],Table12[Name]),2,0)</f>
        <v>Ruìchéng Xiàn</v>
      </c>
      <c r="N1167" s="13" t="str">
        <f>VLOOKUP(I1167,CHOOSE({1,2},Table12[Native],Table12[Name]),2,0)</f>
        <v>Yùnchéng Shì</v>
      </c>
      <c r="O1167" s="13" t="str">
        <f t="shared" si="36"/>
        <v>Ximo Zhen (Yùnchéng Shì)</v>
      </c>
      <c r="P1167" s="13" t="str">
        <f t="shared" si="37"/>
        <v>Ximo Zhen (Yùnchéng Shì)</v>
      </c>
    </row>
    <row r="1168" spans="1:16" hidden="1" x14ac:dyDescent="0.25">
      <c r="A1168" t="s">
        <v>1010</v>
      </c>
      <c r="B1168" t="str">
        <f>IF(COUNTIF(A:A,A1168)&gt;1,_xlfn.CONCAT(A1168," (",N1168,")"),A1168)</f>
        <v>Xīnán Jiēdào (Jìnzhōng Shì)</v>
      </c>
      <c r="C1168" t="str">
        <f>IF(COUNTIF(B:B,B1168)&gt;1,_xlfn.CONCAT(A1168," (",M1168,")"),B1168)</f>
        <v>Xīnán Jiēdào (Yúcì Qū)</v>
      </c>
      <c r="D1168" t="s">
        <v>1011</v>
      </c>
      <c r="E1168" t="s">
        <v>31</v>
      </c>
      <c r="F1168" t="str">
        <f>_xlfn.CONCAT(D1168,", ",H1168,", ",I1168,", ","山西省")</f>
        <v>西南街道, 榆次区, 晋中市, 山西省</v>
      </c>
      <c r="G1168">
        <v>23173</v>
      </c>
      <c r="H1168" t="s">
        <v>2923</v>
      </c>
      <c r="I1168" t="s">
        <v>2914</v>
      </c>
      <c r="J1168">
        <f>VLOOKUP(F1168,[1]!china_towns_second__2[[Column1]:[Y]],3,FALSE)</f>
        <v>37.675890406898802</v>
      </c>
      <c r="K1168">
        <f>VLOOKUP(F1168,[1]!china_towns_second__2[[Column1]:[Y]],2,FALSE)</f>
        <v>112.7424326</v>
      </c>
      <c r="L1168" t="s">
        <v>4740</v>
      </c>
      <c r="M1168" t="str">
        <f>VLOOKUP(H1168,CHOOSE({1,2},Table12[Native],Table12[Name]),2,0)</f>
        <v>Yúcì Qū</v>
      </c>
      <c r="N1168" s="13" t="str">
        <f>VLOOKUP(I1168,CHOOSE({1,2},Table12[Native],Table12[Name]),2,0)</f>
        <v>Jìnzhōng Shì</v>
      </c>
      <c r="O1168" s="13" t="str">
        <f t="shared" si="36"/>
        <v>Xinan Jiedao (Yuci Qu) (Jìnzhōng Shì)</v>
      </c>
      <c r="P1168" s="13" t="str">
        <f t="shared" si="37"/>
        <v>Xinan Jiedao (Yuci Qu) (Jìnzhōng Shì)</v>
      </c>
    </row>
    <row r="1169" spans="1:16" hidden="1" x14ac:dyDescent="0.25">
      <c r="A1169" t="s">
        <v>1010</v>
      </c>
      <c r="B1169" t="str">
        <f>IF(COUNTIF(A:A,A1169)&gt;1,_xlfn.CONCAT(A1169," (",N1169,")"),A1169)</f>
        <v>Xīnán Jiēdào (Jìnzhōng Shì)</v>
      </c>
      <c r="C1169" t="str">
        <f>IF(COUNTIF(B:B,B1169)&gt;1,_xlfn.CONCAT(A1169," (",M1169,")"),B1169)</f>
        <v>Xīnán Jiēdào (Jièxiū Shì)</v>
      </c>
      <c r="D1169" t="s">
        <v>1011</v>
      </c>
      <c r="E1169" t="s">
        <v>31</v>
      </c>
      <c r="F1169" t="str">
        <f>_xlfn.CONCAT(D1169,", ",H1169,", ",I1169,", ","山西省")</f>
        <v>西南街道, 介休市, 晋中市, 山西省</v>
      </c>
      <c r="G1169">
        <v>29579</v>
      </c>
      <c r="H1169" t="s">
        <v>2916</v>
      </c>
      <c r="I1169" t="s">
        <v>2914</v>
      </c>
      <c r="J1169">
        <f>VLOOKUP(F1169,[1]!china_towns_second__2[[Column1]:[Y]],3,FALSE)</f>
        <v>37.016951849979002</v>
      </c>
      <c r="K1169">
        <f>VLOOKUP(F1169,[1]!china_towns_second__2[[Column1]:[Y]],2,FALSE)</f>
        <v>111.9004776</v>
      </c>
      <c r="L1169" t="s">
        <v>4741</v>
      </c>
      <c r="M1169" t="str">
        <f>VLOOKUP(H1169,CHOOSE({1,2},Table12[Native],Table12[Name]),2,0)</f>
        <v>Jièxiū Shì</v>
      </c>
      <c r="N1169" s="13" t="str">
        <f>VLOOKUP(I1169,CHOOSE({1,2},Table12[Native],Table12[Name]),2,0)</f>
        <v>Jìnzhōng Shì</v>
      </c>
      <c r="O1169" s="13" t="str">
        <f t="shared" si="36"/>
        <v>Xinan Jiedao (Jiexiu Shi) (Jìnzhōng Shì)</v>
      </c>
      <c r="P1169" s="13" t="str">
        <f t="shared" si="37"/>
        <v>Xinan Jiedao (Jiexiu Shi) (Jìnzhōng Shì)</v>
      </c>
    </row>
    <row r="1170" spans="1:16" hidden="1" x14ac:dyDescent="0.25">
      <c r="A1170" t="s">
        <v>281</v>
      </c>
      <c r="B1170" t="str">
        <f>IF(COUNTIF(A:A,A1170)&gt;1,_xlfn.CONCAT(A1170," (",N1170,")"),A1170)</f>
        <v>Xīn'ānquán Zhèn</v>
      </c>
      <c r="C1170" t="str">
        <f>IF(COUNTIF(B:B,B1170)&gt;1,_xlfn.CONCAT(A1170," (",M1170,")"),B1170)</f>
        <v>Xīn'ānquán Zhèn</v>
      </c>
      <c r="D1170" t="s">
        <v>282</v>
      </c>
      <c r="E1170" t="s">
        <v>7</v>
      </c>
      <c r="F1170" t="str">
        <f>_xlfn.CONCAT(D1170,", ",H1170,", ",I1170,", ","山西省")</f>
        <v>辛安泉镇, 潞城区, 长治市, 山西省</v>
      </c>
      <c r="G1170">
        <v>12444</v>
      </c>
      <c r="H1170" t="s">
        <v>2884</v>
      </c>
      <c r="I1170" t="s">
        <v>2878</v>
      </c>
      <c r="J1170">
        <f>VLOOKUP(F1170,[1]!china_towns_second__2[[Column1]:[Y]],3,FALSE)</f>
        <v>36.432067529537001</v>
      </c>
      <c r="K1170">
        <f>VLOOKUP(F1170,[1]!china_towns_second__2[[Column1]:[Y]],2,FALSE)</f>
        <v>113.30720410000001</v>
      </c>
      <c r="L1170" t="s">
        <v>4742</v>
      </c>
      <c r="M1170" t="str">
        <f>VLOOKUP(H1170,CHOOSE({1,2},Table12[Native],Table12[Name]),2,0)</f>
        <v>Lùchéng Qū</v>
      </c>
      <c r="N1170" s="13" t="str">
        <f>VLOOKUP(I1170,CHOOSE({1,2},Table12[Native],Table12[Name]),2,0)</f>
        <v>Chángzhì Shì</v>
      </c>
      <c r="O1170" s="13" t="str">
        <f t="shared" si="36"/>
        <v>Xin'anquan Zhen (Chángzhì Shì)</v>
      </c>
      <c r="P1170" s="13" t="str">
        <f t="shared" si="37"/>
        <v>Xin'anquan Zhen (Chángzhì Shì)</v>
      </c>
    </row>
    <row r="1171" spans="1:16" hidden="1" x14ac:dyDescent="0.25">
      <c r="A1171" t="s">
        <v>2560</v>
      </c>
      <c r="B1171" t="str">
        <f>IF(COUNTIF(A:A,A1171)&gt;1,_xlfn.CONCAT(A1171," (",N1171,")"),A1171)</f>
        <v>Xīnányú Xiāng</v>
      </c>
      <c r="C1171" t="str">
        <f>IF(COUNTIF(B:B,B1171)&gt;1,_xlfn.CONCAT(A1171," (",M1171,")"),B1171)</f>
        <v>Xīnányú Xiāng</v>
      </c>
      <c r="D1171" t="s">
        <v>2561</v>
      </c>
      <c r="E1171" t="s">
        <v>17</v>
      </c>
      <c r="F1171" t="str">
        <f>_xlfn.CONCAT(D1171,", ",H1171,", ",I1171,", ","山西省")</f>
        <v>西南舁乡, 郊区, 阳泉市, 山西省</v>
      </c>
      <c r="G1171">
        <v>12347</v>
      </c>
      <c r="H1171" t="s">
        <v>2998</v>
      </c>
      <c r="I1171" t="s">
        <v>2997</v>
      </c>
      <c r="J1171" t="e">
        <f>VLOOKUP(F1171,[1]!china_towns_second__2[[Column1]:[Y]],3,FALSE)</f>
        <v>#N/A</v>
      </c>
      <c r="K1171" t="e">
        <f>VLOOKUP(F1171,[1]!china_towns_second__2[[Column1]:[Y]],2,FALSE)</f>
        <v>#N/A</v>
      </c>
      <c r="L1171" t="s">
        <v>4743</v>
      </c>
      <c r="M1171" t="str">
        <f>VLOOKUP(H1171,CHOOSE({1,2},Table12[Native],Table12[Name]),2,0)</f>
        <v>Jiāo Qū</v>
      </c>
      <c r="N1171" s="13" t="str">
        <f>VLOOKUP(I1171,CHOOSE({1,2},Table12[Native],Table12[Name]),2,0)</f>
        <v>Yángquán Shì</v>
      </c>
      <c r="O1171" s="13" t="str">
        <f t="shared" si="36"/>
        <v>Xinanyu Xiang (Yángquán Shì)</v>
      </c>
      <c r="P1171" s="13" t="str">
        <f t="shared" si="37"/>
        <v>Xinanyu Xiang (Yángquán Shì)</v>
      </c>
    </row>
    <row r="1172" spans="1:16" hidden="1" x14ac:dyDescent="0.25">
      <c r="A1172" t="s">
        <v>2400</v>
      </c>
      <c r="B1172" t="str">
        <f>IF(COUNTIF(A:A,A1172)&gt;1,_xlfn.CONCAT(A1172," (",N1172,")"),A1172)</f>
        <v>Xīnbăo Xiāng</v>
      </c>
      <c r="C1172" t="str">
        <f>IF(COUNTIF(B:B,B1172)&gt;1,_xlfn.CONCAT(A1172," (",M1172,")"),B1172)</f>
        <v>Xīnbăo Xiāng</v>
      </c>
      <c r="D1172" t="s">
        <v>2401</v>
      </c>
      <c r="E1172" t="s">
        <v>17</v>
      </c>
      <c r="F1172" t="str">
        <f>_xlfn.CONCAT(D1172,", ",H1172,", ",I1172,", ","山西省")</f>
        <v>新堡乡, 宁武县, 忻州市, 山西省</v>
      </c>
      <c r="G1172">
        <v>6157</v>
      </c>
      <c r="H1172" t="s">
        <v>2989</v>
      </c>
      <c r="I1172" t="s">
        <v>2981</v>
      </c>
      <c r="J1172" t="e">
        <f>VLOOKUP(F1172,[1]!china_towns_second__2[[Column1]:[Y]],3,FALSE)</f>
        <v>#N/A</v>
      </c>
      <c r="K1172" t="e">
        <f>VLOOKUP(F1172,[1]!china_towns_second__2[[Column1]:[Y]],2,FALSE)</f>
        <v>#N/A</v>
      </c>
      <c r="L1172" t="s">
        <v>4744</v>
      </c>
      <c r="M1172" t="str">
        <f>VLOOKUP(H1172,CHOOSE({1,2},Table12[Native],Table12[Name]),2,0)</f>
        <v>Níngwŭ Xiàn</v>
      </c>
      <c r="N1172" s="13" t="str">
        <f>VLOOKUP(I1172,CHOOSE({1,2},Table12[Native],Table12[Name]),2,0)</f>
        <v>Xīnzhōu Shì</v>
      </c>
      <c r="O1172" s="13" t="str">
        <f t="shared" si="36"/>
        <v>Xinbao Xiang (Xīnzhōu Shì)</v>
      </c>
      <c r="P1172" s="13" t="str">
        <f t="shared" si="37"/>
        <v>Xinbao Xiang (Xīnzhōu Shì)</v>
      </c>
    </row>
    <row r="1173" spans="1:16" hidden="1" x14ac:dyDescent="0.25">
      <c r="A1173" t="s">
        <v>2062</v>
      </c>
      <c r="B1173" t="str">
        <f>IF(COUNTIF(A:A,A1173)&gt;1,_xlfn.CONCAT(A1173," (",N1173,")"),A1173)</f>
        <v>Xīnchéng Jiēdào</v>
      </c>
      <c r="C1173" t="str">
        <f>IF(COUNTIF(B:B,B1173)&gt;1,_xlfn.CONCAT(A1173," (",M1173,")"),B1173)</f>
        <v>Xīnchéng Jiēdào</v>
      </c>
      <c r="D1173" t="s">
        <v>2063</v>
      </c>
      <c r="E1173" t="s">
        <v>31</v>
      </c>
      <c r="F1173" t="str">
        <f>_xlfn.CONCAT(D1173,", ",H1173,", ",I1173,", ","山西省")</f>
        <v>新城街道, 尖草坪区, 太原市, 山西省</v>
      </c>
      <c r="G1173">
        <v>17942</v>
      </c>
      <c r="H1173" t="s">
        <v>2971</v>
      </c>
      <c r="I1173" t="s">
        <v>2969</v>
      </c>
      <c r="J1173">
        <f>VLOOKUP(F1173,[1]!china_towns_second__2[[Column1]:[Y]],3,FALSE)</f>
        <v>37.966434636736601</v>
      </c>
      <c r="K1173">
        <f>VLOOKUP(F1173,[1]!china_towns_second__2[[Column1]:[Y]],2,FALSE)</f>
        <v>112.5501771</v>
      </c>
      <c r="L1173" t="s">
        <v>4745</v>
      </c>
      <c r="M1173" t="str">
        <f>VLOOKUP(H1173,CHOOSE({1,2},Table12[Native],Table12[Name]),2,0)</f>
        <v>Jiāncăopíng Qū</v>
      </c>
      <c r="N1173" s="13" t="str">
        <f>VLOOKUP(I1173,CHOOSE({1,2},Table12[Native],Table12[Name]),2,0)</f>
        <v>Tàiyuán Shì</v>
      </c>
      <c r="O1173" s="13" t="str">
        <f t="shared" si="36"/>
        <v>Xincheng Jiedao (Tàiyuán Shì)</v>
      </c>
      <c r="P1173" s="13" t="str">
        <f t="shared" si="37"/>
        <v>Xincheng Jiedao (Tàiyuán Shì)</v>
      </c>
    </row>
    <row r="1174" spans="1:16" hidden="1" x14ac:dyDescent="0.25">
      <c r="A1174" t="s">
        <v>1345</v>
      </c>
      <c r="B1174" t="str">
        <f>IF(COUNTIF(A:A,A1174)&gt;1,_xlfn.CONCAT(A1174," (",N1174,")"),A1174)</f>
        <v>Xīnchéng Zhèn (Línfén Shì)</v>
      </c>
      <c r="C1174" t="str">
        <f>IF(COUNTIF(B:B,B1174)&gt;1,_xlfn.CONCAT(A1174," (",M1174,")"),B1174)</f>
        <v>Xīnchéng Zhèn (Línfén Shì)</v>
      </c>
      <c r="D1174" t="s">
        <v>1346</v>
      </c>
      <c r="E1174" t="s">
        <v>7</v>
      </c>
      <c r="F1174" t="str">
        <f>_xlfn.CONCAT(D1174,", ",H1174,", ",I1174,", ","山西省")</f>
        <v>新城镇, 襄汾县, 临汾市, 山西省</v>
      </c>
      <c r="G1174">
        <v>79814</v>
      </c>
      <c r="H1174" t="s">
        <v>2939</v>
      </c>
      <c r="I1174" t="s">
        <v>2927</v>
      </c>
      <c r="J1174">
        <f>VLOOKUP(F1174,[1]!china_towns_second__2[[Column1]:[Y]],3,FALSE)</f>
        <v>35.8725217260113</v>
      </c>
      <c r="K1174">
        <f>VLOOKUP(F1174,[1]!china_towns_second__2[[Column1]:[Y]],2,FALSE)</f>
        <v>111.44656929999999</v>
      </c>
      <c r="L1174" t="s">
        <v>4746</v>
      </c>
      <c r="M1174" t="str">
        <f>VLOOKUP(H1174,CHOOSE({1,2},Table12[Native],Table12[Name]),2,0)</f>
        <v>Xiāngfén Xiàn</v>
      </c>
      <c r="N1174" s="13" t="str">
        <f>VLOOKUP(I1174,CHOOSE({1,2},Table12[Native],Table12[Name]),2,0)</f>
        <v>Línfén Shì</v>
      </c>
      <c r="O1174" s="13" t="str">
        <f t="shared" si="36"/>
        <v>Xincheng Zhen (Linfen Shi) (Línfén Shì)</v>
      </c>
      <c r="P1174" s="13" t="str">
        <f t="shared" si="37"/>
        <v>Xincheng Zhen (Linfen Shi) (Línfén Shì)</v>
      </c>
    </row>
    <row r="1175" spans="1:16" hidden="1" x14ac:dyDescent="0.25">
      <c r="A1175" t="s">
        <v>1345</v>
      </c>
      <c r="B1175" t="str">
        <f>IF(COUNTIF(A:A,A1175)&gt;1,_xlfn.CONCAT(A1175," (",N1175,")"),A1175)</f>
        <v>Xīnchéng Zhèn (Shuòzhōu Shì)</v>
      </c>
      <c r="C1175" t="str">
        <f>IF(COUNTIF(B:B,B1175)&gt;1,_xlfn.CONCAT(A1175," (",M1175,")"),B1175)</f>
        <v>Xīnchéng Zhèn (Shuòzhōu Shì)</v>
      </c>
      <c r="D1175" t="s">
        <v>1346</v>
      </c>
      <c r="E1175" t="s">
        <v>7</v>
      </c>
      <c r="F1175" t="str">
        <f>_xlfn.CONCAT(D1175,", ",H1175,", ",I1175,", ","山西省")</f>
        <v>新城镇, 右玉县, 朔州市, 山西省</v>
      </c>
      <c r="G1175">
        <v>52903</v>
      </c>
      <c r="H1175" t="s">
        <v>2967</v>
      </c>
      <c r="I1175" t="s">
        <v>2961</v>
      </c>
      <c r="J1175">
        <f>VLOOKUP(F1175,[1]!china_towns_second__2[[Column1]:[Y]],3,FALSE)</f>
        <v>39.996623442474601</v>
      </c>
      <c r="K1175">
        <f>VLOOKUP(F1175,[1]!china_towns_second__2[[Column1]:[Y]],2,FALSE)</f>
        <v>112.4644969</v>
      </c>
      <c r="L1175" t="s">
        <v>4747</v>
      </c>
      <c r="M1175" t="str">
        <f>VLOOKUP(H1175,CHOOSE({1,2},Table12[Native],Table12[Name]),2,0)</f>
        <v>Yòuyù Xiàn</v>
      </c>
      <c r="N1175" s="13" t="str">
        <f>VLOOKUP(I1175,CHOOSE({1,2},Table12[Native],Table12[Name]),2,0)</f>
        <v>Shuòzhōu Shì</v>
      </c>
      <c r="O1175" s="13" t="str">
        <f t="shared" si="36"/>
        <v>Xincheng Zhen (Shuozhou Shi) (Shuòzhōu Shì)</v>
      </c>
      <c r="P1175" s="13" t="str">
        <f t="shared" si="37"/>
        <v>Xincheng Zhen (Shuozhou Shi) (Shuòzhōu Shì)</v>
      </c>
    </row>
    <row r="1176" spans="1:16" hidden="1" x14ac:dyDescent="0.25">
      <c r="A1176" t="s">
        <v>1345</v>
      </c>
      <c r="B1176" t="str">
        <f>IF(COUNTIF(A:A,A1176)&gt;1,_xlfn.CONCAT(A1176," (",N1176,")"),A1176)</f>
        <v>Xīnchéng Zhèn (Yùnchéng Shì)</v>
      </c>
      <c r="C1176" t="str">
        <f>IF(COUNTIF(B:B,B1176)&gt;1,_xlfn.CONCAT(A1176," (",M1176,")"),B1176)</f>
        <v>Xīnchéng Zhèn (Yùnchéng Shì)</v>
      </c>
      <c r="D1176" t="s">
        <v>1346</v>
      </c>
      <c r="E1176" t="s">
        <v>7</v>
      </c>
      <c r="F1176" t="str">
        <f>_xlfn.CONCAT(D1176,", ",H1176,", ",I1176,", ","山西省")</f>
        <v>新城镇, 垣曲县, 运城市, 山西省</v>
      </c>
      <c r="G1176">
        <v>76386</v>
      </c>
      <c r="H1176" t="s">
        <v>3016</v>
      </c>
      <c r="I1176" t="s">
        <v>3003</v>
      </c>
      <c r="J1176">
        <f>VLOOKUP(F1176,[1]!china_towns_second__2[[Column1]:[Y]],3,FALSE)</f>
        <v>35.3294647223466</v>
      </c>
      <c r="K1176">
        <f>VLOOKUP(F1176,[1]!china_towns_second__2[[Column1]:[Y]],2,FALSE)</f>
        <v>111.6703752</v>
      </c>
      <c r="L1176" t="s">
        <v>4748</v>
      </c>
      <c r="M1176" t="str">
        <f>VLOOKUP(H1176,CHOOSE({1,2},Table12[Native],Table12[Name]),2,0)</f>
        <v>Yuánqŭ Xiàn</v>
      </c>
      <c r="N1176" s="13" t="str">
        <f>VLOOKUP(I1176,CHOOSE({1,2},Table12[Native],Table12[Name]),2,0)</f>
        <v>Yùnchéng Shì</v>
      </c>
      <c r="O1176" s="13" t="str">
        <f t="shared" si="36"/>
        <v>Xincheng Zhen (Yuncheng Shi) (Yùnchéng Shì)</v>
      </c>
      <c r="P1176" s="13" t="str">
        <f t="shared" si="37"/>
        <v>Xincheng Zhen (Yuncheng Shi) (Yùnchéng Shì)</v>
      </c>
    </row>
    <row r="1177" spans="1:16" hidden="1" x14ac:dyDescent="0.25">
      <c r="A1177" t="s">
        <v>1347</v>
      </c>
      <c r="B1177" t="str">
        <f>IF(COUNTIF(A:A,A1177)&gt;1,_xlfn.CONCAT(A1177," (",N1177,")"),A1177)</f>
        <v>Xīncūn Xiāng (Línfén Shì)</v>
      </c>
      <c r="C1177" t="str">
        <f>IF(COUNTIF(B:B,B1177)&gt;1,_xlfn.CONCAT(A1177," (",M1177,")"),B1177)</f>
        <v>Xīncūn Xiāng (Línfén Shì)</v>
      </c>
      <c r="D1177" t="s">
        <v>1348</v>
      </c>
      <c r="E1177" t="s">
        <v>17</v>
      </c>
      <c r="F1177" t="str">
        <f>_xlfn.CONCAT(D1177,", ",H1177,", ",I1177,", ","山西省")</f>
        <v>辛村乡, 洪洞县, 临汾市, 山西省</v>
      </c>
      <c r="G1177">
        <v>56300</v>
      </c>
      <c r="H1177" t="s">
        <v>2933</v>
      </c>
      <c r="I1177" t="s">
        <v>2927</v>
      </c>
      <c r="J1177" t="e">
        <f>VLOOKUP(F1177,[1]!china_towns_second__2[[Column1]:[Y]],3,FALSE)</f>
        <v>#N/A</v>
      </c>
      <c r="K1177" t="e">
        <f>VLOOKUP(F1177,[1]!china_towns_second__2[[Column1]:[Y]],2,FALSE)</f>
        <v>#N/A</v>
      </c>
      <c r="L1177" t="s">
        <v>4749</v>
      </c>
      <c r="M1177" t="str">
        <f>VLOOKUP(H1177,CHOOSE({1,2},Table12[Native],Table12[Name]),2,0)</f>
        <v>Hóngdòng Xiàn</v>
      </c>
      <c r="N1177" s="13" t="str">
        <f>VLOOKUP(I1177,CHOOSE({1,2},Table12[Native],Table12[Name]),2,0)</f>
        <v>Línfén Shì</v>
      </c>
      <c r="O1177" s="13" t="str">
        <f t="shared" si="36"/>
        <v>Xincun Xiang (Linfen Shi) (Línfén Shì)</v>
      </c>
      <c r="P1177" s="13" t="str">
        <f t="shared" si="37"/>
        <v>Xincun Xiang (Linfen Shi) (Línfén Shì)</v>
      </c>
    </row>
    <row r="1178" spans="1:16" hidden="1" x14ac:dyDescent="0.25">
      <c r="A1178" t="s">
        <v>1347</v>
      </c>
      <c r="B1178" t="str">
        <f>IF(COUNTIF(A:A,A1178)&gt;1,_xlfn.CONCAT(A1178," (",N1178,")"),A1178)</f>
        <v>Xīncūn Xiāng (Xīnzhōu Shì)</v>
      </c>
      <c r="C1178" t="str">
        <f>IF(COUNTIF(B:B,B1178)&gt;1,_xlfn.CONCAT(A1178," (",M1178,")"),B1178)</f>
        <v>Xīncūn Xiāng (Xīnzhōu Shì)</v>
      </c>
      <c r="D1178" t="s">
        <v>1348</v>
      </c>
      <c r="E1178" t="s">
        <v>17</v>
      </c>
      <c r="F1178" t="str">
        <f>_xlfn.CONCAT(D1178,", ",H1178,", ",I1178,", ","山西省")</f>
        <v>辛村乡, 静乐县, 忻州市, 山西省</v>
      </c>
      <c r="G1178">
        <v>6594</v>
      </c>
      <c r="H1178" t="s">
        <v>2987</v>
      </c>
      <c r="I1178" t="s">
        <v>2981</v>
      </c>
      <c r="J1178" t="e">
        <f>VLOOKUP(F1178,[1]!china_towns_second__2[[Column1]:[Y]],3,FALSE)</f>
        <v>#N/A</v>
      </c>
      <c r="K1178" t="e">
        <f>VLOOKUP(F1178,[1]!china_towns_second__2[[Column1]:[Y]],2,FALSE)</f>
        <v>#N/A</v>
      </c>
      <c r="L1178" t="s">
        <v>4750</v>
      </c>
      <c r="M1178" t="str">
        <f>VLOOKUP(H1178,CHOOSE({1,2},Table12[Native],Table12[Name]),2,0)</f>
        <v>Jìnglè Xiàn</v>
      </c>
      <c r="N1178" s="13" t="str">
        <f>VLOOKUP(I1178,CHOOSE({1,2},Table12[Native],Table12[Name]),2,0)</f>
        <v>Xīnzhōu Shì</v>
      </c>
      <c r="O1178" s="13" t="str">
        <f t="shared" si="36"/>
        <v>Xincun Xiang (Xinzhou Shi) (Xīnzhōu Shì)</v>
      </c>
      <c r="P1178" s="13" t="str">
        <f t="shared" si="37"/>
        <v>Xincun Xiang (Xinzhou Shi) (Xīnzhōu Shì)</v>
      </c>
    </row>
    <row r="1179" spans="1:16" hidden="1" x14ac:dyDescent="0.25">
      <c r="A1179" t="s">
        <v>283</v>
      </c>
      <c r="B1179" t="str">
        <f>IF(COUNTIF(A:A,A1179)&gt;1,_xlfn.CONCAT(A1179," (",N1179,")"),A1179)</f>
        <v>Xīndiàn Zhèn</v>
      </c>
      <c r="C1179" t="str">
        <f>IF(COUNTIF(B:B,B1179)&gt;1,_xlfn.CONCAT(A1179," (",M1179,")"),B1179)</f>
        <v>Xīndiàn Zhèn</v>
      </c>
      <c r="D1179" t="s">
        <v>284</v>
      </c>
      <c r="E1179" t="s">
        <v>7</v>
      </c>
      <c r="F1179" t="str">
        <f>_xlfn.CONCAT(D1179,", ",H1179,", ",I1179,", ","山西省")</f>
        <v>新店镇, 沁县, 长治市, 山西省</v>
      </c>
      <c r="G1179">
        <v>14838</v>
      </c>
      <c r="H1179" t="s">
        <v>2887</v>
      </c>
      <c r="I1179" t="s">
        <v>2878</v>
      </c>
      <c r="J1179">
        <f>VLOOKUP(F1179,[1]!china_towns_second__2[[Column1]:[Y]],3,FALSE)</f>
        <v>36.594991283980598</v>
      </c>
      <c r="K1179">
        <f>VLOOKUP(F1179,[1]!china_towns_second__2[[Column1]:[Y]],2,FALSE)</f>
        <v>112.71961210000001</v>
      </c>
      <c r="L1179" t="s">
        <v>4751</v>
      </c>
      <c r="M1179" t="str">
        <f>VLOOKUP(H1179,CHOOSE({1,2},Table12[Native],Table12[Name]),2,0)</f>
        <v>Qìn Xiàn</v>
      </c>
      <c r="N1179" s="13" t="str">
        <f>VLOOKUP(I1179,CHOOSE({1,2},Table12[Native],Table12[Name]),2,0)</f>
        <v>Chángzhì Shì</v>
      </c>
      <c r="O1179" s="13" t="str">
        <f t="shared" si="36"/>
        <v>Xindian Zhen (Chángzhì Shì)</v>
      </c>
      <c r="P1179" s="13" t="str">
        <f t="shared" si="37"/>
        <v>Xindian Zhen (Chángzhì Shì)</v>
      </c>
    </row>
    <row r="1180" spans="1:16" hidden="1" x14ac:dyDescent="0.25">
      <c r="A1180" t="s">
        <v>2402</v>
      </c>
      <c r="B1180" t="str">
        <f>IF(COUNTIF(A:A,A1180)&gt;1,_xlfn.CONCAT(A1180," (",N1180,")"),A1180)</f>
        <v>Xīngāo Xiāng</v>
      </c>
      <c r="C1180" t="str">
        <f>IF(COUNTIF(B:B,B1180)&gt;1,_xlfn.CONCAT(A1180," (",M1180,")"),B1180)</f>
        <v>Xīngāo Xiāng</v>
      </c>
      <c r="D1180" t="s">
        <v>2403</v>
      </c>
      <c r="E1180" t="s">
        <v>17</v>
      </c>
      <c r="F1180" t="str">
        <f>_xlfn.CONCAT(D1180,", ",H1180,", ",I1180,", ","山西省")</f>
        <v>新高乡, 代县, 忻州市, 山西省</v>
      </c>
      <c r="G1180">
        <v>21437</v>
      </c>
      <c r="H1180" t="s">
        <v>2983</v>
      </c>
      <c r="I1180" t="s">
        <v>2981</v>
      </c>
      <c r="J1180" t="e">
        <f>VLOOKUP(F1180,[1]!china_towns_second__2[[Column1]:[Y]],3,FALSE)</f>
        <v>#N/A</v>
      </c>
      <c r="K1180" t="e">
        <f>VLOOKUP(F1180,[1]!china_towns_second__2[[Column1]:[Y]],2,FALSE)</f>
        <v>#N/A</v>
      </c>
      <c r="L1180" t="s">
        <v>4752</v>
      </c>
      <c r="M1180" t="str">
        <f>VLOOKUP(H1180,CHOOSE({1,2},Table12[Native],Table12[Name]),2,0)</f>
        <v>Dài Xiàn</v>
      </c>
      <c r="N1180" s="13" t="str">
        <f>VLOOKUP(I1180,CHOOSE({1,2},Table12[Native],Table12[Name]),2,0)</f>
        <v>Xīnzhōu Shì</v>
      </c>
      <c r="O1180" s="13" t="str">
        <f t="shared" si="36"/>
        <v>Xingao Xiang (Xīnzhōu Shì)</v>
      </c>
      <c r="P1180" s="13" t="str">
        <f t="shared" si="37"/>
        <v>Xingao Xiang (Xīnzhōu Shì)</v>
      </c>
    </row>
    <row r="1181" spans="1:16" hidden="1" x14ac:dyDescent="0.25">
      <c r="A1181" t="s">
        <v>285</v>
      </c>
      <c r="B1181" t="str">
        <f>IF(COUNTIF(A:A,A1181)&gt;1,_xlfn.CONCAT(A1181," (",N1181,")"),A1181)</f>
        <v>Xìngchéng Zhèn</v>
      </c>
      <c r="C1181" t="str">
        <f>IF(COUNTIF(B:B,B1181)&gt;1,_xlfn.CONCAT(A1181," (",M1181,")"),B1181)</f>
        <v>Xìngchéng Zhèn</v>
      </c>
      <c r="D1181" t="s">
        <v>286</v>
      </c>
      <c r="E1181" t="s">
        <v>7</v>
      </c>
      <c r="F1181" t="str">
        <f>_xlfn.CONCAT(D1181,", ",H1181,", ",I1181,", ","山西省")</f>
        <v>杏城镇, 平顺县, 长治市, 山西省</v>
      </c>
      <c r="G1181">
        <v>11866</v>
      </c>
      <c r="H1181" t="s">
        <v>2886</v>
      </c>
      <c r="I1181" t="s">
        <v>2878</v>
      </c>
      <c r="J1181">
        <f>VLOOKUP(F1181,[1]!china_towns_second__2[[Column1]:[Y]],3,FALSE)</f>
        <v>36.029173523341797</v>
      </c>
      <c r="K1181">
        <f>VLOOKUP(F1181,[1]!china_towns_second__2[[Column1]:[Y]],2,FALSE)</f>
        <v>113.582769</v>
      </c>
      <c r="L1181" t="s">
        <v>4753</v>
      </c>
      <c r="M1181" t="str">
        <f>VLOOKUP(H1181,CHOOSE({1,2},Table12[Native],Table12[Name]),2,0)</f>
        <v>Píngshùn Xiàn</v>
      </c>
      <c r="N1181" s="13" t="str">
        <f>VLOOKUP(I1181,CHOOSE({1,2},Table12[Native],Table12[Name]),2,0)</f>
        <v>Chángzhì Shì</v>
      </c>
      <c r="O1181" s="13" t="str">
        <f t="shared" si="36"/>
        <v>Xingcheng Zhen (Chángzhì Shì)</v>
      </c>
      <c r="P1181" s="13" t="str">
        <f t="shared" si="37"/>
        <v>Xingcheng Zhen (Chángzhì Shì)</v>
      </c>
    </row>
    <row r="1182" spans="1:16" hidden="1" x14ac:dyDescent="0.25">
      <c r="A1182" t="s">
        <v>551</v>
      </c>
      <c r="B1182" t="str">
        <f>IF(COUNTIF(A:A,A1182)&gt;1,_xlfn.CONCAT(A1182," (",N1182,")"),A1182)</f>
        <v>Xìng'érgōu Jiēdào</v>
      </c>
      <c r="C1182" t="str">
        <f>IF(COUNTIF(B:B,B1182)&gt;1,_xlfn.CONCAT(A1182," (",M1182,")"),B1182)</f>
        <v>Xìng'érgōu Jiēdào</v>
      </c>
      <c r="D1182" t="s">
        <v>552</v>
      </c>
      <c r="E1182" t="s">
        <v>31</v>
      </c>
      <c r="F1182" t="str">
        <f>_xlfn.CONCAT(D1182,", ",H1182,", ",I1182,", ","山西省")</f>
        <v>杏儿沟街道, 云冈区, 大同市, 山西省</v>
      </c>
      <c r="G1182">
        <v>4751</v>
      </c>
      <c r="H1182" t="s">
        <v>2902</v>
      </c>
      <c r="I1182" t="s">
        <v>2894</v>
      </c>
      <c r="J1182" t="e">
        <f>VLOOKUP(F1182,[1]!china_towns_second__2[[Column1]:[Y]],3,FALSE)</f>
        <v>#N/A</v>
      </c>
      <c r="K1182" t="e">
        <f>VLOOKUP(F1182,[1]!china_towns_second__2[[Column1]:[Y]],2,FALSE)</f>
        <v>#N/A</v>
      </c>
      <c r="L1182" t="s">
        <v>4754</v>
      </c>
      <c r="M1182" t="str">
        <f>VLOOKUP(H1182,CHOOSE({1,2},Table12[Native],Table12[Name]),2,0)</f>
        <v>Yúngāng Qū</v>
      </c>
      <c r="N1182" s="13" t="str">
        <f>VLOOKUP(I1182,CHOOSE({1,2},Table12[Native],Table12[Name]),2,0)</f>
        <v>Dàtóng Shì</v>
      </c>
      <c r="O1182" s="13" t="str">
        <f t="shared" si="36"/>
        <v>Xing'ergou Jiedao (Dàtóng Shì)</v>
      </c>
      <c r="P1182" s="13" t="str">
        <f t="shared" si="37"/>
        <v>Xing'ergou Jiedao (Dàtóng Shì)</v>
      </c>
    </row>
    <row r="1183" spans="1:16" hidden="1" x14ac:dyDescent="0.25">
      <c r="A1183" t="s">
        <v>2064</v>
      </c>
      <c r="B1183" t="str">
        <f>IF(COUNTIF(A:A,A1183)&gt;1,_xlfn.CONCAT(A1183," (",N1183,")"),A1183)</f>
        <v>Xīnghuá Jiēdào</v>
      </c>
      <c r="C1183" t="str">
        <f>IF(COUNTIF(B:B,B1183)&gt;1,_xlfn.CONCAT(A1183," (",M1183,")"),B1183)</f>
        <v>Xīnghuá Jiēdào</v>
      </c>
      <c r="D1183" t="s">
        <v>2065</v>
      </c>
      <c r="E1183" t="s">
        <v>31</v>
      </c>
      <c r="F1183" t="str">
        <f>_xlfn.CONCAT(D1183,", ",H1183,", ",I1183,", ","山西省")</f>
        <v>兴华街道, 万柏林区, 太原市, 山西省</v>
      </c>
      <c r="G1183">
        <v>71096</v>
      </c>
      <c r="H1183" t="s">
        <v>2975</v>
      </c>
      <c r="I1183" t="s">
        <v>2969</v>
      </c>
      <c r="J1183">
        <f>VLOOKUP(F1183,[1]!china_towns_second__2[[Column1]:[Y]],3,FALSE)</f>
        <v>37.873953096808897</v>
      </c>
      <c r="K1183">
        <f>VLOOKUP(F1183,[1]!china_towns_second__2[[Column1]:[Y]],2,FALSE)</f>
        <v>112.5186582</v>
      </c>
      <c r="L1183" t="s">
        <v>4755</v>
      </c>
      <c r="M1183" t="str">
        <f>VLOOKUP(H1183,CHOOSE({1,2},Table12[Native],Table12[Name]),2,0)</f>
        <v>Wànbǎilín Qū</v>
      </c>
      <c r="N1183" s="13" t="str">
        <f>VLOOKUP(I1183,CHOOSE({1,2},Table12[Native],Table12[Name]),2,0)</f>
        <v>Tàiyuán Shì</v>
      </c>
      <c r="O1183" s="13" t="str">
        <f t="shared" si="36"/>
        <v>Xinghua Jiedao (Tàiyuán Shì)</v>
      </c>
      <c r="P1183" s="13" t="str">
        <f t="shared" si="37"/>
        <v>Xinghua Jiedao (Tàiyuán Shì)</v>
      </c>
    </row>
    <row r="1184" spans="1:16" hidden="1" x14ac:dyDescent="0.25">
      <c r="A1184" t="s">
        <v>1682</v>
      </c>
      <c r="B1184" t="str">
        <f>IF(COUNTIF(A:A,A1184)&gt;1,_xlfn.CONCAT(A1184," (",N1184,")"),A1184)</f>
        <v>Xìnghuācūn Zhèn</v>
      </c>
      <c r="C1184" t="str">
        <f>IF(COUNTIF(B:B,B1184)&gt;1,_xlfn.CONCAT(A1184," (",M1184,")"),B1184)</f>
        <v>Xìnghuācūn Zhèn</v>
      </c>
      <c r="D1184" t="s">
        <v>1683</v>
      </c>
      <c r="E1184" t="s">
        <v>7</v>
      </c>
      <c r="F1184" t="str">
        <f>_xlfn.CONCAT(D1184,", ",H1184,", ",I1184,", ","山西省")</f>
        <v>杏花村镇, 汾阳市, 吕梁市, 山西省</v>
      </c>
      <c r="G1184">
        <v>30546</v>
      </c>
      <c r="H1184" t="s">
        <v>2948</v>
      </c>
      <c r="I1184" t="s">
        <v>2946</v>
      </c>
      <c r="J1184">
        <f>VLOOKUP(F1184,[1]!china_towns_second__2[[Column1]:[Y]],3,FALSE)</f>
        <v>37.364274654397903</v>
      </c>
      <c r="K1184">
        <f>VLOOKUP(F1184,[1]!china_towns_second__2[[Column1]:[Y]],2,FALSE)</f>
        <v>111.88451019999999</v>
      </c>
      <c r="L1184" t="s">
        <v>4756</v>
      </c>
      <c r="M1184" t="str">
        <f>VLOOKUP(H1184,CHOOSE({1,2},Table12[Native],Table12[Name]),2,0)</f>
        <v>Fényáng Shì</v>
      </c>
      <c r="N1184" s="13" t="str">
        <f>VLOOKUP(I1184,CHOOSE({1,2},Table12[Native],Table12[Name]),2,0)</f>
        <v>Lǚliáng Shì</v>
      </c>
      <c r="O1184" s="13" t="str">
        <f t="shared" si="36"/>
        <v>Xinghuacun Zhen (Lǚliáng Shì)</v>
      </c>
      <c r="P1184" s="13" t="str">
        <f t="shared" si="37"/>
        <v>Xinghuacun Zhen (Lǚliáng Shì)</v>
      </c>
    </row>
    <row r="1185" spans="1:16" hidden="1" x14ac:dyDescent="0.25">
      <c r="A1185" t="s">
        <v>2066</v>
      </c>
      <c r="B1185" t="str">
        <f>IF(COUNTIF(A:A,A1185)&gt;1,_xlfn.CONCAT(A1185," (",N1185,")"),A1185)</f>
        <v>Xìnghuālĭng Jiēdào</v>
      </c>
      <c r="C1185" t="str">
        <f>IF(COUNTIF(B:B,B1185)&gt;1,_xlfn.CONCAT(A1185," (",M1185,")"),B1185)</f>
        <v>Xìnghuālĭng Jiēdào</v>
      </c>
      <c r="D1185" t="s">
        <v>2067</v>
      </c>
      <c r="E1185" t="s">
        <v>31</v>
      </c>
      <c r="F1185" t="str">
        <f>_xlfn.CONCAT(D1185,", ",H1185,", ",I1185,", ","山西省")</f>
        <v>杏花岭街道, 杏花岭区, 太原市, 山西省</v>
      </c>
      <c r="G1185">
        <v>41169</v>
      </c>
      <c r="H1185" t="s">
        <v>2977</v>
      </c>
      <c r="I1185" t="s">
        <v>2969</v>
      </c>
      <c r="J1185">
        <f>VLOOKUP(F1185,[1]!china_towns_second__2[[Column1]:[Y]],3,FALSE)</f>
        <v>37.874046094110803</v>
      </c>
      <c r="K1185">
        <f>VLOOKUP(F1185,[1]!china_towns_second__2[[Column1]:[Y]],2,FALSE)</f>
        <v>112.5696056</v>
      </c>
      <c r="L1185" t="s">
        <v>4757</v>
      </c>
      <c r="M1185" t="str">
        <f>VLOOKUP(H1185,CHOOSE({1,2},Table12[Native],Table12[Name]),2,0)</f>
        <v>Xìnghuālĭng Qū</v>
      </c>
      <c r="N1185" s="13" t="str">
        <f>VLOOKUP(I1185,CHOOSE({1,2},Table12[Native],Table12[Name]),2,0)</f>
        <v>Tàiyuán Shì</v>
      </c>
      <c r="O1185" s="13" t="str">
        <f t="shared" si="36"/>
        <v>Xinghualing Jiedao (Tàiyuán Shì)</v>
      </c>
      <c r="P1185" s="13" t="str">
        <f t="shared" si="37"/>
        <v>Xinghualing Jiedao (Tàiyuán Shì)</v>
      </c>
    </row>
    <row r="1186" spans="1:16" hidden="1" x14ac:dyDescent="0.25">
      <c r="A1186" t="s">
        <v>2068</v>
      </c>
      <c r="B1186" t="str">
        <f>IF(COUNTIF(A:A,A1186)&gt;1,_xlfn.CONCAT(A1186," (",N1186,")"),A1186)</f>
        <v>Xíngjiāshè Xiāng</v>
      </c>
      <c r="C1186" t="str">
        <f>IF(COUNTIF(B:B,B1186)&gt;1,_xlfn.CONCAT(A1186," (",M1186,")"),B1186)</f>
        <v>Xíngjiāshè Xiāng</v>
      </c>
      <c r="D1186" t="s">
        <v>2069</v>
      </c>
      <c r="E1186" t="s">
        <v>17</v>
      </c>
      <c r="F1186" t="str">
        <f>_xlfn.CONCAT(D1186,", ",H1186,", ",I1186,", ","山西省")</f>
        <v>邢家社乡, 古交市, 太原市, 山西省</v>
      </c>
      <c r="G1186">
        <v>5760</v>
      </c>
      <c r="H1186" t="s">
        <v>2970</v>
      </c>
      <c r="I1186" t="s">
        <v>2969</v>
      </c>
      <c r="J1186" t="e">
        <f>VLOOKUP(F1186,[1]!china_towns_second__2[[Column1]:[Y]],3,FALSE)</f>
        <v>#N/A</v>
      </c>
      <c r="K1186" t="e">
        <f>VLOOKUP(F1186,[1]!china_towns_second__2[[Column1]:[Y]],2,FALSE)</f>
        <v>#N/A</v>
      </c>
      <c r="L1186" t="s">
        <v>4758</v>
      </c>
      <c r="M1186" t="str">
        <f>VLOOKUP(H1186,CHOOSE({1,2},Table12[Native],Table12[Name]),2,0)</f>
        <v>Gŭjiāo Shì</v>
      </c>
      <c r="N1186" s="13" t="str">
        <f>VLOOKUP(I1186,CHOOSE({1,2},Table12[Native],Table12[Name]),2,0)</f>
        <v>Tàiyuán Shì</v>
      </c>
      <c r="O1186" s="13" t="str">
        <f t="shared" si="36"/>
        <v>Xingjiashe Xiang (Tàiyuán Shì)</v>
      </c>
      <c r="P1186" s="13" t="str">
        <f t="shared" si="37"/>
        <v>Xingjiashe Xiang (Tàiyuán Shì)</v>
      </c>
    </row>
    <row r="1187" spans="1:16" hidden="1" x14ac:dyDescent="0.25">
      <c r="A1187" t="s">
        <v>1349</v>
      </c>
      <c r="B1187" t="str">
        <f>IF(COUNTIF(A:A,A1187)&gt;1,_xlfn.CONCAT(A1187," (",N1187,")"),A1187)</f>
        <v>Xíngjiāyào Xiāng</v>
      </c>
      <c r="C1187" t="str">
        <f>IF(COUNTIF(B:B,B1187)&gt;1,_xlfn.CONCAT(A1187," (",M1187,")"),B1187)</f>
        <v>Xíngjiāyào Xiāng</v>
      </c>
      <c r="D1187" t="s">
        <v>1350</v>
      </c>
      <c r="E1187" t="s">
        <v>17</v>
      </c>
      <c r="F1187" t="str">
        <f>_xlfn.CONCAT(D1187,", ",H1187,", ",I1187,", ","山西省")</f>
        <v>邢家要乡, 汾西县, 临汾市, 山西省</v>
      </c>
      <c r="G1187">
        <v>7086</v>
      </c>
      <c r="H1187" t="s">
        <v>2930</v>
      </c>
      <c r="I1187" t="s">
        <v>2927</v>
      </c>
      <c r="J1187" t="e">
        <f>VLOOKUP(F1187,[1]!china_towns_second__2[[Column1]:[Y]],3,FALSE)</f>
        <v>#N/A</v>
      </c>
      <c r="K1187" t="e">
        <f>VLOOKUP(F1187,[1]!china_towns_second__2[[Column1]:[Y]],2,FALSE)</f>
        <v>#N/A</v>
      </c>
      <c r="L1187" t="s">
        <v>4759</v>
      </c>
      <c r="M1187" t="str">
        <f>VLOOKUP(H1187,CHOOSE({1,2},Table12[Native],Table12[Name]),2,0)</f>
        <v>Fénxī Xiàn</v>
      </c>
      <c r="N1187" s="13" t="str">
        <f>VLOOKUP(I1187,CHOOSE({1,2},Table12[Native],Table12[Name]),2,0)</f>
        <v>Línfén Shì</v>
      </c>
      <c r="O1187" s="13" t="str">
        <f t="shared" si="36"/>
        <v>Xingjiayao Xiang (Línfén Shì)</v>
      </c>
      <c r="P1187" s="13" t="str">
        <f t="shared" si="37"/>
        <v>Xingjiayao Xiang (Línfén Shì)</v>
      </c>
    </row>
    <row r="1188" spans="1:16" hidden="1" x14ac:dyDescent="0.25">
      <c r="A1188" t="s">
        <v>2404</v>
      </c>
      <c r="B1188" t="str">
        <f>IF(COUNTIF(A:A,A1188)&gt;1,_xlfn.CONCAT(A1188," (",N1188,")"),A1188)</f>
        <v>Xìnglĭngzi Xiāng</v>
      </c>
      <c r="C1188" t="str">
        <f>IF(COUNTIF(B:B,B1188)&gt;1,_xlfn.CONCAT(A1188," (",M1188,")"),B1188)</f>
        <v>Xìnglĭngzi Xiāng</v>
      </c>
      <c r="D1188" t="s">
        <v>2405</v>
      </c>
      <c r="E1188" t="s">
        <v>17</v>
      </c>
      <c r="F1188" t="str">
        <f>_xlfn.CONCAT(D1188,", ",H1188,", ",I1188,", ","山西省")</f>
        <v>杏岭子乡, 五寨县, 忻州市, 山西省</v>
      </c>
      <c r="G1188">
        <v>3500</v>
      </c>
      <c r="H1188" t="s">
        <v>2993</v>
      </c>
      <c r="I1188" t="s">
        <v>2981</v>
      </c>
      <c r="J1188" t="e">
        <f>VLOOKUP(F1188,[1]!china_towns_second__2[[Column1]:[Y]],3,FALSE)</f>
        <v>#N/A</v>
      </c>
      <c r="K1188" t="e">
        <f>VLOOKUP(F1188,[1]!china_towns_second__2[[Column1]:[Y]],2,FALSE)</f>
        <v>#N/A</v>
      </c>
      <c r="L1188" t="s">
        <v>4760</v>
      </c>
      <c r="M1188" t="str">
        <f>VLOOKUP(H1188,CHOOSE({1,2},Table12[Native],Table12[Name]),2,0)</f>
        <v>Wŭzhài Xiàn</v>
      </c>
      <c r="N1188" s="13" t="str">
        <f>VLOOKUP(I1188,CHOOSE({1,2},Table12[Native],Table12[Name]),2,0)</f>
        <v>Xīnzhōu Shì</v>
      </c>
      <c r="O1188" s="13" t="str">
        <f t="shared" si="36"/>
        <v>Xinglingzi Xiang (Xīnzhōu Shì)</v>
      </c>
      <c r="P1188" s="13" t="str">
        <f t="shared" si="37"/>
        <v>Xinglingzi Xiang (Xīnzhōu Shì)</v>
      </c>
    </row>
    <row r="1189" spans="1:16" hidden="1" x14ac:dyDescent="0.25">
      <c r="A1189" t="s">
        <v>1351</v>
      </c>
      <c r="B1189" t="str">
        <f>IF(COUNTIF(A:A,A1189)&gt;1,_xlfn.CONCAT(A1189," (",N1189,")"),A1189)</f>
        <v>Xīngtángsì Xiāng</v>
      </c>
      <c r="C1189" t="str">
        <f>IF(COUNTIF(B:B,B1189)&gt;1,_xlfn.CONCAT(A1189," (",M1189,")"),B1189)</f>
        <v>Xīngtángsì Xiāng</v>
      </c>
      <c r="D1189" t="s">
        <v>1352</v>
      </c>
      <c r="E1189" t="s">
        <v>17</v>
      </c>
      <c r="F1189" t="str">
        <f>_xlfn.CONCAT(D1189,", ",H1189,", ",I1189,", ","山西省")</f>
        <v>兴唐寺乡, 洪洞县, 临汾市, 山西省</v>
      </c>
      <c r="G1189">
        <v>15132</v>
      </c>
      <c r="H1189" t="s">
        <v>2933</v>
      </c>
      <c r="I1189" t="s">
        <v>2927</v>
      </c>
      <c r="J1189" t="e">
        <f>VLOOKUP(F1189,[1]!china_towns_second__2[[Column1]:[Y]],3,FALSE)</f>
        <v>#N/A</v>
      </c>
      <c r="K1189" t="e">
        <f>VLOOKUP(F1189,[1]!china_towns_second__2[[Column1]:[Y]],2,FALSE)</f>
        <v>#N/A</v>
      </c>
      <c r="L1189" t="s">
        <v>4761</v>
      </c>
      <c r="M1189" t="str">
        <f>VLOOKUP(H1189,CHOOSE({1,2},Table12[Native],Table12[Name]),2,0)</f>
        <v>Hóngdòng Xiàn</v>
      </c>
      <c r="N1189" s="13" t="str">
        <f>VLOOKUP(I1189,CHOOSE({1,2},Table12[Native],Table12[Name]),2,0)</f>
        <v>Línfén Shì</v>
      </c>
      <c r="O1189" s="13" t="str">
        <f t="shared" si="36"/>
        <v>Xingtangsi Xiang (Línfén Shì)</v>
      </c>
      <c r="P1189" s="13" t="str">
        <f t="shared" si="37"/>
        <v>Xingtangsi Xiang (Línfén Shì)</v>
      </c>
    </row>
    <row r="1190" spans="1:16" hidden="1" x14ac:dyDescent="0.25">
      <c r="A1190" t="s">
        <v>2406</v>
      </c>
      <c r="B1190" t="str">
        <f>IF(COUNTIF(A:A,A1190)&gt;1,_xlfn.CONCAT(A1190," (",N1190,")"),A1190)</f>
        <v>Xīnguān Zhèn</v>
      </c>
      <c r="C1190" t="str">
        <f>IF(COUNTIF(B:B,B1190)&gt;1,_xlfn.CONCAT(A1190," (",M1190,")"),B1190)</f>
        <v>Xīnguān Zhèn</v>
      </c>
      <c r="D1190" t="s">
        <v>2407</v>
      </c>
      <c r="E1190" t="s">
        <v>7</v>
      </c>
      <c r="F1190" t="str">
        <f>_xlfn.CONCAT(D1190,", ",H1190,", ",I1190,", ","山西省")</f>
        <v>新关镇, 偏关县, 忻州市, 山西省</v>
      </c>
      <c r="G1190">
        <v>54981</v>
      </c>
      <c r="H1190" t="s">
        <v>2990</v>
      </c>
      <c r="I1190" t="s">
        <v>2981</v>
      </c>
      <c r="J1190">
        <f>VLOOKUP(F1190,[1]!china_towns_second__2[[Column1]:[Y]],3,FALSE)</f>
        <v>39.468532355043301</v>
      </c>
      <c r="K1190">
        <f>VLOOKUP(F1190,[1]!china_towns_second__2[[Column1]:[Y]],2,FALSE)</f>
        <v>111.5273438</v>
      </c>
      <c r="L1190" t="s">
        <v>4762</v>
      </c>
      <c r="M1190" t="str">
        <f>VLOOKUP(H1190,CHOOSE({1,2},Table12[Native],Table12[Name]),2,0)</f>
        <v>Piānguān Xiàn</v>
      </c>
      <c r="N1190" s="13" t="str">
        <f>VLOOKUP(I1190,CHOOSE({1,2},Table12[Native],Table12[Name]),2,0)</f>
        <v>Xīnzhōu Shì</v>
      </c>
      <c r="O1190" s="13" t="str">
        <f t="shared" si="36"/>
        <v>Xinguan Zhen (Xīnzhōu Shì)</v>
      </c>
      <c r="P1190" s="13" t="str">
        <f t="shared" si="37"/>
        <v>Xinguan Zhen (Xīnzhōu Shì)</v>
      </c>
    </row>
    <row r="1191" spans="1:16" hidden="1" x14ac:dyDescent="0.25">
      <c r="A1191" t="s">
        <v>1684</v>
      </c>
      <c r="B1191" t="str">
        <f>IF(COUNTIF(A:A,A1191)&gt;1,_xlfn.CONCAT(A1191," (",N1191,")"),A1191)</f>
        <v>Xīnguān Zhèn [Qiánshān Xiāng]</v>
      </c>
      <c r="C1191" t="str">
        <f>IF(COUNTIF(B:B,B1191)&gt;1,_xlfn.CONCAT(A1191," (",M1191,")"),B1191)</f>
        <v>Xīnguān Zhèn [Qiánshān Xiāng]</v>
      </c>
      <c r="D1191" t="s">
        <v>1685</v>
      </c>
      <c r="E1191" t="s">
        <v>7</v>
      </c>
      <c r="F1191" t="str">
        <f>_xlfn.CONCAT(D1191,", ",H1191,", ",I1191,", ","山西省")</f>
        <v>辛关镇, 石楼县, 吕梁市, 山西省</v>
      </c>
      <c r="G1191">
        <v>8446</v>
      </c>
      <c r="H1191" t="s">
        <v>2955</v>
      </c>
      <c r="I1191" t="s">
        <v>2946</v>
      </c>
      <c r="J1191">
        <f>VLOOKUP(F1191,[1]!china_towns_second__2[[Column1]:[Y]],3,FALSE)</f>
        <v>37.033675385751302</v>
      </c>
      <c r="K1191">
        <f>VLOOKUP(F1191,[1]!china_towns_second__2[[Column1]:[Y]],2,FALSE)</f>
        <v>110.49987849999999</v>
      </c>
      <c r="L1191" t="s">
        <v>4763</v>
      </c>
      <c r="M1191" t="str">
        <f>VLOOKUP(H1191,CHOOSE({1,2},Table12[Native],Table12[Name]),2,0)</f>
        <v>Shílóu Xiàn</v>
      </c>
      <c r="N1191" s="13" t="str">
        <f>VLOOKUP(I1191,CHOOSE({1,2},Table12[Native],Table12[Name]),2,0)</f>
        <v>Lǚliáng Shì</v>
      </c>
      <c r="O1191" s="13" t="str">
        <f t="shared" si="36"/>
        <v>Xinguan Zhen [Qianshan Xiang] (Lǚliáng Shì)</v>
      </c>
      <c r="P1191" s="13" t="str">
        <f t="shared" si="37"/>
        <v>Xinguan Zhen [Qianshan Xiang] (Lǚliáng Shì)</v>
      </c>
    </row>
    <row r="1192" spans="1:16" hidden="1" x14ac:dyDescent="0.25">
      <c r="A1192" t="s">
        <v>2408</v>
      </c>
      <c r="B1192" t="str">
        <f>IF(COUNTIF(A:A,A1192)&gt;1,_xlfn.CONCAT(A1192," (",N1192,")"),A1192)</f>
        <v>Xìngyuán Xiāng</v>
      </c>
      <c r="C1192" t="str">
        <f>IF(COUNTIF(B:B,B1192)&gt;1,_xlfn.CONCAT(A1192," (",M1192,")"),B1192)</f>
        <v>Xìngyuán Xiāng</v>
      </c>
      <c r="D1192" t="s">
        <v>2409</v>
      </c>
      <c r="E1192" t="s">
        <v>17</v>
      </c>
      <c r="F1192" t="str">
        <f>_xlfn.CONCAT(D1192,", ",H1192,", ",I1192,", ","山西省")</f>
        <v>杏园乡, 繁峙县, 忻州市, 山西省</v>
      </c>
      <c r="G1192">
        <v>17375</v>
      </c>
      <c r="H1192" t="s">
        <v>2985</v>
      </c>
      <c r="I1192" t="s">
        <v>2981</v>
      </c>
      <c r="J1192" t="e">
        <f>VLOOKUP(F1192,[1]!china_towns_second__2[[Column1]:[Y]],3,FALSE)</f>
        <v>#N/A</v>
      </c>
      <c r="K1192" t="e">
        <f>VLOOKUP(F1192,[1]!china_towns_second__2[[Column1]:[Y]],2,FALSE)</f>
        <v>#N/A</v>
      </c>
      <c r="L1192" t="s">
        <v>4764</v>
      </c>
      <c r="M1192" t="str">
        <f>VLOOKUP(H1192,CHOOSE({1,2},Table12[Native],Table12[Name]),2,0)</f>
        <v>Fánshì Xiàn</v>
      </c>
      <c r="N1192" s="13" t="str">
        <f>VLOOKUP(I1192,CHOOSE({1,2},Table12[Native],Table12[Name]),2,0)</f>
        <v>Xīnzhōu Shì</v>
      </c>
      <c r="O1192" s="13" t="str">
        <f t="shared" si="36"/>
        <v>Xingyuan Xiang (Xīnzhōu Shì)</v>
      </c>
      <c r="P1192" s="13" t="str">
        <f t="shared" si="37"/>
        <v>Xingyuan Xiang (Xīnzhōu Shì)</v>
      </c>
    </row>
    <row r="1193" spans="1:16" hidden="1" x14ac:dyDescent="0.25">
      <c r="A1193" t="s">
        <v>1846</v>
      </c>
      <c r="B1193" t="str">
        <f>IF(COUNTIF(A:A,A1193)&gt;1,_xlfn.CONCAT(A1193," (",N1193,")"),A1193)</f>
        <v>Xìngzhài Xiāng</v>
      </c>
      <c r="C1193" t="str">
        <f>IF(COUNTIF(B:B,B1193)&gt;1,_xlfn.CONCAT(A1193," (",M1193,")"),B1193)</f>
        <v>Xìngzhài Xiāng</v>
      </c>
      <c r="D1193" t="s">
        <v>1847</v>
      </c>
      <c r="E1193" t="s">
        <v>17</v>
      </c>
      <c r="F1193" t="str">
        <f>_xlfn.CONCAT(D1193,", ",H1193,", ",I1193,", ","山西省")</f>
        <v>杏寨乡, 应县, 朔州市, 山西省</v>
      </c>
      <c r="G1193">
        <v>16971</v>
      </c>
      <c r="H1193" t="s">
        <v>2966</v>
      </c>
      <c r="I1193" t="s">
        <v>2961</v>
      </c>
      <c r="J1193" t="e">
        <f>VLOOKUP(F1193,[1]!china_towns_second__2[[Column1]:[Y]],3,FALSE)</f>
        <v>#N/A</v>
      </c>
      <c r="K1193" t="e">
        <f>VLOOKUP(F1193,[1]!china_towns_second__2[[Column1]:[Y]],2,FALSE)</f>
        <v>#N/A</v>
      </c>
      <c r="L1193" t="s">
        <v>4765</v>
      </c>
      <c r="M1193" t="str">
        <f>VLOOKUP(H1193,CHOOSE({1,2},Table12[Native],Table12[Name]),2,0)</f>
        <v>Yīng Xiàn</v>
      </c>
      <c r="N1193" s="13" t="str">
        <f>VLOOKUP(I1193,CHOOSE({1,2},Table12[Native],Table12[Name]),2,0)</f>
        <v>Shuòzhōu Shì</v>
      </c>
      <c r="O1193" s="13" t="str">
        <f t="shared" si="36"/>
        <v>Xingzhai Xiang (Shuòzhōu Shì)</v>
      </c>
      <c r="P1193" s="13" t="str">
        <f t="shared" si="37"/>
        <v>Xingzhai Xiang (Shuòzhōu Shì)</v>
      </c>
    </row>
    <row r="1194" spans="1:16" hidden="1" x14ac:dyDescent="0.25">
      <c r="A1194" t="s">
        <v>1012</v>
      </c>
      <c r="B1194" t="str">
        <f>IF(COUNTIF(A:A,A1194)&gt;1,_xlfn.CONCAT(A1194," (",N1194,")"),A1194)</f>
        <v>Xīnhuá Jiēdào</v>
      </c>
      <c r="C1194" t="str">
        <f>IF(COUNTIF(B:B,B1194)&gt;1,_xlfn.CONCAT(A1194," (",M1194,")"),B1194)</f>
        <v>Xīnhuá Jiēdào</v>
      </c>
      <c r="D1194" t="s">
        <v>1013</v>
      </c>
      <c r="E1194" t="s">
        <v>31</v>
      </c>
      <c r="F1194" t="str">
        <f>_xlfn.CONCAT(D1194,", ",H1194,", ",I1194,", ","山西省")</f>
        <v>新华街道, 榆次区, 晋中市, 山西省</v>
      </c>
      <c r="G1194">
        <v>32581</v>
      </c>
      <c r="H1194" t="s">
        <v>2923</v>
      </c>
      <c r="I1194" t="s">
        <v>2914</v>
      </c>
      <c r="J1194">
        <f>VLOOKUP(F1194,[1]!china_towns_second__2[[Column1]:[Y]],3,FALSE)</f>
        <v>37.685910454668097</v>
      </c>
      <c r="K1194">
        <f>VLOOKUP(F1194,[1]!china_towns_second__2[[Column1]:[Y]],2,FALSE)</f>
        <v>112.76308299999999</v>
      </c>
      <c r="L1194" t="s">
        <v>4766</v>
      </c>
      <c r="M1194" t="str">
        <f>VLOOKUP(H1194,CHOOSE({1,2},Table12[Native],Table12[Name]),2,0)</f>
        <v>Yúcì Qū</v>
      </c>
      <c r="N1194" s="13" t="str">
        <f>VLOOKUP(I1194,CHOOSE({1,2},Table12[Native],Table12[Name]),2,0)</f>
        <v>Jìnzhōng Shì</v>
      </c>
      <c r="O1194" s="13" t="str">
        <f t="shared" si="36"/>
        <v>Xinhua Jiedao (Jìnzhōng Shì)</v>
      </c>
      <c r="P1194" s="13" t="str">
        <f t="shared" si="37"/>
        <v>Xinhua Jiedao (Jìnzhōng Shì)</v>
      </c>
    </row>
    <row r="1195" spans="1:16" hidden="1" x14ac:dyDescent="0.25">
      <c r="A1195" t="s">
        <v>553</v>
      </c>
      <c r="B1195" t="str">
        <f>IF(COUNTIF(A:A,A1195)&gt;1,_xlfn.CONCAT(A1195," (",N1195,")"),A1195)</f>
        <v>Xīnhuájiē Jiēdào</v>
      </c>
      <c r="C1195" t="str">
        <f>IF(COUNTIF(B:B,B1195)&gt;1,_xlfn.CONCAT(A1195," (",M1195,")"),B1195)</f>
        <v>Xīnhuájiē Jiēdào</v>
      </c>
      <c r="D1195" t="s">
        <v>554</v>
      </c>
      <c r="E1195" t="s">
        <v>31</v>
      </c>
      <c r="F1195" t="str">
        <f>_xlfn.CONCAT(D1195,", ",H1195,", ",I1195,", ","山西省")</f>
        <v>新华街街道, 平城区, 大同市, 山西省</v>
      </c>
      <c r="G1195">
        <v>90687</v>
      </c>
      <c r="H1195" t="s">
        <v>2898</v>
      </c>
      <c r="I1195" t="s">
        <v>2894</v>
      </c>
      <c r="J1195" t="e">
        <f>VLOOKUP(F1195,[1]!china_towns_second__2[[Column1]:[Y]],3,FALSE)</f>
        <v>#N/A</v>
      </c>
      <c r="K1195" t="e">
        <f>VLOOKUP(F1195,[1]!china_towns_second__2[[Column1]:[Y]],2,FALSE)</f>
        <v>#N/A</v>
      </c>
      <c r="L1195" t="s">
        <v>4767</v>
      </c>
      <c r="M1195" t="str">
        <f>VLOOKUP(H1195,CHOOSE({1,2},Table12[Native],Table12[Name]),2,0)</f>
        <v>Píngchéng Qū</v>
      </c>
      <c r="N1195" s="13" t="str">
        <f>VLOOKUP(I1195,CHOOSE({1,2},Table12[Native],Table12[Name]),2,0)</f>
        <v>Dàtóng Shì</v>
      </c>
      <c r="O1195" s="13" t="str">
        <f t="shared" si="36"/>
        <v>Xinhuajie Jiedao (Dàtóng Shì)</v>
      </c>
      <c r="P1195" s="13" t="str">
        <f t="shared" si="37"/>
        <v>Xinhuajie Jiedao (Dàtóng Shì)</v>
      </c>
    </row>
    <row r="1196" spans="1:16" hidden="1" x14ac:dyDescent="0.25">
      <c r="A1196" t="s">
        <v>555</v>
      </c>
      <c r="B1196" t="str">
        <f>IF(COUNTIF(A:A,A1196)&gt;1,_xlfn.CONCAT(A1196," (",N1196,")"),A1196)</f>
        <v>Xīnjiàn Bĕilù Jiēdào</v>
      </c>
      <c r="C1196" t="str">
        <f>IF(COUNTIF(B:B,B1196)&gt;1,_xlfn.CONCAT(A1196," (",M1196,")"),B1196)</f>
        <v>Xīnjiàn Bĕilù Jiēdào</v>
      </c>
      <c r="D1196" t="s">
        <v>556</v>
      </c>
      <c r="E1196" t="s">
        <v>31</v>
      </c>
      <c r="F1196" t="str">
        <f>_xlfn.CONCAT(D1196,", ",H1196,", ",I1196,", ","山西省")</f>
        <v>新建北路街道, 平城区, 大同市, 山西省</v>
      </c>
      <c r="G1196">
        <v>46175</v>
      </c>
      <c r="H1196" t="s">
        <v>2898</v>
      </c>
      <c r="I1196" t="s">
        <v>2894</v>
      </c>
      <c r="J1196" t="e">
        <f>VLOOKUP(F1196,[1]!china_towns_second__2[[Column1]:[Y]],3,FALSE)</f>
        <v>#N/A</v>
      </c>
      <c r="K1196" t="e">
        <f>VLOOKUP(F1196,[1]!china_towns_second__2[[Column1]:[Y]],2,FALSE)</f>
        <v>#N/A</v>
      </c>
      <c r="L1196" t="s">
        <v>4768</v>
      </c>
      <c r="M1196" t="str">
        <f>VLOOKUP(H1196,CHOOSE({1,2},Table12[Native],Table12[Name]),2,0)</f>
        <v>Píngchéng Qū</v>
      </c>
      <c r="N1196" s="13" t="str">
        <f>VLOOKUP(I1196,CHOOSE({1,2},Table12[Native],Table12[Name]),2,0)</f>
        <v>Dàtóng Shì</v>
      </c>
      <c r="O1196" s="13" t="str">
        <f t="shared" si="36"/>
        <v>Xinjian Beilu Jiedao (Dàtóng Shì)</v>
      </c>
      <c r="P1196" s="13" t="str">
        <f t="shared" si="37"/>
        <v>Xinjian Beilu Jiedao (Dàtóng Shì)</v>
      </c>
    </row>
    <row r="1197" spans="1:16" hidden="1" x14ac:dyDescent="0.25">
      <c r="A1197" t="s">
        <v>1014</v>
      </c>
      <c r="B1197" t="str">
        <f>IF(COUNTIF(A:A,A1197)&gt;1,_xlfn.CONCAT(A1197," (",N1197,")"),A1197)</f>
        <v>Xīnjiàn Jiēdào</v>
      </c>
      <c r="C1197" t="str">
        <f>IF(COUNTIF(B:B,B1197)&gt;1,_xlfn.CONCAT(A1197," (",M1197,")"),B1197)</f>
        <v>Xīnjiàn Jiēdào</v>
      </c>
      <c r="D1197" t="s">
        <v>1015</v>
      </c>
      <c r="E1197" t="s">
        <v>31</v>
      </c>
      <c r="F1197" t="str">
        <f>_xlfn.CONCAT(D1197,", ",H1197,", ",I1197,", ","山西省")</f>
        <v>新建街道, 榆次区, 晋中市, 山西省</v>
      </c>
      <c r="G1197">
        <v>38634</v>
      </c>
      <c r="H1197" t="s">
        <v>2923</v>
      </c>
      <c r="I1197" t="s">
        <v>2914</v>
      </c>
      <c r="J1197">
        <f>VLOOKUP(F1197,[1]!china_towns_second__2[[Column1]:[Y]],3,FALSE)</f>
        <v>37.699884484919799</v>
      </c>
      <c r="K1197">
        <f>VLOOKUP(F1197,[1]!china_towns_second__2[[Column1]:[Y]],2,FALSE)</f>
        <v>112.7016017</v>
      </c>
      <c r="L1197" t="s">
        <v>4769</v>
      </c>
      <c r="M1197" t="str">
        <f>VLOOKUP(H1197,CHOOSE({1,2},Table12[Native],Table12[Name]),2,0)</f>
        <v>Yúcì Qū</v>
      </c>
      <c r="N1197" s="13" t="str">
        <f>VLOOKUP(I1197,CHOOSE({1,2},Table12[Native],Table12[Name]),2,0)</f>
        <v>Jìnzhōng Shì</v>
      </c>
      <c r="O1197" s="13" t="str">
        <f t="shared" si="36"/>
        <v>Xinjian Jiedao (Jìnzhōng Shì)</v>
      </c>
      <c r="P1197" s="13" t="str">
        <f t="shared" si="37"/>
        <v>Xinjian Jiedao (Jìnzhōng Shì)</v>
      </c>
    </row>
    <row r="1198" spans="1:16" hidden="1" x14ac:dyDescent="0.25">
      <c r="A1198" t="s">
        <v>557</v>
      </c>
      <c r="B1198" t="str">
        <f>IF(COUNTIF(A:A,A1198)&gt;1,_xlfn.CONCAT(A1198," (",N1198,")"),A1198)</f>
        <v>Xīnjiàn Nánlù Jiēdào</v>
      </c>
      <c r="C1198" t="str">
        <f>IF(COUNTIF(B:B,B1198)&gt;1,_xlfn.CONCAT(A1198," (",M1198,")"),B1198)</f>
        <v>Xīnjiàn Nánlù Jiēdào</v>
      </c>
      <c r="D1198" t="s">
        <v>558</v>
      </c>
      <c r="E1198" t="s">
        <v>31</v>
      </c>
      <c r="F1198" t="str">
        <f>_xlfn.CONCAT(D1198,", ",H1198,", ",I1198,", ","山西省")</f>
        <v>新建南路街道, 平城区, 大同市, 山西省</v>
      </c>
      <c r="G1198">
        <v>53799</v>
      </c>
      <c r="H1198" t="s">
        <v>2898</v>
      </c>
      <c r="I1198" t="s">
        <v>2894</v>
      </c>
      <c r="J1198" t="e">
        <f>VLOOKUP(F1198,[1]!china_towns_second__2[[Column1]:[Y]],3,FALSE)</f>
        <v>#N/A</v>
      </c>
      <c r="K1198" t="e">
        <f>VLOOKUP(F1198,[1]!china_towns_second__2[[Column1]:[Y]],2,FALSE)</f>
        <v>#N/A</v>
      </c>
      <c r="L1198" t="s">
        <v>4770</v>
      </c>
      <c r="M1198" t="str">
        <f>VLOOKUP(H1198,CHOOSE({1,2},Table12[Native],Table12[Name]),2,0)</f>
        <v>Píngchéng Qū</v>
      </c>
      <c r="N1198" s="13" t="str">
        <f>VLOOKUP(I1198,CHOOSE({1,2},Table12[Native],Table12[Name]),2,0)</f>
        <v>Dàtóng Shì</v>
      </c>
      <c r="O1198" s="13" t="str">
        <f t="shared" si="36"/>
        <v>Xinjian Nanlu Jiedao (Dàtóng Shì)</v>
      </c>
      <c r="P1198" s="13" t="str">
        <f t="shared" si="37"/>
        <v>Xinjian Nanlu Jiedao (Dàtóng Shì)</v>
      </c>
    </row>
    <row r="1199" spans="1:16" hidden="1" x14ac:dyDescent="0.25">
      <c r="A1199" t="s">
        <v>2826</v>
      </c>
      <c r="B1199" t="str">
        <f>IF(COUNTIF(A:A,A1199)&gt;1,_xlfn.CONCAT(A1199," (",N1199,")"),A1199)</f>
        <v>Xīnjiàng Xiàn Méihuà Yuánqū Guănwĕihuì [Xinhua County Coal Chemical Industry Park]</v>
      </c>
      <c r="C1199" t="str">
        <f>IF(COUNTIF(B:B,B1199)&gt;1,_xlfn.CONCAT(A1199," (",M1199,")"),B1199)</f>
        <v>Xīnjiàng Xiàn Méihuà Yuánqū Guănwĕihuì [Xinhua County Coal Chemical Industry Park]</v>
      </c>
      <c r="D1199" t="s">
        <v>2827</v>
      </c>
      <c r="E1199" t="s">
        <v>35</v>
      </c>
      <c r="F1199" t="str">
        <f>_xlfn.CONCAT(D1199,", ",H1199,", ",I1199,", ","山西省")</f>
        <v>新绛县煤化园区管委会, 新绛县, 运城市, 山西省</v>
      </c>
      <c r="G1199">
        <v>937</v>
      </c>
      <c r="H1199" t="s">
        <v>3013</v>
      </c>
      <c r="I1199" t="s">
        <v>3003</v>
      </c>
      <c r="J1199">
        <f>VLOOKUP(F1199,[1]!china_towns_second__2[[Column1]:[Y]],3,FALSE)</f>
        <v>35.680957551809101</v>
      </c>
      <c r="K1199">
        <f>VLOOKUP(F1199,[1]!china_towns_second__2[[Column1]:[Y]],2,FALSE)</f>
        <v>111.23352300000001</v>
      </c>
      <c r="L1199" t="s">
        <v>4771</v>
      </c>
      <c r="M1199" t="str">
        <f>VLOOKUP(H1199,CHOOSE({1,2},Table12[Native],Table12[Name]),2,0)</f>
        <v>Xīnjiàng Xiàn</v>
      </c>
      <c r="N1199" s="13" t="str">
        <f>VLOOKUP(I1199,CHOOSE({1,2},Table12[Native],Table12[Name]),2,0)</f>
        <v>Yùnchéng Shì</v>
      </c>
      <c r="O1199" s="13" t="str">
        <f t="shared" si="36"/>
        <v>Xinjiang Xian Meihua Yuanqu Guanweihui [Xinhua County Coal Chemical Industry Park] (Yùnchéng Shì)</v>
      </c>
      <c r="P1199" s="13" t="str">
        <f t="shared" si="37"/>
        <v>Xinjiang Xian Meihua Yuanqu Guanweihui [Xinhua County Coal Chemical Industry Park] (Yùnchéng Shì)</v>
      </c>
    </row>
    <row r="1200" spans="1:16" hidden="1" x14ac:dyDescent="0.25">
      <c r="A1200" t="s">
        <v>2410</v>
      </c>
      <c r="B1200" t="str">
        <f>IF(COUNTIF(A:A,A1200)&gt;1,_xlfn.CONCAT(A1200," (",N1200,")"),A1200)</f>
        <v>Xīnjiànlù Jiēdào</v>
      </c>
      <c r="C1200" t="str">
        <f>IF(COUNTIF(B:B,B1200)&gt;1,_xlfn.CONCAT(A1200," (",M1200,")"),B1200)</f>
        <v>Xīnjiànlù Jiēdào</v>
      </c>
      <c r="D1200" t="s">
        <v>2411</v>
      </c>
      <c r="E1200" t="s">
        <v>31</v>
      </c>
      <c r="F1200" t="str">
        <f>_xlfn.CONCAT(D1200,", ",H1200,", ",I1200,", ","山西省")</f>
        <v>新建路街道, 忻府区, 忻州市, 山西省</v>
      </c>
      <c r="G1200">
        <v>74886</v>
      </c>
      <c r="H1200" t="s">
        <v>2994</v>
      </c>
      <c r="I1200" t="s">
        <v>2981</v>
      </c>
      <c r="J1200">
        <f>VLOOKUP(F1200,[1]!china_towns_second__2[[Column1]:[Y]],3,FALSE)</f>
        <v>38.410393292920901</v>
      </c>
      <c r="K1200">
        <f>VLOOKUP(F1200,[1]!china_towns_second__2[[Column1]:[Y]],2,FALSE)</f>
        <v>112.73562750000001</v>
      </c>
      <c r="L1200" t="s">
        <v>4772</v>
      </c>
      <c r="M1200" t="str">
        <f>VLOOKUP(H1200,CHOOSE({1,2},Table12[Native],Table12[Name]),2,0)</f>
        <v>Xīnfŭ Qū</v>
      </c>
      <c r="N1200" s="13" t="str">
        <f>VLOOKUP(I1200,CHOOSE({1,2},Table12[Native],Table12[Name]),2,0)</f>
        <v>Xīnzhōu Shì</v>
      </c>
      <c r="O1200" s="13" t="str">
        <f t="shared" si="36"/>
        <v>Xinjianlu Jiedao (Xīnzhōu Shì)</v>
      </c>
      <c r="P1200" s="13" t="str">
        <f t="shared" si="37"/>
        <v>Xinjianlu Jiedao (Xīnzhōu Shì)</v>
      </c>
    </row>
    <row r="1201" spans="1:16" hidden="1" x14ac:dyDescent="0.25">
      <c r="A1201" t="s">
        <v>1848</v>
      </c>
      <c r="B1201" t="str">
        <f>IF(COUNTIF(A:A,A1201)&gt;1,_xlfn.CONCAT(A1201," (",N1201,")"),A1201)</f>
        <v>Xīnjiāyuán Xiāng</v>
      </c>
      <c r="C1201" t="str">
        <f>IF(COUNTIF(B:B,B1201)&gt;1,_xlfn.CONCAT(A1201," (",M1201,")"),B1201)</f>
        <v>Xīnjiāyuán Xiāng</v>
      </c>
      <c r="D1201" t="s">
        <v>1849</v>
      </c>
      <c r="E1201" t="s">
        <v>17</v>
      </c>
      <c r="F1201" t="str">
        <f>_xlfn.CONCAT(D1201,", ",H1201,", ",I1201,", ","山西省")</f>
        <v>新家园乡, 怀仁市, 朔州市, 山西省</v>
      </c>
      <c r="G1201">
        <v>45815</v>
      </c>
      <c r="H1201" t="s">
        <v>2962</v>
      </c>
      <c r="I1201" t="s">
        <v>2961</v>
      </c>
      <c r="J1201" t="e">
        <f>VLOOKUP(F1201,[1]!china_towns_second__2[[Column1]:[Y]],3,FALSE)</f>
        <v>#N/A</v>
      </c>
      <c r="K1201" t="e">
        <f>VLOOKUP(F1201,[1]!china_towns_second__2[[Column1]:[Y]],2,FALSE)</f>
        <v>#N/A</v>
      </c>
      <c r="L1201" t="s">
        <v>4773</v>
      </c>
      <c r="M1201" t="str">
        <f>VLOOKUP(H1201,CHOOSE({1,2},Table12[Native],Table12[Name]),2,0)</f>
        <v>Huáirén Shì</v>
      </c>
      <c r="N1201" s="13" t="str">
        <f>VLOOKUP(I1201,CHOOSE({1,2},Table12[Native],Table12[Name]),2,0)</f>
        <v>Shuòzhōu Shì</v>
      </c>
      <c r="O1201" s="13" t="str">
        <f t="shared" si="36"/>
        <v>Xinjiayuan Xiang (Shuòzhōu Shì)</v>
      </c>
      <c r="P1201" s="13" t="str">
        <f t="shared" si="37"/>
        <v>Xinjiayuan Xiang (Shuòzhōu Shì)</v>
      </c>
    </row>
    <row r="1202" spans="1:16" hidden="1" x14ac:dyDescent="0.25">
      <c r="A1202" t="s">
        <v>559</v>
      </c>
      <c r="B1202" t="str">
        <f>IF(COUNTIF(A:A,A1202)&gt;1,_xlfn.CONCAT(A1202," (",N1202,")"),A1202)</f>
        <v>Xīnpíngbǎo Zhèn</v>
      </c>
      <c r="C1202" t="str">
        <f>IF(COUNTIF(B:B,B1202)&gt;1,_xlfn.CONCAT(A1202," (",M1202,")"),B1202)</f>
        <v>Xīnpíngbǎo Zhèn</v>
      </c>
      <c r="D1202" t="s">
        <v>560</v>
      </c>
      <c r="E1202" t="s">
        <v>7</v>
      </c>
      <c r="F1202" t="str">
        <f>_xlfn.CONCAT(D1202,", ",H1202,", ",I1202,", ","山西省")</f>
        <v>新平堡镇, 天镇县, 大同市, 山西省</v>
      </c>
      <c r="G1202">
        <v>12108</v>
      </c>
      <c r="H1202" t="s">
        <v>2899</v>
      </c>
      <c r="I1202" t="s">
        <v>2894</v>
      </c>
      <c r="J1202">
        <f>VLOOKUP(F1202,[1]!china_towns_second__2[[Column1]:[Y]],3,FALSE)</f>
        <v>40.640872909044198</v>
      </c>
      <c r="K1202">
        <f>VLOOKUP(F1202,[1]!china_towns_second__2[[Column1]:[Y]],2,FALSE)</f>
        <v>114.12570530000001</v>
      </c>
      <c r="L1202" t="s">
        <v>4774</v>
      </c>
      <c r="M1202" t="str">
        <f>VLOOKUP(H1202,CHOOSE({1,2},Table12[Native],Table12[Name]),2,0)</f>
        <v>Tiānzhèn Xiàn</v>
      </c>
      <c r="N1202" s="13" t="str">
        <f>VLOOKUP(I1202,CHOOSE({1,2},Table12[Native],Table12[Name]),2,0)</f>
        <v>Dàtóng Shì</v>
      </c>
      <c r="O1202" s="13" t="str">
        <f t="shared" si="36"/>
        <v>Xinpingbao Zhen (Dàtóng Shì)</v>
      </c>
      <c r="P1202" s="13" t="str">
        <f t="shared" si="37"/>
        <v>Xinpingbao Zhen (Dàtóng Shì)</v>
      </c>
    </row>
    <row r="1203" spans="1:16" hidden="1" x14ac:dyDescent="0.25">
      <c r="A1203" t="s">
        <v>561</v>
      </c>
      <c r="B1203" t="str">
        <f>IF(COUNTIF(A:A,A1203)&gt;1,_xlfn.CONCAT(A1203," (",N1203,")"),A1203)</f>
        <v>Xīnpíngwàng Jiēdào</v>
      </c>
      <c r="C1203" t="str">
        <f>IF(COUNTIF(B:B,B1203)&gt;1,_xlfn.CONCAT(A1203," (",M1203,")"),B1203)</f>
        <v>Xīnpíngwàng Jiēdào</v>
      </c>
      <c r="D1203" t="s">
        <v>562</v>
      </c>
      <c r="E1203" t="s">
        <v>31</v>
      </c>
      <c r="F1203" t="str">
        <f>_xlfn.CONCAT(D1203,", ",H1203,", ",I1203,", ","山西省")</f>
        <v>新平旺街道, 云冈区, 大同市, 山西省</v>
      </c>
      <c r="G1203">
        <v>54963</v>
      </c>
      <c r="H1203" t="s">
        <v>2902</v>
      </c>
      <c r="I1203" t="s">
        <v>2894</v>
      </c>
      <c r="J1203" t="e">
        <f>VLOOKUP(F1203,[1]!china_towns_second__2[[Column1]:[Y]],3,FALSE)</f>
        <v>#N/A</v>
      </c>
      <c r="K1203" t="e">
        <f>VLOOKUP(F1203,[1]!china_towns_second__2[[Column1]:[Y]],2,FALSE)</f>
        <v>#N/A</v>
      </c>
      <c r="L1203" t="s">
        <v>4775</v>
      </c>
      <c r="M1203" t="str">
        <f>VLOOKUP(H1203,CHOOSE({1,2},Table12[Native],Table12[Name]),2,0)</f>
        <v>Yúngāng Qū</v>
      </c>
      <c r="N1203" s="13" t="str">
        <f>VLOOKUP(I1203,CHOOSE({1,2},Table12[Native],Table12[Name]),2,0)</f>
        <v>Dàtóng Shì</v>
      </c>
      <c r="O1203" s="13" t="str">
        <f t="shared" si="36"/>
        <v>Xinpingwang Jiedao (Dàtóng Shì)</v>
      </c>
      <c r="P1203" s="13" t="str">
        <f t="shared" si="37"/>
        <v>Xinpingwang Jiedao (Dàtóng Shì)</v>
      </c>
    </row>
    <row r="1204" spans="1:16" hidden="1" x14ac:dyDescent="0.25">
      <c r="A1204" t="s">
        <v>563</v>
      </c>
      <c r="B1204" t="str">
        <f>IF(COUNTIF(A:A,A1204)&gt;1,_xlfn.CONCAT(A1204," (",N1204,")"),A1204)</f>
        <v>Xīnquánlù Jiēdào</v>
      </c>
      <c r="C1204" t="str">
        <f>IF(COUNTIF(B:B,B1204)&gt;1,_xlfn.CONCAT(A1204," (",M1204,")"),B1204)</f>
        <v>Xīnquánlù Jiēdào</v>
      </c>
      <c r="D1204" t="s">
        <v>564</v>
      </c>
      <c r="E1204" t="s">
        <v>31</v>
      </c>
      <c r="F1204" t="str">
        <f>_xlfn.CONCAT(D1204,", ",H1204,", ",I1204,", ","山西省")</f>
        <v>新泉路街道, 云冈区, 大同市, 山西省</v>
      </c>
      <c r="G1204">
        <v>17260</v>
      </c>
      <c r="H1204" t="s">
        <v>2902</v>
      </c>
      <c r="I1204" t="s">
        <v>2894</v>
      </c>
      <c r="J1204" t="e">
        <f>VLOOKUP(F1204,[1]!china_towns_second__2[[Column1]:[Y]],3,FALSE)</f>
        <v>#N/A</v>
      </c>
      <c r="K1204" t="e">
        <f>VLOOKUP(F1204,[1]!china_towns_second__2[[Column1]:[Y]],2,FALSE)</f>
        <v>#N/A</v>
      </c>
      <c r="L1204" t="s">
        <v>4776</v>
      </c>
      <c r="M1204" t="str">
        <f>VLOOKUP(H1204,CHOOSE({1,2},Table12[Native],Table12[Name]),2,0)</f>
        <v>Yúngāng Qū</v>
      </c>
      <c r="N1204" s="13" t="str">
        <f>VLOOKUP(I1204,CHOOSE({1,2},Table12[Native],Table12[Name]),2,0)</f>
        <v>Dàtóng Shì</v>
      </c>
      <c r="O1204" s="13" t="str">
        <f t="shared" si="36"/>
        <v>Xinquanlu Jiedao (Dàtóng Shì)</v>
      </c>
      <c r="P1204" s="13" t="str">
        <f t="shared" si="37"/>
        <v>Xinquanlu Jiedao (Dàtóng Shì)</v>
      </c>
    </row>
    <row r="1205" spans="1:16" hidden="1" x14ac:dyDescent="0.25">
      <c r="A1205" t="s">
        <v>565</v>
      </c>
      <c r="B1205" t="str">
        <f>IF(COUNTIF(A:A,A1205)&gt;1,_xlfn.CONCAT(A1205," (",N1205,")"),A1205)</f>
        <v>Xīnróng Qū Jēdào Guănlĭ Zhōngxīn</v>
      </c>
      <c r="C1205" t="str">
        <f>IF(COUNTIF(B:B,B1205)&gt;1,_xlfn.CONCAT(A1205," (",M1205,")"),B1205)</f>
        <v>Xīnróng Qū Jēdào Guănlĭ Zhōngxīn</v>
      </c>
      <c r="D1205" t="s">
        <v>566</v>
      </c>
      <c r="E1205" t="s">
        <v>35</v>
      </c>
      <c r="F1205" t="str">
        <f>_xlfn.CONCAT(D1205,", ",H1205,", ",I1205,", ","山西省")</f>
        <v>新荣区街道管理中心, 新荣区, 大同市, 山西省</v>
      </c>
      <c r="G1205">
        <v>22520</v>
      </c>
      <c r="H1205" t="s">
        <v>2900</v>
      </c>
      <c r="I1205" t="s">
        <v>2894</v>
      </c>
      <c r="J1205">
        <f>VLOOKUP(F1205,[1]!china_towns_second__2[[Column1]:[Y]],3,FALSE)</f>
        <v>40.251365665852099</v>
      </c>
      <c r="K1205">
        <f>VLOOKUP(F1205,[1]!china_towns_second__2[[Column1]:[Y]],2,FALSE)</f>
        <v>113.13038899999999</v>
      </c>
      <c r="L1205" t="s">
        <v>4777</v>
      </c>
      <c r="M1205" t="str">
        <f>VLOOKUP(H1205,CHOOSE({1,2},Table12[Native],Table12[Name]),2,0)</f>
        <v>Xīnróng Qū</v>
      </c>
      <c r="N1205" s="13" t="str">
        <f>VLOOKUP(I1205,CHOOSE({1,2},Table12[Native],Table12[Name]),2,0)</f>
        <v>Dàtóng Shì</v>
      </c>
      <c r="O1205" s="13" t="str">
        <f t="shared" si="36"/>
        <v>Xinrong Qu Jedao Guanli Zhongxin (Dàtóng Shì)</v>
      </c>
      <c r="P1205" s="13" t="str">
        <f t="shared" si="37"/>
        <v>Xinrong Qu Jedao Guanli Zhongxin (Dàtóng Shì)</v>
      </c>
    </row>
    <row r="1206" spans="1:16" hidden="1" x14ac:dyDescent="0.25">
      <c r="A1206" t="s">
        <v>567</v>
      </c>
      <c r="B1206" t="str">
        <f>IF(COUNTIF(A:A,A1206)&gt;1,_xlfn.CONCAT(A1206," (",N1206,")"),A1206)</f>
        <v>Xīnróng Zhèn</v>
      </c>
      <c r="C1206" t="str">
        <f>IF(COUNTIF(B:B,B1206)&gt;1,_xlfn.CONCAT(A1206," (",M1206,")"),B1206)</f>
        <v>Xīnróng Zhèn</v>
      </c>
      <c r="D1206" t="s">
        <v>568</v>
      </c>
      <c r="E1206" t="s">
        <v>7</v>
      </c>
      <c r="F1206" t="str">
        <f>_xlfn.CONCAT(D1206,", ",H1206,", ",I1206,", ","山西省")</f>
        <v>新荣镇, 新荣区, 大同市, 山西省</v>
      </c>
      <c r="G1206">
        <v>12819</v>
      </c>
      <c r="H1206" t="s">
        <v>2900</v>
      </c>
      <c r="I1206" t="s">
        <v>2894</v>
      </c>
      <c r="J1206">
        <f>VLOOKUP(F1206,[1]!china_towns_second__2[[Column1]:[Y]],3,FALSE)</f>
        <v>40.287072745628002</v>
      </c>
      <c r="K1206">
        <f>VLOOKUP(F1206,[1]!china_towns_second__2[[Column1]:[Y]],2,FALSE)</f>
        <v>113.161873</v>
      </c>
      <c r="L1206" t="s">
        <v>4778</v>
      </c>
      <c r="M1206" t="str">
        <f>VLOOKUP(H1206,CHOOSE({1,2},Table12[Native],Table12[Name]),2,0)</f>
        <v>Xīnróng Qū</v>
      </c>
      <c r="N1206" s="13" t="str">
        <f>VLOOKUP(I1206,CHOOSE({1,2},Table12[Native],Table12[Name]),2,0)</f>
        <v>Dàtóng Shì</v>
      </c>
      <c r="O1206" s="13" t="str">
        <f t="shared" si="36"/>
        <v>Xinrong Zhen (Dàtóng Shì)</v>
      </c>
      <c r="P1206" s="13" t="str">
        <f t="shared" si="37"/>
        <v>Xinrong Zhen (Dàtóng Shì)</v>
      </c>
    </row>
    <row r="1207" spans="1:16" hidden="1" x14ac:dyDescent="0.25">
      <c r="A1207" t="s">
        <v>569</v>
      </c>
      <c r="B1207" t="str">
        <f>IF(COUNTIF(A:A,A1207)&gt;1,_xlfn.CONCAT(A1207," (",N1207,")"),A1207)</f>
        <v>Xīnshèng Jiēdào</v>
      </c>
      <c r="C1207" t="str">
        <f>IF(COUNTIF(B:B,B1207)&gt;1,_xlfn.CONCAT(A1207," (",M1207,")"),B1207)</f>
        <v>Xīnshèng Jiēdào</v>
      </c>
      <c r="D1207" t="s">
        <v>570</v>
      </c>
      <c r="E1207" t="s">
        <v>31</v>
      </c>
      <c r="F1207" t="str">
        <f>_xlfn.CONCAT(D1207,", ",H1207,", ",I1207,", ","山西省")</f>
        <v>新胜街道, 云冈区, 大同市, 山西省</v>
      </c>
      <c r="G1207">
        <v>68388</v>
      </c>
      <c r="H1207" t="s">
        <v>2902</v>
      </c>
      <c r="I1207" t="s">
        <v>2894</v>
      </c>
      <c r="J1207" t="e">
        <f>VLOOKUP(F1207,[1]!china_towns_second__2[[Column1]:[Y]],3,FALSE)</f>
        <v>#N/A</v>
      </c>
      <c r="K1207" t="e">
        <f>VLOOKUP(F1207,[1]!china_towns_second__2[[Column1]:[Y]],2,FALSE)</f>
        <v>#N/A</v>
      </c>
      <c r="L1207" t="s">
        <v>4779</v>
      </c>
      <c r="M1207" t="str">
        <f>VLOOKUP(H1207,CHOOSE({1,2},Table12[Native],Table12[Name]),2,0)</f>
        <v>Yúngāng Qū</v>
      </c>
      <c r="N1207" s="13" t="str">
        <f>VLOOKUP(I1207,CHOOSE({1,2},Table12[Native],Table12[Name]),2,0)</f>
        <v>Dàtóng Shì</v>
      </c>
      <c r="O1207" s="13" t="str">
        <f t="shared" si="36"/>
        <v>Xinsheng Jiedao (Dàtóng Shì)</v>
      </c>
      <c r="P1207" s="13" t="str">
        <f t="shared" si="37"/>
        <v>Xinsheng Jiedao (Dàtóng Shì)</v>
      </c>
    </row>
    <row r="1208" spans="1:16" hidden="1" x14ac:dyDescent="0.25">
      <c r="A1208" t="s">
        <v>1353</v>
      </c>
      <c r="B1208" t="str">
        <f>IF(COUNTIF(A:A,A1208)&gt;1,_xlfn.CONCAT(A1208," (",N1208,")"),A1208)</f>
        <v>Xīnshuĭ Zhèn</v>
      </c>
      <c r="C1208" t="str">
        <f>IF(COUNTIF(B:B,B1208)&gt;1,_xlfn.CONCAT(A1208," (",M1208,")"),B1208)</f>
        <v>Xīnshuĭ Zhèn</v>
      </c>
      <c r="D1208" t="s">
        <v>1354</v>
      </c>
      <c r="E1208" t="s">
        <v>7</v>
      </c>
      <c r="F1208" t="str">
        <f>_xlfn.CONCAT(D1208,", ",H1208,", ",I1208,", ","山西省")</f>
        <v>昕水镇, 大宁县, 临汾市, 山西省</v>
      </c>
      <c r="G1208">
        <v>34666</v>
      </c>
      <c r="H1208" t="s">
        <v>2929</v>
      </c>
      <c r="I1208" t="s">
        <v>2927</v>
      </c>
      <c r="J1208">
        <f>VLOOKUP(F1208,[1]!china_towns_second__2[[Column1]:[Y]],3,FALSE)</f>
        <v>36.489930169767902</v>
      </c>
      <c r="K1208">
        <f>VLOOKUP(F1208,[1]!china_towns_second__2[[Column1]:[Y]],2,FALSE)</f>
        <v>110.7521756</v>
      </c>
      <c r="L1208" t="s">
        <v>4780</v>
      </c>
      <c r="M1208" t="str">
        <f>VLOOKUP(H1208,CHOOSE({1,2},Table12[Native],Table12[Name]),2,0)</f>
        <v>Dàníng Xiàn</v>
      </c>
      <c r="N1208" s="13" t="str">
        <f>VLOOKUP(I1208,CHOOSE({1,2},Table12[Native],Table12[Name]),2,0)</f>
        <v>Línfén Shì</v>
      </c>
      <c r="O1208" s="13" t="str">
        <f t="shared" si="36"/>
        <v>Xinshui Zhen (Línfén Shì)</v>
      </c>
      <c r="P1208" s="13" t="str">
        <f t="shared" si="37"/>
        <v>Xinshui Zhen (Línfén Shì)</v>
      </c>
    </row>
    <row r="1209" spans="1:16" hidden="1" x14ac:dyDescent="0.25">
      <c r="A1209" t="s">
        <v>1355</v>
      </c>
      <c r="B1209" t="str">
        <f>IF(COUNTIF(A:A,A1209)&gt;1,_xlfn.CONCAT(A1209," (",N1209,")"),A1209)</f>
        <v>Xīnsìjiē Jiēdào</v>
      </c>
      <c r="C1209" t="str">
        <f>IF(COUNTIF(B:B,B1209)&gt;1,_xlfn.CONCAT(A1209," (",M1209,")"),B1209)</f>
        <v>Xīnsìjiē Jiēdào</v>
      </c>
      <c r="D1209" t="s">
        <v>1356</v>
      </c>
      <c r="E1209" t="s">
        <v>31</v>
      </c>
      <c r="F1209" t="str">
        <f>_xlfn.CONCAT(D1209,", ",H1209,", ",I1209,", ","山西省")</f>
        <v>辛寺街街道, 尧都区, 临汾市, 山西省</v>
      </c>
      <c r="G1209">
        <v>35856</v>
      </c>
      <c r="H1209" t="s">
        <v>2942</v>
      </c>
      <c r="I1209" t="s">
        <v>2927</v>
      </c>
      <c r="J1209">
        <f>VLOOKUP(F1209,[1]!china_towns_second__2[[Column1]:[Y]],3,FALSE)</f>
        <v>36.078879184392598</v>
      </c>
      <c r="K1209">
        <f>VLOOKUP(F1209,[1]!china_towns_second__2[[Column1]:[Y]],2,FALSE)</f>
        <v>111.5341923</v>
      </c>
      <c r="L1209" t="s">
        <v>4781</v>
      </c>
      <c r="M1209" t="str">
        <f>VLOOKUP(H1209,CHOOSE({1,2},Table12[Native],Table12[Name]),2,0)</f>
        <v>Yáodū Qū</v>
      </c>
      <c r="N1209" s="13" t="str">
        <f>VLOOKUP(I1209,CHOOSE({1,2},Table12[Native],Table12[Name]),2,0)</f>
        <v>Línfén Shì</v>
      </c>
      <c r="O1209" s="13" t="str">
        <f t="shared" si="36"/>
        <v>Xinsijie Jiedao (Línfén Shì)</v>
      </c>
      <c r="P1209" s="13" t="str">
        <f t="shared" si="37"/>
        <v>Xinsijie Jiedao (Línfén Shì)</v>
      </c>
    </row>
    <row r="1210" spans="1:16" hidden="1" x14ac:dyDescent="0.25">
      <c r="A1210" t="s">
        <v>1357</v>
      </c>
      <c r="B1210" t="str">
        <f>IF(COUNTIF(A:A,A1210)&gt;1,_xlfn.CONCAT(A1210," (",N1210,")"),A1210)</f>
        <v>Xīntián Xiāng</v>
      </c>
      <c r="C1210" t="str">
        <f>IF(COUNTIF(B:B,B1210)&gt;1,_xlfn.CONCAT(A1210," (",M1210,")"),B1210)</f>
        <v>Xīntián Xiāng</v>
      </c>
      <c r="D1210" t="s">
        <v>1358</v>
      </c>
      <c r="E1210" t="s">
        <v>17</v>
      </c>
      <c r="F1210" t="str">
        <f>_xlfn.CONCAT(D1210,", ",H1210,", ",I1210,", ","山西省")</f>
        <v>新田乡, 侯马市, 临汾市, 山西省</v>
      </c>
      <c r="G1210">
        <v>42826</v>
      </c>
      <c r="H1210" t="s">
        <v>2934</v>
      </c>
      <c r="I1210" t="s">
        <v>2927</v>
      </c>
      <c r="J1210" t="e">
        <f>VLOOKUP(F1210,[1]!china_towns_second__2[[Column1]:[Y]],3,FALSE)</f>
        <v>#N/A</v>
      </c>
      <c r="K1210" t="e">
        <f>VLOOKUP(F1210,[1]!china_towns_second__2[[Column1]:[Y]],2,FALSE)</f>
        <v>#N/A</v>
      </c>
      <c r="L1210" t="s">
        <v>4782</v>
      </c>
      <c r="M1210" t="str">
        <f>VLOOKUP(H1210,CHOOSE({1,2},Table12[Native],Table12[Name]),2,0)</f>
        <v>Hòumă Shì</v>
      </c>
      <c r="N1210" s="13" t="str">
        <f>VLOOKUP(I1210,CHOOSE({1,2},Table12[Native],Table12[Name]),2,0)</f>
        <v>Línfén Shì</v>
      </c>
      <c r="O1210" s="13" t="str">
        <f t="shared" si="36"/>
        <v>Xintian Xiang (Línfén Shì)</v>
      </c>
      <c r="P1210" s="13" t="str">
        <f t="shared" si="37"/>
        <v>Xintian Xiang (Línfén Shì)</v>
      </c>
    </row>
    <row r="1211" spans="1:16" hidden="1" x14ac:dyDescent="0.25">
      <c r="A1211" t="s">
        <v>571</v>
      </c>
      <c r="B1211" t="str">
        <f>IF(COUNTIF(A:A,A1211)&gt;1,_xlfn.CONCAT(A1211," (",N1211,")"),A1211)</f>
        <v>Xīnwàng Xiāng</v>
      </c>
      <c r="C1211" t="str">
        <f>IF(COUNTIF(B:B,B1211)&gt;1,_xlfn.CONCAT(A1211," (",M1211,")"),B1211)</f>
        <v>Xīnwàng Xiāng</v>
      </c>
      <c r="D1211" t="s">
        <v>572</v>
      </c>
      <c r="E1211" t="s">
        <v>17</v>
      </c>
      <c r="F1211" t="str">
        <f>_xlfn.CONCAT(D1211,", ",H1211,", ",I1211,", ","山西省")</f>
        <v>新旺乡, 平城区, 大同市, 山西省</v>
      </c>
      <c r="G1211">
        <v>40734</v>
      </c>
      <c r="H1211" t="s">
        <v>2898</v>
      </c>
      <c r="I1211" t="s">
        <v>2894</v>
      </c>
      <c r="J1211" t="e">
        <f>VLOOKUP(F1211,[1]!china_towns_second__2[[Column1]:[Y]],3,FALSE)</f>
        <v>#N/A</v>
      </c>
      <c r="K1211" t="e">
        <f>VLOOKUP(F1211,[1]!china_towns_second__2[[Column1]:[Y]],2,FALSE)</f>
        <v>#N/A</v>
      </c>
      <c r="L1211" t="s">
        <v>4783</v>
      </c>
      <c r="M1211" t="str">
        <f>VLOOKUP(H1211,CHOOSE({1,2},Table12[Native],Table12[Name]),2,0)</f>
        <v>Píngchéng Qū</v>
      </c>
      <c r="N1211" s="13" t="str">
        <f>VLOOKUP(I1211,CHOOSE({1,2},Table12[Native],Table12[Name]),2,0)</f>
        <v>Dàtóng Shì</v>
      </c>
      <c r="O1211" s="13" t="str">
        <f t="shared" si="36"/>
        <v>Xinwang Xiang (Dàtóng Shì)</v>
      </c>
      <c r="P1211" s="13" t="str">
        <f t="shared" si="37"/>
        <v>Xinwang Xiang (Dàtóng Shì)</v>
      </c>
    </row>
    <row r="1212" spans="1:16" hidden="1" x14ac:dyDescent="0.25">
      <c r="A1212" t="s">
        <v>1686</v>
      </c>
      <c r="B1212" t="str">
        <f>IF(COUNTIF(A:A,A1212)&gt;1,_xlfn.CONCAT(A1212," (",N1212,")"),A1212)</f>
        <v>Xīnyì Jiēdào</v>
      </c>
      <c r="C1212" t="str">
        <f>IF(COUNTIF(B:B,B1212)&gt;1,_xlfn.CONCAT(A1212," (",M1212,")"),B1212)</f>
        <v>Xīnyì Jiēdào</v>
      </c>
      <c r="D1212" t="s">
        <v>1687</v>
      </c>
      <c r="E1212" t="s">
        <v>31</v>
      </c>
      <c r="F1212" t="str">
        <f>_xlfn.CONCAT(D1212,", ",H1212,", ",I1212,", ","山西省")</f>
        <v>新义街道, 孝义市, 吕梁市, 山西省</v>
      </c>
      <c r="G1212">
        <v>110545</v>
      </c>
      <c r="H1212" t="s">
        <v>2957</v>
      </c>
      <c r="I1212" t="s">
        <v>2946</v>
      </c>
      <c r="J1212">
        <f>VLOOKUP(F1212,[1]!china_towns_second__2[[Column1]:[Y]],3,FALSE)</f>
        <v>37.130581612046498</v>
      </c>
      <c r="K1212">
        <f>VLOOKUP(F1212,[1]!china_towns_second__2[[Column1]:[Y]],2,FALSE)</f>
        <v>111.7643374</v>
      </c>
      <c r="L1212" t="s">
        <v>4784</v>
      </c>
      <c r="M1212" t="str">
        <f>VLOOKUP(H1212,CHOOSE({1,2},Table12[Native],Table12[Name]),2,0)</f>
        <v>Xiàoyì Shì</v>
      </c>
      <c r="N1212" s="13" t="str">
        <f>VLOOKUP(I1212,CHOOSE({1,2},Table12[Native],Table12[Name]),2,0)</f>
        <v>Lǚliáng Shì</v>
      </c>
      <c r="O1212" s="13" t="str">
        <f t="shared" si="36"/>
        <v>Xinyi Jiedao (Lǚliáng Shì)</v>
      </c>
      <c r="P1212" s="13" t="str">
        <f t="shared" si="37"/>
        <v>Xinyi Jiedao (Lǚliáng Shì)</v>
      </c>
    </row>
    <row r="1213" spans="1:16" hidden="1" x14ac:dyDescent="0.25">
      <c r="A1213" t="s">
        <v>1688</v>
      </c>
      <c r="B1213" t="str">
        <f>IF(COUNTIF(A:A,A1213)&gt;1,_xlfn.CONCAT(A1213," (",N1213,")"),A1213)</f>
        <v>Xìnyì Zhèn</v>
      </c>
      <c r="C1213" t="str">
        <f>IF(COUNTIF(B:B,B1213)&gt;1,_xlfn.CONCAT(A1213," (",M1213,")"),B1213)</f>
        <v>Xìnyì Zhèn</v>
      </c>
      <c r="D1213" t="s">
        <v>1689</v>
      </c>
      <c r="E1213" t="s">
        <v>7</v>
      </c>
      <c r="F1213" t="str">
        <f>_xlfn.CONCAT(D1213,", ",H1213,", ",I1213,", ","山西省")</f>
        <v>信义镇, 离石区, 吕梁市, 山西省</v>
      </c>
      <c r="G1213">
        <v>9689</v>
      </c>
      <c r="H1213" t="s">
        <v>2953</v>
      </c>
      <c r="I1213" t="s">
        <v>2946</v>
      </c>
      <c r="J1213">
        <f>VLOOKUP(F1213,[1]!china_towns_second__2[[Column1]:[Y]],3,FALSE)</f>
        <v>37.6053123383059</v>
      </c>
      <c r="K1213">
        <f>VLOOKUP(F1213,[1]!china_towns_second__2[[Column1]:[Y]],2,FALSE)</f>
        <v>111.38415019999999</v>
      </c>
      <c r="L1213" t="s">
        <v>4785</v>
      </c>
      <c r="M1213" t="str">
        <f>VLOOKUP(H1213,CHOOSE({1,2},Table12[Native],Table12[Name]),2,0)</f>
        <v>Líshí Qū</v>
      </c>
      <c r="N1213" s="13" t="str">
        <f>VLOOKUP(I1213,CHOOSE({1,2},Table12[Native],Table12[Name]),2,0)</f>
        <v>Lǚliáng Shì</v>
      </c>
      <c r="O1213" s="13" t="str">
        <f t="shared" si="36"/>
        <v>Xinyi Zhen (Lǚliáng Shì)</v>
      </c>
      <c r="P1213" s="13" t="str">
        <f t="shared" si="37"/>
        <v>Xinyi Zhen (Lǚliáng Shì)</v>
      </c>
    </row>
    <row r="1214" spans="1:16" hidden="1" x14ac:dyDescent="0.25">
      <c r="A1214" t="s">
        <v>2412</v>
      </c>
      <c r="B1214" t="str">
        <f>IF(COUNTIF(A:A,A1214)&gt;1,_xlfn.CONCAT(A1214," (",N1214,")"),A1214)</f>
        <v>Xīnyuán Xiāng</v>
      </c>
      <c r="C1214" t="str">
        <f>IF(COUNTIF(B:B,B1214)&gt;1,_xlfn.CONCAT(A1214," (",M1214,")"),B1214)</f>
        <v>Xīnyuán Xiāng</v>
      </c>
      <c r="D1214" t="s">
        <v>2413</v>
      </c>
      <c r="E1214" t="s">
        <v>17</v>
      </c>
      <c r="F1214" t="str">
        <f>_xlfn.CONCAT(D1214,", ",H1214,", ",I1214,", ","山西省")</f>
        <v>新原乡, 原平市, 忻州市, 山西省</v>
      </c>
      <c r="G1214">
        <v>44058</v>
      </c>
      <c r="H1214" t="s">
        <v>2995</v>
      </c>
      <c r="I1214" t="s">
        <v>2981</v>
      </c>
      <c r="J1214" t="e">
        <f>VLOOKUP(F1214,[1]!china_towns_second__2[[Column1]:[Y]],3,FALSE)</f>
        <v>#N/A</v>
      </c>
      <c r="K1214" t="e">
        <f>VLOOKUP(F1214,[1]!china_towns_second__2[[Column1]:[Y]],2,FALSE)</f>
        <v>#N/A</v>
      </c>
      <c r="L1214" t="s">
        <v>4786</v>
      </c>
      <c r="M1214" t="str">
        <f>VLOOKUP(H1214,CHOOSE({1,2},Table12[Native],Table12[Name]),2,0)</f>
        <v>Yuánpíng Shì</v>
      </c>
      <c r="N1214" s="13" t="str">
        <f>VLOOKUP(I1214,CHOOSE({1,2},Table12[Native],Table12[Name]),2,0)</f>
        <v>Xīnzhōu Shì</v>
      </c>
      <c r="O1214" s="13" t="str">
        <f t="shared" si="36"/>
        <v>Xinyuan Xiang (Xīnzhōu Shì)</v>
      </c>
      <c r="P1214" s="13" t="str">
        <f t="shared" si="37"/>
        <v>Xinyuan Xiang (Xīnzhōu Shì)</v>
      </c>
    </row>
    <row r="1215" spans="1:16" hidden="1" x14ac:dyDescent="0.25">
      <c r="A1215" t="s">
        <v>2414</v>
      </c>
      <c r="B1215" t="str">
        <f>IF(COUNTIF(A:A,A1215)&gt;1,_xlfn.CONCAT(A1215," (",N1215,")"),A1215)</f>
        <v>Xīnzhài Xiāng</v>
      </c>
      <c r="C1215" t="str">
        <f>IF(COUNTIF(B:B,B1215)&gt;1,_xlfn.CONCAT(A1215," (",M1215,")"),B1215)</f>
        <v>Xīnzhài Xiāng</v>
      </c>
      <c r="D1215" t="s">
        <v>2415</v>
      </c>
      <c r="E1215" t="s">
        <v>17</v>
      </c>
      <c r="F1215" t="str">
        <f>_xlfn.CONCAT(D1215,", ",H1215,", ",I1215,", ","山西省")</f>
        <v>新寨乡, 五寨县, 忻州市, 山西省</v>
      </c>
      <c r="G1215">
        <v>5026</v>
      </c>
      <c r="H1215" t="s">
        <v>2993</v>
      </c>
      <c r="I1215" t="s">
        <v>2981</v>
      </c>
      <c r="J1215" t="e">
        <f>VLOOKUP(F1215,[1]!china_towns_second__2[[Column1]:[Y]],3,FALSE)</f>
        <v>#N/A</v>
      </c>
      <c r="K1215" t="e">
        <f>VLOOKUP(F1215,[1]!china_towns_second__2[[Column1]:[Y]],2,FALSE)</f>
        <v>#N/A</v>
      </c>
      <c r="L1215" t="s">
        <v>4787</v>
      </c>
      <c r="M1215" t="str">
        <f>VLOOKUP(H1215,CHOOSE({1,2},Table12[Native],Table12[Name]),2,0)</f>
        <v>Wŭzhài Xiàn</v>
      </c>
      <c r="N1215" s="13" t="str">
        <f>VLOOKUP(I1215,CHOOSE({1,2},Table12[Native],Table12[Name]),2,0)</f>
        <v>Xīnzhōu Shì</v>
      </c>
      <c r="O1215" s="13" t="str">
        <f t="shared" si="36"/>
        <v>Xinzhai Xiang (Xīnzhōu Shì)</v>
      </c>
      <c r="P1215" s="13" t="str">
        <f t="shared" si="37"/>
        <v>Xinzhai Xiang (Xīnzhōu Shì)</v>
      </c>
    </row>
    <row r="1216" spans="1:16" hidden="1" x14ac:dyDescent="0.25">
      <c r="A1216" t="s">
        <v>1359</v>
      </c>
      <c r="B1216" t="str">
        <f>IF(COUNTIF(A:A,A1216)&gt;1,_xlfn.CONCAT(A1216," (",N1216,")"),A1216)</f>
        <v>Xīnzhì Zhèn</v>
      </c>
      <c r="C1216" t="str">
        <f>IF(COUNTIF(B:B,B1216)&gt;1,_xlfn.CONCAT(A1216," (",M1216,")"),B1216)</f>
        <v>Xīnzhì Zhèn</v>
      </c>
      <c r="D1216" t="s">
        <v>1360</v>
      </c>
      <c r="E1216" t="s">
        <v>7</v>
      </c>
      <c r="F1216" t="str">
        <f>_xlfn.CONCAT(D1216,", ",H1216,", ",I1216,", ","山西省")</f>
        <v>辛置镇, 霍州市, 临汾市, 山西省</v>
      </c>
      <c r="G1216">
        <v>48543</v>
      </c>
      <c r="H1216" t="s">
        <v>2935</v>
      </c>
      <c r="I1216" t="s">
        <v>2927</v>
      </c>
      <c r="J1216">
        <f>VLOOKUP(F1216,[1]!china_towns_second__2[[Column1]:[Y]],3,FALSE)</f>
        <v>36.507421965833998</v>
      </c>
      <c r="K1216">
        <f>VLOOKUP(F1216,[1]!china_towns_second__2[[Column1]:[Y]],2,FALSE)</f>
        <v>111.72930700000001</v>
      </c>
      <c r="L1216" t="s">
        <v>4788</v>
      </c>
      <c r="M1216" t="str">
        <f>VLOOKUP(H1216,CHOOSE({1,2},Table12[Native],Table12[Name]),2,0)</f>
        <v>Huòzhōu Shì</v>
      </c>
      <c r="N1216" s="13" t="str">
        <f>VLOOKUP(I1216,CHOOSE({1,2},Table12[Native],Table12[Name]),2,0)</f>
        <v>Línfén Shì</v>
      </c>
      <c r="O1216" s="13" t="str">
        <f t="shared" si="36"/>
        <v>Xinzhi Zhen (Línfén Shì)</v>
      </c>
      <c r="P1216" s="13" t="str">
        <f t="shared" si="37"/>
        <v>Xinzhi Zhen (Línfén Shì)</v>
      </c>
    </row>
    <row r="1217" spans="1:16" hidden="1" x14ac:dyDescent="0.25">
      <c r="A1217" t="s">
        <v>573</v>
      </c>
      <c r="B1217" t="str">
        <f>IF(COUNTIF(A:A,A1217)&gt;1,_xlfn.CONCAT(A1217," (",N1217,")"),A1217)</f>
        <v>Xīnzhōuyáo Jiēdào</v>
      </c>
      <c r="C1217" t="str">
        <f>IF(COUNTIF(B:B,B1217)&gt;1,_xlfn.CONCAT(A1217," (",M1217,")"),B1217)</f>
        <v>Xīnzhōuyáo Jiēdào</v>
      </c>
      <c r="D1217" t="s">
        <v>574</v>
      </c>
      <c r="E1217" t="s">
        <v>31</v>
      </c>
      <c r="F1217" t="str">
        <f>_xlfn.CONCAT(D1217,", ",H1217,", ",I1217,", ","山西省")</f>
        <v>忻州窑街道, 云冈区, 大同市, 山西省</v>
      </c>
      <c r="G1217">
        <v>5330</v>
      </c>
      <c r="H1217" t="s">
        <v>2902</v>
      </c>
      <c r="I1217" t="s">
        <v>2894</v>
      </c>
      <c r="J1217" t="e">
        <f>VLOOKUP(F1217,[1]!china_towns_second__2[[Column1]:[Y]],3,FALSE)</f>
        <v>#N/A</v>
      </c>
      <c r="K1217" t="e">
        <f>VLOOKUP(F1217,[1]!china_towns_second__2[[Column1]:[Y]],2,FALSE)</f>
        <v>#N/A</v>
      </c>
      <c r="L1217" t="s">
        <v>4789</v>
      </c>
      <c r="M1217" t="str">
        <f>VLOOKUP(H1217,CHOOSE({1,2},Table12[Native],Table12[Name]),2,0)</f>
        <v>Yúngāng Qū</v>
      </c>
      <c r="N1217" s="13" t="str">
        <f>VLOOKUP(I1217,CHOOSE({1,2},Table12[Native],Table12[Name]),2,0)</f>
        <v>Dàtóng Shì</v>
      </c>
      <c r="O1217" s="13" t="str">
        <f t="shared" si="36"/>
        <v>Xinzhouyao Jiedao (Dàtóng Shì)</v>
      </c>
      <c r="P1217" s="13" t="str">
        <f t="shared" si="37"/>
        <v>Xinzhouyao Jiedao (Dàtóng Shì)</v>
      </c>
    </row>
    <row r="1218" spans="1:16" hidden="1" x14ac:dyDescent="0.25">
      <c r="A1218" t="s">
        <v>2562</v>
      </c>
      <c r="B1218" t="str">
        <f>IF(COUNTIF(A:A,A1218)&gt;1,_xlfn.CONCAT(A1218," (",N1218,")"),A1218)</f>
        <v>Xīpān Xiāng</v>
      </c>
      <c r="C1218" t="str">
        <f>IF(COUNTIF(B:B,B1218)&gt;1,_xlfn.CONCAT(A1218," (",M1218,")"),B1218)</f>
        <v>Xīpān Xiāng</v>
      </c>
      <c r="D1218" t="s">
        <v>2563</v>
      </c>
      <c r="E1218" t="s">
        <v>17</v>
      </c>
      <c r="F1218" t="str">
        <f>_xlfn.CONCAT(D1218,", ",H1218,", ",I1218,", ","山西省")</f>
        <v>西潘乡, 盂县, 阳泉市, 山西省</v>
      </c>
      <c r="G1218">
        <v>7983</v>
      </c>
      <c r="H1218" t="s">
        <v>3001</v>
      </c>
      <c r="I1218" t="s">
        <v>2997</v>
      </c>
      <c r="J1218" t="e">
        <f>VLOOKUP(F1218,[1]!china_towns_second__2[[Column1]:[Y]],3,FALSE)</f>
        <v>#N/A</v>
      </c>
      <c r="K1218" t="e">
        <f>VLOOKUP(F1218,[1]!china_towns_second__2[[Column1]:[Y]],2,FALSE)</f>
        <v>#N/A</v>
      </c>
      <c r="L1218" t="s">
        <v>4790</v>
      </c>
      <c r="M1218" t="str">
        <f>VLOOKUP(H1218,CHOOSE({1,2},Table12[Native],Table12[Name]),2,0)</f>
        <v>Yú Xiàn</v>
      </c>
      <c r="N1218" s="13" t="str">
        <f>VLOOKUP(I1218,CHOOSE({1,2},Table12[Native],Table12[Name]),2,0)</f>
        <v>Yángquán Shì</v>
      </c>
      <c r="O1218" s="13" t="str">
        <f t="shared" ref="O1218:O1281" si="38">_xlfn.CONCAT(L1218," (",N1218,")")</f>
        <v>Xipan Xiang (Yángquán Shì)</v>
      </c>
      <c r="P1218" s="13" t="str">
        <f t="shared" ref="P1218:P1281" si="39">IF(COUNTIF(O:O,O1218)&gt;1,_xlfn.CONCAT(L1218," (",M1218,")"),O1218)</f>
        <v>Xipan Xiang (Yángquán Shì)</v>
      </c>
    </row>
    <row r="1219" spans="1:16" hidden="1" x14ac:dyDescent="0.25">
      <c r="A1219" t="s">
        <v>575</v>
      </c>
      <c r="B1219" t="str">
        <f>IF(COUNTIF(A:A,A1219)&gt;1,_xlfn.CONCAT(A1219," (",N1219,")"),A1219)</f>
        <v>Xīpíng Zhèn</v>
      </c>
      <c r="C1219" t="str">
        <f>IF(COUNTIF(B:B,B1219)&gt;1,_xlfn.CONCAT(A1219," (",M1219,")"),B1219)</f>
        <v>Xīpíng Zhèn</v>
      </c>
      <c r="D1219" t="s">
        <v>576</v>
      </c>
      <c r="E1219" t="s">
        <v>7</v>
      </c>
      <c r="F1219" t="str">
        <f>_xlfn.CONCAT(D1219,", ",H1219,", ",I1219,", ","山西省")</f>
        <v>西坪镇, 云州区, 大同市, 山西省</v>
      </c>
      <c r="G1219">
        <v>27732</v>
      </c>
      <c r="H1219" t="s">
        <v>2903</v>
      </c>
      <c r="I1219" t="s">
        <v>2894</v>
      </c>
      <c r="J1219">
        <f>VLOOKUP(F1219,[1]!china_towns_second__2[[Column1]:[Y]],3,FALSE)</f>
        <v>40.070805801073902</v>
      </c>
      <c r="K1219">
        <f>VLOOKUP(F1219,[1]!china_towns_second__2[[Column1]:[Y]],2,FALSE)</f>
        <v>113.5718806</v>
      </c>
      <c r="L1219" t="s">
        <v>4791</v>
      </c>
      <c r="M1219" t="str">
        <f>VLOOKUP(H1219,CHOOSE({1,2},Table12[Native],Table12[Name]),2,0)</f>
        <v>Yúnzhōu Qū</v>
      </c>
      <c r="N1219" s="13" t="str">
        <f>VLOOKUP(I1219,CHOOSE({1,2},Table12[Native],Table12[Name]),2,0)</f>
        <v>Dàtóng Shì</v>
      </c>
      <c r="O1219" s="13" t="str">
        <f t="shared" si="38"/>
        <v>Xiping Zhen (Dàtóng Shì)</v>
      </c>
      <c r="P1219" s="13" t="str">
        <f t="shared" si="39"/>
        <v>Xiping Zhen (Dàtóng Shì)</v>
      </c>
    </row>
    <row r="1220" spans="1:16" hidden="1" x14ac:dyDescent="0.25">
      <c r="A1220" t="s">
        <v>1361</v>
      </c>
      <c r="B1220" t="str">
        <f>IF(COUNTIF(A:A,A1220)&gt;1,_xlfn.CONCAT(A1220," (",N1220,")"),A1220)</f>
        <v>Xīpō Zhèn</v>
      </c>
      <c r="C1220" t="str">
        <f>IF(COUNTIF(B:B,B1220)&gt;1,_xlfn.CONCAT(A1220," (",M1220,")"),B1220)</f>
        <v>Xīpō Zhèn</v>
      </c>
      <c r="D1220" t="s">
        <v>1362</v>
      </c>
      <c r="E1220" t="s">
        <v>7</v>
      </c>
      <c r="F1220" t="str">
        <f>_xlfn.CONCAT(D1220,", ",H1220,", ",I1220,", ","山西省")</f>
        <v>西坡镇, 乡宁县, 临汾市, 山西省</v>
      </c>
      <c r="G1220">
        <v>15755</v>
      </c>
      <c r="H1220" t="s">
        <v>2940</v>
      </c>
      <c r="I1220" t="s">
        <v>2927</v>
      </c>
      <c r="J1220">
        <f>VLOOKUP(F1220,[1]!china_towns_second__2[[Column1]:[Y]],3,FALSE)</f>
        <v>35.795361019971402</v>
      </c>
      <c r="K1220">
        <f>VLOOKUP(F1220,[1]!china_towns_second__2[[Column1]:[Y]],2,FALSE)</f>
        <v>110.71745490000001</v>
      </c>
      <c r="L1220" t="s">
        <v>4792</v>
      </c>
      <c r="M1220" t="str">
        <f>VLOOKUP(H1220,CHOOSE({1,2},Table12[Native],Table12[Name]),2,0)</f>
        <v>Xiāngníng Xiàn</v>
      </c>
      <c r="N1220" s="13" t="str">
        <f>VLOOKUP(I1220,CHOOSE({1,2},Table12[Native],Table12[Name]),2,0)</f>
        <v>Línfén Shì</v>
      </c>
      <c r="O1220" s="13" t="str">
        <f t="shared" si="38"/>
        <v>Xipo Zhen (Línfén Shì)</v>
      </c>
      <c r="P1220" s="13" t="str">
        <f t="shared" si="39"/>
        <v>Xipo Zhen (Línfén Shì)</v>
      </c>
    </row>
    <row r="1221" spans="1:16" hidden="1" x14ac:dyDescent="0.25">
      <c r="A1221" t="s">
        <v>2070</v>
      </c>
      <c r="B1221" t="str">
        <f>IF(COUNTIF(A:A,A1221)&gt;1,_xlfn.CONCAT(A1221," (",N1221,")"),A1221)</f>
        <v>Xīqŭ Jiēdào</v>
      </c>
      <c r="C1221" t="str">
        <f>IF(COUNTIF(B:B,B1221)&gt;1,_xlfn.CONCAT(A1221," (",M1221,")"),B1221)</f>
        <v>Xīqŭ Jiēdào</v>
      </c>
      <c r="D1221" t="s">
        <v>2071</v>
      </c>
      <c r="E1221" t="s">
        <v>31</v>
      </c>
      <c r="F1221" t="str">
        <f>_xlfn.CONCAT(D1221,", ",H1221,", ",I1221,", ","山西省")</f>
        <v>西曲街道, 古交市, 太原市, 山西省</v>
      </c>
      <c r="G1221">
        <v>16446</v>
      </c>
      <c r="H1221" t="s">
        <v>2970</v>
      </c>
      <c r="I1221" t="s">
        <v>2969</v>
      </c>
      <c r="J1221">
        <f>VLOOKUP(F1221,[1]!china_towns_second__2[[Column1]:[Y]],3,FALSE)</f>
        <v>37.937868466095601</v>
      </c>
      <c r="K1221">
        <f>VLOOKUP(F1221,[1]!china_towns_second__2[[Column1]:[Y]],2,FALSE)</f>
        <v>112.1413426</v>
      </c>
      <c r="L1221" t="s">
        <v>4793</v>
      </c>
      <c r="M1221" t="str">
        <f>VLOOKUP(H1221,CHOOSE({1,2},Table12[Native],Table12[Name]),2,0)</f>
        <v>Gŭjiāo Shì</v>
      </c>
      <c r="N1221" s="13" t="str">
        <f>VLOOKUP(I1221,CHOOSE({1,2},Table12[Native],Table12[Name]),2,0)</f>
        <v>Tàiyuán Shì</v>
      </c>
      <c r="O1221" s="13" t="str">
        <f t="shared" si="38"/>
        <v>Xiqu Jiedao (Tàiyuán Shì)</v>
      </c>
      <c r="P1221" s="13" t="str">
        <f t="shared" si="39"/>
        <v>Xiqu Jiedao (Tàiyuán Shì)</v>
      </c>
    </row>
    <row r="1222" spans="1:16" hidden="1" x14ac:dyDescent="0.25">
      <c r="A1222" t="s">
        <v>759</v>
      </c>
      <c r="B1222" t="str">
        <f>IF(COUNTIF(A:A,A1222)&gt;1,_xlfn.CONCAT(A1222," (",N1222,")"),A1222)</f>
        <v>Xīshàngzhuāng Jiēdào</v>
      </c>
      <c r="C1222" t="str">
        <f>IF(COUNTIF(B:B,B1222)&gt;1,_xlfn.CONCAT(A1222," (",M1222,")"),B1222)</f>
        <v>Xīshàngzhuāng Jiēdào</v>
      </c>
      <c r="D1222" t="s">
        <v>760</v>
      </c>
      <c r="E1222" t="s">
        <v>31</v>
      </c>
      <c r="F1222" t="str">
        <f>_xlfn.CONCAT(D1222,", ",H1222,", ",I1222,", ","山西省")</f>
        <v>西上庄街道, 城区, 晋城市, 山西省</v>
      </c>
      <c r="G1222">
        <v>36460</v>
      </c>
      <c r="H1222" t="s">
        <v>814</v>
      </c>
      <c r="I1222" t="s">
        <v>2906</v>
      </c>
      <c r="J1222">
        <f>VLOOKUP(F1222,[1]!china_towns_second__2[[Column1]:[Y]],3,FALSE)</f>
        <v>35.525892203879899</v>
      </c>
      <c r="K1222">
        <f>VLOOKUP(F1222,[1]!china_towns_second__2[[Column1]:[Y]],2,FALSE)</f>
        <v>112.7984507</v>
      </c>
      <c r="L1222" t="s">
        <v>4794</v>
      </c>
      <c r="M1222" t="str">
        <f>VLOOKUP(H1222,CHOOSE({1,2},Table12[Native],Table12[Name]),2,0)</f>
        <v>Chéng Qū</v>
      </c>
      <c r="N1222" s="13" t="str">
        <f>VLOOKUP(I1222,CHOOSE({1,2},Table12[Native],Table12[Name]),2,0)</f>
        <v>Jìnchéng Shì</v>
      </c>
      <c r="O1222" s="13" t="str">
        <f t="shared" si="38"/>
        <v>Xishangzhuang Jiedao (Jìnchéng Shì)</v>
      </c>
      <c r="P1222" s="13" t="str">
        <f t="shared" si="39"/>
        <v>Xishangzhuang Jiedao (Jìnchéng Shì)</v>
      </c>
    </row>
    <row r="1223" spans="1:16" hidden="1" x14ac:dyDescent="0.25">
      <c r="A1223" t="s">
        <v>1690</v>
      </c>
      <c r="B1223" t="str">
        <f>IF(COUNTIF(A:A,A1223)&gt;1,_xlfn.CONCAT(A1223," (",N1223,")"),A1223)</f>
        <v>Xīshè Zhèn (Lǚliáng Shì)</v>
      </c>
      <c r="C1223" t="str">
        <f>IF(COUNTIF(B:B,B1223)&gt;1,_xlfn.CONCAT(A1223," (",M1223,")"),B1223)</f>
        <v>Xīshè Zhèn (Lǚliáng Shì)</v>
      </c>
      <c r="D1223" t="s">
        <v>1691</v>
      </c>
      <c r="E1223" t="s">
        <v>7</v>
      </c>
      <c r="F1223" t="str">
        <f>_xlfn.CONCAT(D1223,", ",H1223,", ",I1223,", ","山西省")</f>
        <v>西社镇, 交城县, 吕梁市, 山西省</v>
      </c>
      <c r="G1223">
        <v>10695</v>
      </c>
      <c r="H1223" t="s">
        <v>2949</v>
      </c>
      <c r="I1223" t="s">
        <v>2946</v>
      </c>
      <c r="J1223">
        <f>VLOOKUP(F1223,[1]!china_towns_second__2[[Column1]:[Y]],3,FALSE)</f>
        <v>37.549847162718002</v>
      </c>
      <c r="K1223">
        <f>VLOOKUP(F1223,[1]!china_towns_second__2[[Column1]:[Y]],2,FALSE)</f>
        <v>111.9396649</v>
      </c>
      <c r="L1223" t="s">
        <v>4795</v>
      </c>
      <c r="M1223" t="str">
        <f>VLOOKUP(H1223,CHOOSE({1,2},Table12[Native],Table12[Name]),2,0)</f>
        <v>Jiāochéng Xiàn</v>
      </c>
      <c r="N1223" s="13" t="str">
        <f>VLOOKUP(I1223,CHOOSE({1,2},Table12[Native],Table12[Name]),2,0)</f>
        <v>Lǚliáng Shì</v>
      </c>
      <c r="O1223" s="13" t="str">
        <f t="shared" si="38"/>
        <v>Xishe Zhen (Luliang Shi) (Lǚliáng Shì)</v>
      </c>
      <c r="P1223" s="13" t="str">
        <f t="shared" si="39"/>
        <v>Xishe Zhen (Luliang Shi) (Lǚliáng Shì)</v>
      </c>
    </row>
    <row r="1224" spans="1:16" hidden="1" x14ac:dyDescent="0.25">
      <c r="A1224" t="s">
        <v>1690</v>
      </c>
      <c r="B1224" t="str">
        <f>IF(COUNTIF(A:A,A1224)&gt;1,_xlfn.CONCAT(A1224," (",N1224,")"),A1224)</f>
        <v>Xīshè Zhèn (Yùnchéng Shì)</v>
      </c>
      <c r="C1224" t="str">
        <f>IF(COUNTIF(B:B,B1224)&gt;1,_xlfn.CONCAT(A1224," (",M1224,")"),B1224)</f>
        <v>Xīshè Zhèn (Yùnchéng Shì)</v>
      </c>
      <c r="D1224" t="s">
        <v>1691</v>
      </c>
      <c r="E1224" t="s">
        <v>7</v>
      </c>
      <c r="F1224" t="str">
        <f>_xlfn.CONCAT(D1224,", ",H1224,", ",I1224,", ","山西省")</f>
        <v>西社镇, 稷山县, 运城市, 山西省</v>
      </c>
      <c r="G1224">
        <v>28334</v>
      </c>
      <c r="H1224" t="s">
        <v>3006</v>
      </c>
      <c r="I1224" t="s">
        <v>3003</v>
      </c>
      <c r="J1224">
        <f>VLOOKUP(F1224,[1]!china_towns_second__2[[Column1]:[Y]],3,FALSE)</f>
        <v>35.701796121606101</v>
      </c>
      <c r="K1224">
        <f>VLOOKUP(F1224,[1]!china_towns_second__2[[Column1]:[Y]],2,FALSE)</f>
        <v>110.987574</v>
      </c>
      <c r="L1224" t="s">
        <v>4796</v>
      </c>
      <c r="M1224" t="str">
        <f>VLOOKUP(H1224,CHOOSE({1,2},Table12[Native],Table12[Name]),2,0)</f>
        <v>Jìshān Xiàn</v>
      </c>
      <c r="N1224" s="13" t="str">
        <f>VLOOKUP(I1224,CHOOSE({1,2},Table12[Native],Table12[Name]),2,0)</f>
        <v>Yùnchéng Shì</v>
      </c>
      <c r="O1224" s="13" t="str">
        <f t="shared" si="38"/>
        <v>Xishe Zhen (Yuncheng Shi) (Yùnchéng Shì)</v>
      </c>
      <c r="P1224" s="13" t="str">
        <f t="shared" si="39"/>
        <v>Xishe Zhen (Yuncheng Shi) (Yùnchéng Shì)</v>
      </c>
    </row>
    <row r="1225" spans="1:16" hidden="1" x14ac:dyDescent="0.25">
      <c r="A1225" t="s">
        <v>1692</v>
      </c>
      <c r="B1225" t="str">
        <f>IF(COUNTIF(A:A,A1225)&gt;1,_xlfn.CONCAT(A1225," (",N1225,")"),A1225)</f>
        <v>Xīshŭbā Jiēdào</v>
      </c>
      <c r="C1225" t="str">
        <f>IF(COUNTIF(B:B,B1225)&gt;1,_xlfn.CONCAT(A1225," (",M1225,")"),B1225)</f>
        <v>Xīshŭbā Jiēdào</v>
      </c>
      <c r="D1225" t="s">
        <v>1693</v>
      </c>
      <c r="E1225" t="s">
        <v>31</v>
      </c>
      <c r="F1225" t="str">
        <f>_xlfn.CONCAT(D1225,", ",H1225,", ",I1225,", ","山西省")</f>
        <v>西属巴街道, 离石区, 吕梁市, 山西省</v>
      </c>
      <c r="G1225">
        <v>18383</v>
      </c>
      <c r="H1225" t="s">
        <v>2953</v>
      </c>
      <c r="I1225" t="s">
        <v>2946</v>
      </c>
      <c r="J1225">
        <f>VLOOKUP(F1225,[1]!china_towns_second__2[[Column1]:[Y]],3,FALSE)</f>
        <v>37.609265562722797</v>
      </c>
      <c r="K1225">
        <f>VLOOKUP(F1225,[1]!china_towns_second__2[[Column1]:[Y]],2,FALSE)</f>
        <v>111.1290767</v>
      </c>
      <c r="L1225" t="s">
        <v>4797</v>
      </c>
      <c r="M1225" t="str">
        <f>VLOOKUP(H1225,CHOOSE({1,2},Table12[Native],Table12[Name]),2,0)</f>
        <v>Líshí Qū</v>
      </c>
      <c r="N1225" s="13" t="str">
        <f>VLOOKUP(I1225,CHOOSE({1,2},Table12[Native],Table12[Name]),2,0)</f>
        <v>Lǚliáng Shì</v>
      </c>
      <c r="O1225" s="13" t="str">
        <f t="shared" si="38"/>
        <v>Xishuba Jiedao (Lǚliáng Shì)</v>
      </c>
      <c r="P1225" s="13" t="str">
        <f t="shared" si="39"/>
        <v>Xishuba Jiedao (Lǚliáng Shì)</v>
      </c>
    </row>
    <row r="1226" spans="1:16" hidden="1" x14ac:dyDescent="0.25">
      <c r="A1226" t="s">
        <v>1850</v>
      </c>
      <c r="B1226" t="str">
        <f>IF(COUNTIF(A:A,A1226)&gt;1,_xlfn.CONCAT(A1226," (",N1226,")"),A1226)</f>
        <v>Xīshuĭjiè Xiāng</v>
      </c>
      <c r="C1226" t="str">
        <f>IF(COUNTIF(B:B,B1226)&gt;1,_xlfn.CONCAT(A1226," (",M1226,")"),B1226)</f>
        <v>Xīshuĭjiè Xiāng</v>
      </c>
      <c r="D1226" t="s">
        <v>1851</v>
      </c>
      <c r="E1226" t="s">
        <v>17</v>
      </c>
      <c r="F1226" t="str">
        <f>_xlfn.CONCAT(D1226,", ",H1226,", ",I1226,", ","山西省")</f>
        <v>西水界乡, 平鲁区, 朔州市, 山西省</v>
      </c>
      <c r="G1226">
        <v>4768</v>
      </c>
      <c r="H1226" t="s">
        <v>2963</v>
      </c>
      <c r="I1226" t="s">
        <v>2961</v>
      </c>
      <c r="J1226" t="e">
        <f>VLOOKUP(F1226,[1]!china_towns_second__2[[Column1]:[Y]],3,FALSE)</f>
        <v>#N/A</v>
      </c>
      <c r="K1226" t="e">
        <f>VLOOKUP(F1226,[1]!china_towns_second__2[[Column1]:[Y]],2,FALSE)</f>
        <v>#N/A</v>
      </c>
      <c r="L1226" t="s">
        <v>4798</v>
      </c>
      <c r="M1226" t="str">
        <f>VLOOKUP(H1226,CHOOSE({1,2},Table12[Native],Table12[Name]),2,0)</f>
        <v>Pínglŭ Qū</v>
      </c>
      <c r="N1226" s="13" t="str">
        <f>VLOOKUP(I1226,CHOOSE({1,2},Table12[Native],Table12[Name]),2,0)</f>
        <v>Shuòzhōu Shì</v>
      </c>
      <c r="O1226" s="13" t="str">
        <f t="shared" si="38"/>
        <v>Xishuijie Xiang (Shuòzhōu Shì)</v>
      </c>
      <c r="P1226" s="13" t="str">
        <f t="shared" si="39"/>
        <v>Xishuijie Xiang (Shuòzhōu Shì)</v>
      </c>
    </row>
    <row r="1227" spans="1:16" hidden="1" x14ac:dyDescent="0.25">
      <c r="A1227" t="s">
        <v>2416</v>
      </c>
      <c r="B1227" t="str">
        <f>IF(COUNTIF(A:A,A1227)&gt;1,_xlfn.CONCAT(A1227," (",N1227,")"),A1227)</f>
        <v>Xiùróng Jiēdào</v>
      </c>
      <c r="C1227" t="str">
        <f>IF(COUNTIF(B:B,B1227)&gt;1,_xlfn.CONCAT(A1227," (",M1227,")"),B1227)</f>
        <v>Xiùróng Jiēdào</v>
      </c>
      <c r="D1227" t="s">
        <v>2417</v>
      </c>
      <c r="E1227" t="s">
        <v>31</v>
      </c>
      <c r="F1227" t="str">
        <f>_xlfn.CONCAT(D1227,", ",H1227,", ",I1227,", ","山西省")</f>
        <v>秀容街道, 忻府区, 忻州市, 山西省</v>
      </c>
      <c r="G1227">
        <v>44863</v>
      </c>
      <c r="H1227" t="s">
        <v>2994</v>
      </c>
      <c r="I1227" t="s">
        <v>2981</v>
      </c>
      <c r="J1227">
        <f>VLOOKUP(F1227,[1]!china_towns_second__2[[Column1]:[Y]],3,FALSE)</f>
        <v>38.388458725864503</v>
      </c>
      <c r="K1227">
        <f>VLOOKUP(F1227,[1]!china_towns_second__2[[Column1]:[Y]],2,FALSE)</f>
        <v>112.7464567</v>
      </c>
      <c r="L1227" t="s">
        <v>4799</v>
      </c>
      <c r="M1227" t="str">
        <f>VLOOKUP(H1227,CHOOSE({1,2},Table12[Native],Table12[Name]),2,0)</f>
        <v>Xīnfŭ Qū</v>
      </c>
      <c r="N1227" s="13" t="str">
        <f>VLOOKUP(I1227,CHOOSE({1,2},Table12[Native],Table12[Name]),2,0)</f>
        <v>Xīnzhōu Shì</v>
      </c>
      <c r="O1227" s="13" t="str">
        <f t="shared" si="38"/>
        <v>Xiurong Jiedao (Xīnzhōu Shì)</v>
      </c>
      <c r="P1227" s="13" t="str">
        <f t="shared" si="39"/>
        <v>Xiurong Jiedao (Xīnzhōu Shì)</v>
      </c>
    </row>
    <row r="1228" spans="1:16" hidden="1" x14ac:dyDescent="0.25">
      <c r="A1228" t="s">
        <v>2564</v>
      </c>
      <c r="B1228" t="str">
        <f>IF(COUNTIF(A:A,A1228)&gt;1,_xlfn.CONCAT(A1228," (",N1228,")"),A1228)</f>
        <v>Xiùshuĭ Zhèn</v>
      </c>
      <c r="C1228" t="str">
        <f>IF(COUNTIF(B:B,B1228)&gt;1,_xlfn.CONCAT(A1228," (",M1228,")"),B1228)</f>
        <v>Xiùshuĭ Zhèn</v>
      </c>
      <c r="D1228" t="s">
        <v>2565</v>
      </c>
      <c r="E1228" t="s">
        <v>7</v>
      </c>
      <c r="F1228" t="str">
        <f>_xlfn.CONCAT(D1228,", ",H1228,", ",I1228,", ","山西省")</f>
        <v>秀水镇, 盂县, 阳泉市, 山西省</v>
      </c>
      <c r="G1228">
        <v>93013</v>
      </c>
      <c r="H1228" t="s">
        <v>3001</v>
      </c>
      <c r="I1228" t="s">
        <v>2997</v>
      </c>
      <c r="J1228">
        <f>VLOOKUP(F1228,[1]!china_towns_second__2[[Column1]:[Y]],3,FALSE)</f>
        <v>38.090188826196901</v>
      </c>
      <c r="K1228">
        <f>VLOOKUP(F1228,[1]!china_towns_second__2[[Column1]:[Y]],2,FALSE)</f>
        <v>113.3989287</v>
      </c>
      <c r="L1228" t="s">
        <v>4800</v>
      </c>
      <c r="M1228" t="str">
        <f>VLOOKUP(H1228,CHOOSE({1,2},Table12[Native],Table12[Name]),2,0)</f>
        <v>Yú Xiàn</v>
      </c>
      <c r="N1228" s="13" t="str">
        <f>VLOOKUP(I1228,CHOOSE({1,2},Table12[Native],Table12[Name]),2,0)</f>
        <v>Yángquán Shì</v>
      </c>
      <c r="O1228" s="13" t="str">
        <f t="shared" si="38"/>
        <v>Xiushui Zhen (Yángquán Shì)</v>
      </c>
      <c r="P1228" s="13" t="str">
        <f t="shared" si="39"/>
        <v>Xiushui Zhen (Yángquán Shì)</v>
      </c>
    </row>
    <row r="1229" spans="1:16" hidden="1" x14ac:dyDescent="0.25">
      <c r="A1229" t="s">
        <v>1016</v>
      </c>
      <c r="B1229" t="str">
        <f>IF(COUNTIF(A:A,A1229)&gt;1,_xlfn.CONCAT(A1229," (",N1229,")"),A1229)</f>
        <v>Xiūwén Zhèn</v>
      </c>
      <c r="C1229" t="str">
        <f>IF(COUNTIF(B:B,B1229)&gt;1,_xlfn.CONCAT(A1229," (",M1229,")"),B1229)</f>
        <v>Xiūwén Zhèn</v>
      </c>
      <c r="D1229" t="s">
        <v>1017</v>
      </c>
      <c r="E1229" t="s">
        <v>7</v>
      </c>
      <c r="F1229" t="str">
        <f>_xlfn.CONCAT(D1229,", ",H1229,", ",I1229,", ","山西省")</f>
        <v>修文镇, 榆次区, 晋中市, 山西省</v>
      </c>
      <c r="G1229">
        <v>29183</v>
      </c>
      <c r="H1229" t="s">
        <v>2923</v>
      </c>
      <c r="I1229" t="s">
        <v>2914</v>
      </c>
      <c r="J1229">
        <f>VLOOKUP(F1229,[1]!china_towns_second__2[[Column1]:[Y]],3,FALSE)</f>
        <v>37.608454882287099</v>
      </c>
      <c r="K1229">
        <f>VLOOKUP(F1229,[1]!china_towns_second__2[[Column1]:[Y]],2,FALSE)</f>
        <v>112.7035771</v>
      </c>
      <c r="L1229" t="s">
        <v>4801</v>
      </c>
      <c r="M1229" t="str">
        <f>VLOOKUP(H1229,CHOOSE({1,2},Table12[Native],Table12[Name]),2,0)</f>
        <v>Yúcì Qū</v>
      </c>
      <c r="N1229" s="13" t="str">
        <f>VLOOKUP(I1229,CHOOSE({1,2},Table12[Native],Table12[Name]),2,0)</f>
        <v>Jìnzhōng Shì</v>
      </c>
      <c r="O1229" s="13" t="str">
        <f t="shared" si="38"/>
        <v>Xiuwen Zhen (Jìnzhōng Shì)</v>
      </c>
      <c r="P1229" s="13" t="str">
        <f t="shared" si="39"/>
        <v>Xiuwen Zhen (Jìnzhōng Shì)</v>
      </c>
    </row>
    <row r="1230" spans="1:16" hidden="1" x14ac:dyDescent="0.25">
      <c r="A1230" t="s">
        <v>2072</v>
      </c>
      <c r="B1230" t="str">
        <f>IF(COUNTIF(A:A,A1230)&gt;1,_xlfn.CONCAT(A1230," (",N1230,")"),A1230)</f>
        <v>Xīwēnzhuāng Xiāng</v>
      </c>
      <c r="C1230" t="str">
        <f>IF(COUNTIF(B:B,B1230)&gt;1,_xlfn.CONCAT(A1230," (",M1230,")"),B1230)</f>
        <v>Xīwēnzhuāng Xiāng</v>
      </c>
      <c r="D1230" t="s">
        <v>2073</v>
      </c>
      <c r="E1230" t="s">
        <v>17</v>
      </c>
      <c r="F1230" t="str">
        <f>_xlfn.CONCAT(D1230,", ",H1230,", ",I1230,", ","山西省")</f>
        <v>西温庄乡, 小店区, 太原市, 山西省</v>
      </c>
      <c r="G1230">
        <v>40384</v>
      </c>
      <c r="H1230" t="s">
        <v>2976</v>
      </c>
      <c r="I1230" t="s">
        <v>2969</v>
      </c>
      <c r="J1230" t="e">
        <f>VLOOKUP(F1230,[1]!china_towns_second__2[[Column1]:[Y]],3,FALSE)</f>
        <v>#N/A</v>
      </c>
      <c r="K1230" t="e">
        <f>VLOOKUP(F1230,[1]!china_towns_second__2[[Column1]:[Y]],2,FALSE)</f>
        <v>#N/A</v>
      </c>
      <c r="L1230" t="s">
        <v>4802</v>
      </c>
      <c r="M1230" t="str">
        <f>VLOOKUP(H1230,CHOOSE({1,2},Table12[Native],Table12[Name]),2,0)</f>
        <v>Xiăodiàn Qū</v>
      </c>
      <c r="N1230" s="13" t="str">
        <f>VLOOKUP(I1230,CHOOSE({1,2},Table12[Native],Table12[Name]),2,0)</f>
        <v>Tàiyuán Shì</v>
      </c>
      <c r="O1230" s="13" t="str">
        <f t="shared" si="38"/>
        <v>Xiwenzhuang Xiang (Tàiyuán Shì)</v>
      </c>
      <c r="P1230" s="13" t="str">
        <f t="shared" si="39"/>
        <v>Xiwenzhuang Xiang (Tàiyuán Shì)</v>
      </c>
    </row>
    <row r="1231" spans="1:16" hidden="1" x14ac:dyDescent="0.25">
      <c r="A1231" t="s">
        <v>287</v>
      </c>
      <c r="B1231" t="str">
        <f>IF(COUNTIF(A:A,A1231)&gt;1,_xlfn.CONCAT(A1231," (",N1231,")"),A1231)</f>
        <v>Xīwŭ Xiāng</v>
      </c>
      <c r="C1231" t="str">
        <f>IF(COUNTIF(B:B,B1231)&gt;1,_xlfn.CONCAT(A1231," (",M1231,")"),B1231)</f>
        <v>Xīwŭ Xiāng</v>
      </c>
      <c r="D1231" t="s">
        <v>288</v>
      </c>
      <c r="E1231" t="s">
        <v>17</v>
      </c>
      <c r="F1231" t="str">
        <f>_xlfn.CONCAT(D1231,", ",H1231,", ",I1231,", ","山西省")</f>
        <v>西仵乡, 黎城县, 长治市, 山西省</v>
      </c>
      <c r="G1231">
        <v>7307</v>
      </c>
      <c r="H1231" t="s">
        <v>2882</v>
      </c>
      <c r="I1231" t="s">
        <v>2878</v>
      </c>
      <c r="J1231" t="e">
        <f>VLOOKUP(F1231,[1]!china_towns_second__2[[Column1]:[Y]],3,FALSE)</f>
        <v>#N/A</v>
      </c>
      <c r="K1231" t="e">
        <f>VLOOKUP(F1231,[1]!china_towns_second__2[[Column1]:[Y]],2,FALSE)</f>
        <v>#N/A</v>
      </c>
      <c r="L1231" t="s">
        <v>4803</v>
      </c>
      <c r="M1231" t="str">
        <f>VLOOKUP(H1231,CHOOSE({1,2},Table12[Native],Table12[Name]),2,0)</f>
        <v>Líchéng Xiàn</v>
      </c>
      <c r="N1231" s="13" t="str">
        <f>VLOOKUP(I1231,CHOOSE({1,2},Table12[Native],Table12[Name]),2,0)</f>
        <v>Chángzhì Shì</v>
      </c>
      <c r="O1231" s="13" t="str">
        <f t="shared" si="38"/>
        <v>Xiwu Xiang (Chángzhì Shì)</v>
      </c>
      <c r="P1231" s="13" t="str">
        <f t="shared" si="39"/>
        <v>Xiwu Xiang (Chángzhì Shì)</v>
      </c>
    </row>
    <row r="1232" spans="1:16" hidden="1" x14ac:dyDescent="0.25">
      <c r="A1232" t="s">
        <v>1694</v>
      </c>
      <c r="B1232" t="str">
        <f>IF(COUNTIF(A:A,A1232)&gt;1,_xlfn.CONCAT(A1232," (",N1232,")"),A1232)</f>
        <v>Xīxīnzhuāng Zhèn</v>
      </c>
      <c r="C1232" t="str">
        <f>IF(COUNTIF(B:B,B1232)&gt;1,_xlfn.CONCAT(A1232," (",M1232,")"),B1232)</f>
        <v>Xīxīnzhuāng Zhèn</v>
      </c>
      <c r="D1232" t="s">
        <v>1695</v>
      </c>
      <c r="E1232" t="s">
        <v>7</v>
      </c>
      <c r="F1232" t="str">
        <f>_xlfn.CONCAT(D1232,", ",H1232,", ",I1232,", ","山西省")</f>
        <v>西辛庄镇, 孝义市, 吕梁市, 山西省</v>
      </c>
      <c r="G1232">
        <v>16839</v>
      </c>
      <c r="H1232" t="s">
        <v>2957</v>
      </c>
      <c r="I1232" t="s">
        <v>2946</v>
      </c>
      <c r="J1232">
        <f>VLOOKUP(F1232,[1]!china_towns_second__2[[Column1]:[Y]],3,FALSE)</f>
        <v>37.023877759449903</v>
      </c>
      <c r="K1232">
        <f>VLOOKUP(F1232,[1]!china_towns_second__2[[Column1]:[Y]],2,FALSE)</f>
        <v>111.5142243</v>
      </c>
      <c r="L1232" t="s">
        <v>4804</v>
      </c>
      <c r="M1232" t="str">
        <f>VLOOKUP(H1232,CHOOSE({1,2},Table12[Native],Table12[Name]),2,0)</f>
        <v>Xiàoyì Shì</v>
      </c>
      <c r="N1232" s="13" t="str">
        <f>VLOOKUP(I1232,CHOOSE({1,2},Table12[Native],Table12[Name]),2,0)</f>
        <v>Lǚliáng Shì</v>
      </c>
      <c r="O1232" s="13" t="str">
        <f t="shared" si="38"/>
        <v>Xixinzhuang Zhen (Lǚliáng Shì)</v>
      </c>
      <c r="P1232" s="13" t="str">
        <f t="shared" si="39"/>
        <v>Xixinzhuang Zhen (Lǚliáng Shì)</v>
      </c>
    </row>
    <row r="1233" spans="1:16" hidden="1" x14ac:dyDescent="0.25">
      <c r="A1233" t="s">
        <v>2074</v>
      </c>
      <c r="B1233" t="str">
        <f>IF(COUNTIF(A:A,A1233)&gt;1,_xlfn.CONCAT(A1233," (",N1233,")"),A1233)</f>
        <v>Xīyān Xiāng</v>
      </c>
      <c r="C1233" t="str">
        <f>IF(COUNTIF(B:B,B1233)&gt;1,_xlfn.CONCAT(A1233," (",M1233,")"),B1233)</f>
        <v>Xīyān Xiāng</v>
      </c>
      <c r="D1233" t="s">
        <v>2075</v>
      </c>
      <c r="E1233" t="s">
        <v>17</v>
      </c>
      <c r="F1233" t="str">
        <f>_xlfn.CONCAT(D1233,", ",H1233,", ",I1233,", ","山西省")</f>
        <v>西焉乡, 尖草坪区, 太原市, 山西省</v>
      </c>
      <c r="G1233">
        <v>4456</v>
      </c>
      <c r="H1233" t="s">
        <v>2971</v>
      </c>
      <c r="I1233" t="s">
        <v>2969</v>
      </c>
      <c r="J1233" t="e">
        <f>VLOOKUP(F1233,[1]!china_towns_second__2[[Column1]:[Y]],3,FALSE)</f>
        <v>#N/A</v>
      </c>
      <c r="K1233" t="e">
        <f>VLOOKUP(F1233,[1]!china_towns_second__2[[Column1]:[Y]],2,FALSE)</f>
        <v>#N/A</v>
      </c>
      <c r="L1233" t="s">
        <v>4805</v>
      </c>
      <c r="M1233" t="str">
        <f>VLOOKUP(H1233,CHOOSE({1,2},Table12[Native],Table12[Name]),2,0)</f>
        <v>Jiāncăopíng Qū</v>
      </c>
      <c r="N1233" s="13" t="str">
        <f>VLOOKUP(I1233,CHOOSE({1,2},Table12[Native],Table12[Name]),2,0)</f>
        <v>Tàiyuán Shì</v>
      </c>
      <c r="O1233" s="13" t="str">
        <f t="shared" si="38"/>
        <v>Xiyan Xiang (Tàiyuán Shì)</v>
      </c>
      <c r="P1233" s="13" t="str">
        <f t="shared" si="39"/>
        <v>Xiyan Xiang (Tàiyuán Shì)</v>
      </c>
    </row>
    <row r="1234" spans="1:16" x14ac:dyDescent="0.25">
      <c r="A1234" t="s">
        <v>1363</v>
      </c>
      <c r="B1234" t="str">
        <f>IF(COUNTIF(A:A,A1234)&gt;1,_xlfn.CONCAT(A1234," (",N1234,")"),A1234)</f>
        <v>Xīyán Zhèn</v>
      </c>
      <c r="C1234" t="str">
        <f>IF(COUNTIF(B:B,B1234)&gt;1,_xlfn.CONCAT(A1234," (",M1234,")"),B1234)</f>
        <v>Xīyán Zhèn</v>
      </c>
      <c r="D1234" t="s">
        <v>1364</v>
      </c>
      <c r="E1234" t="s">
        <v>7</v>
      </c>
      <c r="F1234" t="str">
        <f>_xlfn.CONCAT(D1234,", ",H1234,", ",I1234,", ","山西省")</f>
        <v>西阎镇, 翼城县, 临汾市, 山西省</v>
      </c>
      <c r="G1234">
        <v>6054</v>
      </c>
      <c r="H1234" t="s">
        <v>2943</v>
      </c>
      <c r="I1234" t="s">
        <v>2927</v>
      </c>
      <c r="J1234">
        <f>VLOOKUP(F1234,[1]!china_towns_second__2[[Column1]:[Y]],3,FALSE)</f>
        <v>35.500880008826897</v>
      </c>
      <c r="K1234">
        <f>VLOOKUP(F1234,[1]!china_towns_second__2[[Column1]:[Y]],2,FALSE)</f>
        <v>111.8978741</v>
      </c>
      <c r="L1234" t="s">
        <v>4806</v>
      </c>
      <c r="M1234" t="str">
        <f>VLOOKUP(H1234,CHOOSE({1,2},Table12[Native],Table12[Name]),2,0)</f>
        <v>Yìchéng Xiàn</v>
      </c>
      <c r="N1234" s="13" t="str">
        <f>VLOOKUP(I1234,CHOOSE({1,2},Table12[Native],Table12[Name]),2,0)</f>
        <v>Línfén Shì</v>
      </c>
      <c r="O1234" s="13" t="str">
        <f t="shared" si="38"/>
        <v>Xiyan Zhen (Línfén Shì)</v>
      </c>
      <c r="P1234" s="13" t="str">
        <f t="shared" si="39"/>
        <v>Xiyan Zhen (Línfén Shì)</v>
      </c>
    </row>
    <row r="1235" spans="1:16" x14ac:dyDescent="0.25">
      <c r="A1235" t="s">
        <v>2566</v>
      </c>
      <c r="B1235" t="str">
        <f>IF(COUNTIF(A:A,A1235)&gt;1,_xlfn.CONCAT(A1235," (",N1235,")"),A1235)</f>
        <v>Xīyān Zhèn</v>
      </c>
      <c r="C1235" t="str">
        <f>IF(COUNTIF(B:B,B1235)&gt;1,_xlfn.CONCAT(A1235," (",M1235,")"),B1235)</f>
        <v>Xīyān Zhèn</v>
      </c>
      <c r="D1235" t="s">
        <v>2567</v>
      </c>
      <c r="E1235" t="s">
        <v>7</v>
      </c>
      <c r="F1235" t="str">
        <f>_xlfn.CONCAT(D1235,", ",H1235,", ",I1235,", ","山西省")</f>
        <v>西烟镇, 盂县, 阳泉市, 山西省</v>
      </c>
      <c r="G1235">
        <v>18426</v>
      </c>
      <c r="H1235" t="s">
        <v>3001</v>
      </c>
      <c r="I1235" t="s">
        <v>2997</v>
      </c>
      <c r="J1235">
        <f>VLOOKUP(F1235,[1]!china_towns_second__2[[Column1]:[Y]],3,FALSE)</f>
        <v>38.193744260694999</v>
      </c>
      <c r="K1235">
        <f>VLOOKUP(F1235,[1]!china_towns_second__2[[Column1]:[Y]],2,FALSE)</f>
        <v>113.0738978</v>
      </c>
      <c r="L1235" t="s">
        <v>4806</v>
      </c>
      <c r="M1235" t="str">
        <f>VLOOKUP(H1235,CHOOSE({1,2},Table12[Native],Table12[Name]),2,0)</f>
        <v>Yú Xiàn</v>
      </c>
      <c r="N1235" s="13" t="str">
        <f>VLOOKUP(I1235,CHOOSE({1,2},Table12[Native],Table12[Name]),2,0)</f>
        <v>Yángquán Shì</v>
      </c>
      <c r="O1235" s="13" t="str">
        <f t="shared" si="38"/>
        <v>Xiyan Zhen (Yángquán Shì)</v>
      </c>
      <c r="P1235" s="13" t="str">
        <f t="shared" si="39"/>
        <v>Xiyan Zhen (Yángquán Shì)</v>
      </c>
    </row>
    <row r="1236" spans="1:16" hidden="1" x14ac:dyDescent="0.25">
      <c r="A1236" t="s">
        <v>289</v>
      </c>
      <c r="B1236" t="str">
        <f>IF(COUNTIF(A:A,A1236)&gt;1,_xlfn.CONCAT(A1236," (",N1236,")"),A1236)</f>
        <v>Xīyíng Zhèn (Chángzhì Shì)</v>
      </c>
      <c r="C1236" t="str">
        <f>IF(COUNTIF(B:B,B1236)&gt;1,_xlfn.CONCAT(A1236," (",M1236,")"),B1236)</f>
        <v>Xīyíng Zhèn (Chángzhì Shì)</v>
      </c>
      <c r="D1236" t="s">
        <v>290</v>
      </c>
      <c r="E1236" t="s">
        <v>7</v>
      </c>
      <c r="F1236" t="str">
        <f>_xlfn.CONCAT(D1236,", ",H1236,", ",I1236,", ","山西省")</f>
        <v>西营镇, 襄垣县, 长治市, 山西省</v>
      </c>
      <c r="G1236">
        <v>10322</v>
      </c>
      <c r="H1236" t="s">
        <v>2892</v>
      </c>
      <c r="I1236" t="s">
        <v>2878</v>
      </c>
      <c r="J1236">
        <f>VLOOKUP(F1236,[1]!china_towns_second__2[[Column1]:[Y]],3,FALSE)</f>
        <v>36.704781023497198</v>
      </c>
      <c r="K1236">
        <f>VLOOKUP(F1236,[1]!china_towns_second__2[[Column1]:[Y]],2,FALSE)</f>
        <v>113.07488240000001</v>
      </c>
      <c r="L1236" t="s">
        <v>4807</v>
      </c>
      <c r="M1236" t="str">
        <f>VLOOKUP(H1236,CHOOSE({1,2},Table12[Native],Table12[Name]),2,0)</f>
        <v>Xiāngyuán Xiàn</v>
      </c>
      <c r="N1236" s="13" t="str">
        <f>VLOOKUP(I1236,CHOOSE({1,2},Table12[Native],Table12[Name]),2,0)</f>
        <v>Chángzhì Shì</v>
      </c>
      <c r="O1236" s="13" t="str">
        <f t="shared" si="38"/>
        <v>Xiying Zhen (Changzhi Shi) (Chángzhì Shì)</v>
      </c>
      <c r="P1236" s="13" t="str">
        <f t="shared" si="39"/>
        <v>Xiying Zhen (Changzhi Shi) (Chángzhì Shì)</v>
      </c>
    </row>
    <row r="1237" spans="1:16" hidden="1" x14ac:dyDescent="0.25">
      <c r="A1237" t="s">
        <v>289</v>
      </c>
      <c r="B1237" t="str">
        <f>IF(COUNTIF(A:A,A1237)&gt;1,_xlfn.CONCAT(A1237," (",N1237,")"),A1237)</f>
        <v>Xīyíng Zhèn (Lǚliáng Shì)</v>
      </c>
      <c r="C1237" t="str">
        <f>IF(COUNTIF(B:B,B1237)&gt;1,_xlfn.CONCAT(A1237," (",M1237,")"),B1237)</f>
        <v>Xīyíng Zhèn (Lǚliáng Shì)</v>
      </c>
      <c r="D1237" t="s">
        <v>290</v>
      </c>
      <c r="E1237" t="s">
        <v>7</v>
      </c>
      <c r="F1237" t="str">
        <f>_xlfn.CONCAT(D1237,", ",H1237,", ",I1237,", ","山西省")</f>
        <v>西营镇, 交城县, 吕梁市, 山西省</v>
      </c>
      <c r="G1237">
        <v>28563</v>
      </c>
      <c r="H1237" t="s">
        <v>2949</v>
      </c>
      <c r="I1237" t="s">
        <v>2946</v>
      </c>
      <c r="J1237">
        <f>VLOOKUP(F1237,[1]!china_towns_second__2[[Column1]:[Y]],3,FALSE)</f>
        <v>37.495558054795197</v>
      </c>
      <c r="K1237">
        <f>VLOOKUP(F1237,[1]!china_towns_second__2[[Column1]:[Y]],2,FALSE)</f>
        <v>112.1374294</v>
      </c>
      <c r="L1237" t="s">
        <v>4808</v>
      </c>
      <c r="M1237" t="str">
        <f>VLOOKUP(H1237,CHOOSE({1,2},Table12[Native],Table12[Name]),2,0)</f>
        <v>Jiāochéng Xiàn</v>
      </c>
      <c r="N1237" s="13" t="str">
        <f>VLOOKUP(I1237,CHOOSE({1,2},Table12[Native],Table12[Name]),2,0)</f>
        <v>Lǚliáng Shì</v>
      </c>
      <c r="O1237" s="13" t="str">
        <f t="shared" si="38"/>
        <v>Xiying Zhen (Luliang Shi) (Lǚliáng Shì)</v>
      </c>
      <c r="P1237" s="13" t="str">
        <f t="shared" si="39"/>
        <v>Xiying Zhen (Luliang Shi) (Lǚliáng Shì)</v>
      </c>
    </row>
    <row r="1238" spans="1:16" hidden="1" x14ac:dyDescent="0.25">
      <c r="A1238" t="s">
        <v>1018</v>
      </c>
      <c r="B1238" t="str">
        <f>IF(COUNTIF(A:A,A1238)&gt;1,_xlfn.CONCAT(A1238," (",N1238,")"),A1238)</f>
        <v>Xīzhài Xiāng</v>
      </c>
      <c r="C1238" t="str">
        <f>IF(COUNTIF(B:B,B1238)&gt;1,_xlfn.CONCAT(A1238," (",M1238,")"),B1238)</f>
        <v>Xīzhài Xiāng</v>
      </c>
      <c r="D1238" t="s">
        <v>1019</v>
      </c>
      <c r="E1238" t="s">
        <v>17</v>
      </c>
      <c r="F1238" t="str">
        <f>_xlfn.CONCAT(D1238,", ",H1238,", ",I1238,", ","山西省")</f>
        <v>西寨乡, 昔阳县, 晋中市, 山西省</v>
      </c>
      <c r="G1238">
        <v>3919</v>
      </c>
      <c r="H1238" t="s">
        <v>2922</v>
      </c>
      <c r="I1238" t="s">
        <v>2914</v>
      </c>
      <c r="J1238" t="e">
        <f>VLOOKUP(F1238,[1]!china_towns_second__2[[Column1]:[Y]],3,FALSE)</f>
        <v>#N/A</v>
      </c>
      <c r="K1238" t="e">
        <f>VLOOKUP(F1238,[1]!china_towns_second__2[[Column1]:[Y]],2,FALSE)</f>
        <v>#N/A</v>
      </c>
      <c r="L1238" t="s">
        <v>4809</v>
      </c>
      <c r="M1238" t="str">
        <f>VLOOKUP(H1238,CHOOSE({1,2},Table12[Native],Table12[Name]),2,0)</f>
        <v>Xīyáng Xiàn</v>
      </c>
      <c r="N1238" s="13" t="str">
        <f>VLOOKUP(I1238,CHOOSE({1,2},Table12[Native],Table12[Name]),2,0)</f>
        <v>Jìnzhōng Shì</v>
      </c>
      <c r="O1238" s="13" t="str">
        <f t="shared" si="38"/>
        <v>Xizhai Xiang (Jìnzhōng Shì)</v>
      </c>
      <c r="P1238" s="13" t="str">
        <f t="shared" si="39"/>
        <v>Xizhai Xiang (Jìnzhōng Shì)</v>
      </c>
    </row>
    <row r="1239" spans="1:16" hidden="1" x14ac:dyDescent="0.25">
      <c r="A1239" t="s">
        <v>2828</v>
      </c>
      <c r="B1239" t="str">
        <f>IF(COUNTIF(A:A,A1239)&gt;1,_xlfn.CONCAT(A1239," (",N1239,")"),A1239)</f>
        <v>Xízhāng Xiāng</v>
      </c>
      <c r="C1239" t="str">
        <f>IF(COUNTIF(B:B,B1239)&gt;1,_xlfn.CONCAT(A1239," (",M1239,")"),B1239)</f>
        <v>Xízhāng Xiāng</v>
      </c>
      <c r="D1239" t="s">
        <v>2829</v>
      </c>
      <c r="E1239" t="s">
        <v>17</v>
      </c>
      <c r="F1239" t="str">
        <f>_xlfn.CONCAT(D1239,", ",H1239,", ",I1239,", ","山西省")</f>
        <v>席张乡, 盐湖区, 运城市, 山西省</v>
      </c>
      <c r="G1239">
        <v>13553</v>
      </c>
      <c r="H1239" t="s">
        <v>3014</v>
      </c>
      <c r="I1239" t="s">
        <v>3003</v>
      </c>
      <c r="J1239" t="e">
        <f>VLOOKUP(F1239,[1]!china_towns_second__2[[Column1]:[Y]],3,FALSE)</f>
        <v>#N/A</v>
      </c>
      <c r="K1239" t="e">
        <f>VLOOKUP(F1239,[1]!china_towns_second__2[[Column1]:[Y]],2,FALSE)</f>
        <v>#N/A</v>
      </c>
      <c r="L1239" t="s">
        <v>4810</v>
      </c>
      <c r="M1239" t="str">
        <f>VLOOKUP(H1239,CHOOSE({1,2},Table12[Native],Table12[Name]),2,0)</f>
        <v>Yánhú Qū</v>
      </c>
      <c r="N1239" s="13" t="str">
        <f>VLOOKUP(I1239,CHOOSE({1,2},Table12[Native],Table12[Name]),2,0)</f>
        <v>Yùnchéng Shì</v>
      </c>
      <c r="O1239" s="13" t="str">
        <f t="shared" si="38"/>
        <v>Xizhang Xiang (Yùnchéng Shì)</v>
      </c>
      <c r="P1239" s="13" t="str">
        <f t="shared" si="39"/>
        <v>Xizhang Xiang (Yùnchéng Shì)</v>
      </c>
    </row>
    <row r="1240" spans="1:16" hidden="1" x14ac:dyDescent="0.25">
      <c r="A1240" t="s">
        <v>2418</v>
      </c>
      <c r="B1240" t="str">
        <f>IF(COUNTIF(A:A,A1240)&gt;1,_xlfn.CONCAT(A1240," (",N1240,")"),A1240)</f>
        <v>Xīzhāng Zhèn</v>
      </c>
      <c r="C1240" t="str">
        <f>IF(COUNTIF(B:B,B1240)&gt;1,_xlfn.CONCAT(A1240," (",M1240,")"),B1240)</f>
        <v>Xīzhāng Zhèn</v>
      </c>
      <c r="D1240" t="s">
        <v>2419</v>
      </c>
      <c r="E1240" t="s">
        <v>7</v>
      </c>
      <c r="F1240" t="str">
        <f>_xlfn.CONCAT(D1240,", ",H1240,", ",I1240,", ","山西省")</f>
        <v>西张镇, 忻府区, 忻州市, 山西省</v>
      </c>
      <c r="G1240">
        <v>12754</v>
      </c>
      <c r="H1240" t="s">
        <v>2994</v>
      </c>
      <c r="I1240" t="s">
        <v>2981</v>
      </c>
      <c r="J1240">
        <f>VLOOKUP(F1240,[1]!china_towns_second__2[[Column1]:[Y]],3,FALSE)</f>
        <v>38.326786577979199</v>
      </c>
      <c r="K1240">
        <f>VLOOKUP(F1240,[1]!china_towns_second__2[[Column1]:[Y]],2,FALSE)</f>
        <v>112.78601740000001</v>
      </c>
      <c r="L1240" t="s">
        <v>4811</v>
      </c>
      <c r="M1240" t="str">
        <f>VLOOKUP(H1240,CHOOSE({1,2},Table12[Native],Table12[Name]),2,0)</f>
        <v>Xīnfŭ Qū</v>
      </c>
      <c r="N1240" s="13" t="str">
        <f>VLOOKUP(I1240,CHOOSE({1,2},Table12[Native],Table12[Name]),2,0)</f>
        <v>Xīnzhōu Shì</v>
      </c>
      <c r="O1240" s="13" t="str">
        <f t="shared" si="38"/>
        <v>Xizhang Zhen (Xīnzhōu Shì)</v>
      </c>
      <c r="P1240" s="13" t="str">
        <f t="shared" si="39"/>
        <v>Xizhang Zhen (Xīnzhōu Shì)</v>
      </c>
    </row>
    <row r="1241" spans="1:16" hidden="1" x14ac:dyDescent="0.25">
      <c r="A1241" t="s">
        <v>2420</v>
      </c>
      <c r="B1241" t="str">
        <f>IF(COUNTIF(A:A,A1241)&gt;1,_xlfn.CONCAT(A1241," (",N1241,")"),A1241)</f>
        <v>Xīzhèn Xiāng</v>
      </c>
      <c r="C1241" t="str">
        <f>IF(COUNTIF(B:B,B1241)&gt;1,_xlfn.CONCAT(A1241," (",M1241,")"),B1241)</f>
        <v>Xīzhèn Xiāng</v>
      </c>
      <c r="D1241" t="s">
        <v>2421</v>
      </c>
      <c r="E1241" t="s">
        <v>17</v>
      </c>
      <c r="F1241" t="str">
        <f>_xlfn.CONCAT(D1241,", ",H1241,", ",I1241,", ","山西省")</f>
        <v>西镇乡, 原平市, 忻州市, 山西省</v>
      </c>
      <c r="G1241">
        <v>30614</v>
      </c>
      <c r="H1241" t="s">
        <v>2995</v>
      </c>
      <c r="I1241" t="s">
        <v>2981</v>
      </c>
      <c r="J1241" t="e">
        <f>VLOOKUP(F1241,[1]!china_towns_second__2[[Column1]:[Y]],3,FALSE)</f>
        <v>#N/A</v>
      </c>
      <c r="K1241" t="e">
        <f>VLOOKUP(F1241,[1]!china_towns_second__2[[Column1]:[Y]],2,FALSE)</f>
        <v>#N/A</v>
      </c>
      <c r="L1241" t="s">
        <v>4812</v>
      </c>
      <c r="M1241" t="str">
        <f>VLOOKUP(H1241,CHOOSE({1,2},Table12[Native],Table12[Name]),2,0)</f>
        <v>Yuánpíng Shì</v>
      </c>
      <c r="N1241" s="13" t="str">
        <f>VLOOKUP(I1241,CHOOSE({1,2},Table12[Native],Table12[Name]),2,0)</f>
        <v>Xīnzhōu Shì</v>
      </c>
      <c r="O1241" s="13" t="str">
        <f t="shared" si="38"/>
        <v>Xizhen Xiang (Xīnzhōu Shì)</v>
      </c>
      <c r="P1241" s="13" t="str">
        <f t="shared" si="39"/>
        <v>Xizhen Xiang (Xīnzhōu Shì)</v>
      </c>
    </row>
    <row r="1242" spans="1:16" hidden="1" x14ac:dyDescent="0.25">
      <c r="A1242" t="s">
        <v>2422</v>
      </c>
      <c r="B1242" t="str">
        <f>IF(COUNTIF(A:A,A1242)&gt;1,_xlfn.CONCAT(A1242," (",N1242,")"),A1242)</f>
        <v>Xuāngăng Zhèn</v>
      </c>
      <c r="C1242" t="str">
        <f>IF(COUNTIF(B:B,B1242)&gt;1,_xlfn.CONCAT(A1242," (",M1242,")"),B1242)</f>
        <v>Xuāngăng Zhèn</v>
      </c>
      <c r="D1242" t="s">
        <v>2423</v>
      </c>
      <c r="E1242" t="s">
        <v>7</v>
      </c>
      <c r="F1242" t="str">
        <f>_xlfn.CONCAT(D1242,", ",H1242,", ",I1242,", ","山西省")</f>
        <v>轩岗镇, 原平市, 忻州市, 山西省</v>
      </c>
      <c r="G1242">
        <v>19963</v>
      </c>
      <c r="H1242" t="s">
        <v>2995</v>
      </c>
      <c r="I1242" t="s">
        <v>2981</v>
      </c>
      <c r="J1242">
        <f>VLOOKUP(F1242,[1]!china_towns_second__2[[Column1]:[Y]],3,FALSE)</f>
        <v>38.919100524078097</v>
      </c>
      <c r="K1242">
        <f>VLOOKUP(F1242,[1]!china_towns_second__2[[Column1]:[Y]],2,FALSE)</f>
        <v>112.4146825</v>
      </c>
      <c r="L1242" t="s">
        <v>4813</v>
      </c>
      <c r="M1242" t="str">
        <f>VLOOKUP(H1242,CHOOSE({1,2},Table12[Native],Table12[Name]),2,0)</f>
        <v>Yuánpíng Shì</v>
      </c>
      <c r="N1242" s="13" t="str">
        <f>VLOOKUP(I1242,CHOOSE({1,2},Table12[Native],Table12[Name]),2,0)</f>
        <v>Xīnzhōu Shì</v>
      </c>
      <c r="O1242" s="13" t="str">
        <f t="shared" si="38"/>
        <v>Xuangang Zhen (Xīnzhōu Shì)</v>
      </c>
      <c r="P1242" s="13" t="str">
        <f t="shared" si="39"/>
        <v>Xuangang Zhen (Xīnzhōu Shì)</v>
      </c>
    </row>
    <row r="1243" spans="1:16" hidden="1" x14ac:dyDescent="0.25">
      <c r="A1243" t="s">
        <v>2424</v>
      </c>
      <c r="B1243" t="str">
        <f>IF(COUNTIF(A:A,A1243)&gt;1,_xlfn.CONCAT(A1243," (",N1243,")"),A1243)</f>
        <v>Xuānméi Kuàngqū Jiēdào</v>
      </c>
      <c r="C1243" t="str">
        <f>IF(COUNTIF(B:B,B1243)&gt;1,_xlfn.CONCAT(A1243," (",M1243,")"),B1243)</f>
        <v>Xuānméi Kuàngqū Jiēdào</v>
      </c>
      <c r="D1243" t="s">
        <v>2425</v>
      </c>
      <c r="E1243" t="s">
        <v>31</v>
      </c>
      <c r="F1243" t="str">
        <f>_xlfn.CONCAT(D1243,", ",H1243,", ",I1243,", ","山西省")</f>
        <v>轩煤矿区街道, 原平市, 忻州市, 山西省</v>
      </c>
      <c r="G1243">
        <v>32319</v>
      </c>
      <c r="H1243" t="s">
        <v>2995</v>
      </c>
      <c r="I1243" t="s">
        <v>2981</v>
      </c>
      <c r="J1243" t="e">
        <f>VLOOKUP(F1243,[1]!china_towns_second__2[[Column1]:[Y]],3,FALSE)</f>
        <v>#N/A</v>
      </c>
      <c r="K1243" t="e">
        <f>VLOOKUP(F1243,[1]!china_towns_second__2[[Column1]:[Y]],2,FALSE)</f>
        <v>#N/A</v>
      </c>
      <c r="L1243" t="s">
        <v>4814</v>
      </c>
      <c r="M1243" t="str">
        <f>VLOOKUP(H1243,CHOOSE({1,2},Table12[Native],Table12[Name]),2,0)</f>
        <v>Yuánpíng Shì</v>
      </c>
      <c r="N1243" s="13" t="str">
        <f>VLOOKUP(I1243,CHOOSE({1,2},Table12[Native],Table12[Name]),2,0)</f>
        <v>Xīnzhōu Shì</v>
      </c>
      <c r="O1243" s="13" t="str">
        <f t="shared" si="38"/>
        <v>Xuanmei Kuangqu Jiedao (Xīnzhōu Shì)</v>
      </c>
      <c r="P1243" s="13" t="str">
        <f t="shared" si="39"/>
        <v>Xuanmei Kuangqu Jiedao (Xīnzhōu Shì)</v>
      </c>
    </row>
    <row r="1244" spans="1:16" hidden="1" x14ac:dyDescent="0.25">
      <c r="A1244" t="s">
        <v>577</v>
      </c>
      <c r="B1244" t="str">
        <f>IF(COUNTIF(A:A,A1244)&gt;1,_xlfn.CONCAT(A1244," (",N1244,")"),A1244)</f>
        <v>Xŭbăo Xiāng</v>
      </c>
      <c r="C1244" t="str">
        <f>IF(COUNTIF(B:B,B1244)&gt;1,_xlfn.CONCAT(A1244," (",M1244,")"),B1244)</f>
        <v>Xŭbăo Xiāng</v>
      </c>
      <c r="D1244" t="s">
        <v>578</v>
      </c>
      <c r="E1244" t="s">
        <v>17</v>
      </c>
      <c r="F1244" t="str">
        <f>_xlfn.CONCAT(D1244,", ",H1244,", ",I1244,", ","山西省")</f>
        <v>许堡乡, 云州区, 大同市, 山西省</v>
      </c>
      <c r="G1244">
        <v>16522</v>
      </c>
      <c r="H1244" t="s">
        <v>2903</v>
      </c>
      <c r="I1244" t="s">
        <v>2894</v>
      </c>
      <c r="J1244" t="e">
        <f>VLOOKUP(F1244,[1]!china_towns_second__2[[Column1]:[Y]],3,FALSE)</f>
        <v>#N/A</v>
      </c>
      <c r="K1244" t="e">
        <f>VLOOKUP(F1244,[1]!china_towns_second__2[[Column1]:[Y]],2,FALSE)</f>
        <v>#N/A</v>
      </c>
      <c r="L1244" t="s">
        <v>4815</v>
      </c>
      <c r="M1244" t="str">
        <f>VLOOKUP(H1244,CHOOSE({1,2},Table12[Native],Table12[Name]),2,0)</f>
        <v>Yúnzhōu Qū</v>
      </c>
      <c r="N1244" s="13" t="str">
        <f>VLOOKUP(I1244,CHOOSE({1,2},Table12[Native],Table12[Name]),2,0)</f>
        <v>Dàtóng Shì</v>
      </c>
      <c r="O1244" s="13" t="str">
        <f t="shared" si="38"/>
        <v>Xubao Xiang (Dàtóng Shì)</v>
      </c>
      <c r="P1244" s="13" t="str">
        <f t="shared" si="39"/>
        <v>Xubao Xiang (Dàtóng Shì)</v>
      </c>
    </row>
    <row r="1245" spans="1:16" hidden="1" x14ac:dyDescent="0.25">
      <c r="A1245" t="s">
        <v>1696</v>
      </c>
      <c r="B1245" t="str">
        <f>IF(COUNTIF(A:A,A1245)&gt;1,_xlfn.CONCAT(A1245," (",N1245,")"),A1245)</f>
        <v>Xuēcūn Zhèn</v>
      </c>
      <c r="C1245" t="str">
        <f>IF(COUNTIF(B:B,B1245)&gt;1,_xlfn.CONCAT(A1245," (",M1245,")"),B1245)</f>
        <v>Xuēcūn Zhèn</v>
      </c>
      <c r="D1245" t="s">
        <v>1697</v>
      </c>
      <c r="E1245" t="s">
        <v>7</v>
      </c>
      <c r="F1245" t="str">
        <f>_xlfn.CONCAT(D1245,", ",H1245,", ",I1245,", ","山西省")</f>
        <v>薛村镇, 柳林县, 吕梁市, 山西省</v>
      </c>
      <c r="G1245">
        <v>15173</v>
      </c>
      <c r="H1245" t="s">
        <v>2954</v>
      </c>
      <c r="I1245" t="s">
        <v>2946</v>
      </c>
      <c r="J1245">
        <f>VLOOKUP(F1245,[1]!china_towns_second__2[[Column1]:[Y]],3,FALSE)</f>
        <v>37.4347702549152</v>
      </c>
      <c r="K1245">
        <f>VLOOKUP(F1245,[1]!china_towns_second__2[[Column1]:[Y]],2,FALSE)</f>
        <v>110.7606658</v>
      </c>
      <c r="L1245" t="s">
        <v>4816</v>
      </c>
      <c r="M1245" t="str">
        <f>VLOOKUP(H1245,CHOOSE({1,2},Table12[Native],Table12[Name]),2,0)</f>
        <v>Liŭlín Xiàn</v>
      </c>
      <c r="N1245" s="13" t="str">
        <f>VLOOKUP(I1245,CHOOSE({1,2},Table12[Native],Table12[Name]),2,0)</f>
        <v>Lǚliáng Shì</v>
      </c>
      <c r="O1245" s="13" t="str">
        <f t="shared" si="38"/>
        <v>Xuecun Zhen (Lǚliáng Shì)</v>
      </c>
      <c r="P1245" s="13" t="str">
        <f t="shared" si="39"/>
        <v>Xuecun Zhen (Lǚliáng Shì)</v>
      </c>
    </row>
    <row r="1246" spans="1:16" hidden="1" x14ac:dyDescent="0.25">
      <c r="A1246" t="s">
        <v>2830</v>
      </c>
      <c r="B1246" t="str">
        <f>IF(COUNTIF(A:A,A1246)&gt;1,_xlfn.CONCAT(A1246," (",N1246,")"),A1246)</f>
        <v>Xuēdiàn Zhèn</v>
      </c>
      <c r="C1246" t="str">
        <f>IF(COUNTIF(B:B,B1246)&gt;1,_xlfn.CONCAT(A1246," (",M1246,")"),B1246)</f>
        <v>Xuēdiàn Zhèn</v>
      </c>
      <c r="D1246" t="s">
        <v>2831</v>
      </c>
      <c r="E1246" t="s">
        <v>7</v>
      </c>
      <c r="F1246" t="str">
        <f>_xlfn.CONCAT(D1246,", ",H1246,", ",I1246,", ","山西省")</f>
        <v>薛店镇, 闻喜县, 运城市, 山西省</v>
      </c>
      <c r="G1246">
        <v>13612</v>
      </c>
      <c r="H1246" t="s">
        <v>3011</v>
      </c>
      <c r="I1246" t="s">
        <v>3003</v>
      </c>
      <c r="J1246">
        <f>VLOOKUP(F1246,[1]!china_towns_second__2[[Column1]:[Y]],3,FALSE)</f>
        <v>35.460843609580202</v>
      </c>
      <c r="K1246">
        <f>VLOOKUP(F1246,[1]!china_towns_second__2[[Column1]:[Y]],2,FALSE)</f>
        <v>111.21833549999999</v>
      </c>
      <c r="L1246" t="s">
        <v>4817</v>
      </c>
      <c r="M1246" t="str">
        <f>VLOOKUP(H1246,CHOOSE({1,2},Table12[Native],Table12[Name]),2,0)</f>
        <v>Wénxĭ Xiàn</v>
      </c>
      <c r="N1246" s="13" t="str">
        <f>VLOOKUP(I1246,CHOOSE({1,2},Table12[Native],Table12[Name]),2,0)</f>
        <v>Yùnchéng Shì</v>
      </c>
      <c r="O1246" s="13" t="str">
        <f t="shared" si="38"/>
        <v>Xuedian Zhen (Yùnchéng Shì)</v>
      </c>
      <c r="P1246" s="13" t="str">
        <f t="shared" si="39"/>
        <v>Xuedian Zhen (Yùnchéng Shì)</v>
      </c>
    </row>
    <row r="1247" spans="1:16" hidden="1" x14ac:dyDescent="0.25">
      <c r="A1247" t="s">
        <v>1365</v>
      </c>
      <c r="B1247" t="str">
        <f>IF(COUNTIF(A:A,A1247)&gt;1,_xlfn.CONCAT(A1247," (",N1247,")"),A1247)</f>
        <v>Xuēguān Zhèn</v>
      </c>
      <c r="C1247" t="str">
        <f>IF(COUNTIF(B:B,B1247)&gt;1,_xlfn.CONCAT(A1247," (",M1247,")"),B1247)</f>
        <v>Xuēguān Zhèn</v>
      </c>
      <c r="D1247" t="s">
        <v>1366</v>
      </c>
      <c r="E1247" t="s">
        <v>7</v>
      </c>
      <c r="F1247" t="str">
        <f>_xlfn.CONCAT(D1247,", ",H1247,", ",I1247,", ","山西省")</f>
        <v>薛关镇, 蒲县, 临汾市, 山西省</v>
      </c>
      <c r="G1247">
        <v>5175</v>
      </c>
      <c r="H1247" t="s">
        <v>2937</v>
      </c>
      <c r="I1247" t="s">
        <v>2927</v>
      </c>
      <c r="J1247">
        <f>VLOOKUP(F1247,[1]!china_towns_second__2[[Column1]:[Y]],3,FALSE)</f>
        <v>36.471945160775398</v>
      </c>
      <c r="K1247">
        <f>VLOOKUP(F1247,[1]!china_towns_second__2[[Column1]:[Y]],2,FALSE)</f>
        <v>110.9757511</v>
      </c>
      <c r="L1247" t="s">
        <v>4818</v>
      </c>
      <c r="M1247" t="str">
        <f>VLOOKUP(H1247,CHOOSE({1,2},Table12[Native],Table12[Name]),2,0)</f>
        <v>Pú Xiàn</v>
      </c>
      <c r="N1247" s="13" t="str">
        <f>VLOOKUP(I1247,CHOOSE({1,2},Table12[Native],Table12[Name]),2,0)</f>
        <v>Línfén Shì</v>
      </c>
      <c r="O1247" s="13" t="str">
        <f t="shared" si="38"/>
        <v>Xueguan Zhen (Línfén Shì)</v>
      </c>
      <c r="P1247" s="13" t="str">
        <f t="shared" si="39"/>
        <v>Xueguan Zhen (Línfén Shì)</v>
      </c>
    </row>
    <row r="1248" spans="1:16" hidden="1" x14ac:dyDescent="0.25">
      <c r="A1248" t="s">
        <v>2426</v>
      </c>
      <c r="B1248" t="str">
        <f>IF(COUNTIF(A:A,A1248)&gt;1,_xlfn.CONCAT(A1248," (",N1248,")"),A1248)</f>
        <v>Xuējiāwā Xiāng</v>
      </c>
      <c r="C1248" t="str">
        <f>IF(COUNTIF(B:B,B1248)&gt;1,_xlfn.CONCAT(A1248," (",M1248,")"),B1248)</f>
        <v>Xuējiāwā Xiāng</v>
      </c>
      <c r="D1248" t="s">
        <v>2427</v>
      </c>
      <c r="E1248" t="s">
        <v>17</v>
      </c>
      <c r="F1248" t="str">
        <f>_xlfn.CONCAT(D1248,", ",H1248,", ",I1248,", ","山西省")</f>
        <v>薛家洼乡, 宁武县, 忻州市, 山西省</v>
      </c>
      <c r="G1248">
        <v>5661</v>
      </c>
      <c r="H1248" t="s">
        <v>2989</v>
      </c>
      <c r="I1248" t="s">
        <v>2981</v>
      </c>
      <c r="J1248" t="e">
        <f>VLOOKUP(F1248,[1]!china_towns_second__2[[Column1]:[Y]],3,FALSE)</f>
        <v>#N/A</v>
      </c>
      <c r="K1248" t="e">
        <f>VLOOKUP(F1248,[1]!china_towns_second__2[[Column1]:[Y]],2,FALSE)</f>
        <v>#N/A</v>
      </c>
      <c r="L1248" t="s">
        <v>4819</v>
      </c>
      <c r="M1248" t="str">
        <f>VLOOKUP(H1248,CHOOSE({1,2},Table12[Native],Table12[Name]),2,0)</f>
        <v>Níngwŭ Xiàn</v>
      </c>
      <c r="N1248" s="13" t="str">
        <f>VLOOKUP(I1248,CHOOSE({1,2},Table12[Native],Table12[Name]),2,0)</f>
        <v>Xīnzhōu Shì</v>
      </c>
      <c r="O1248" s="13" t="str">
        <f t="shared" si="38"/>
        <v>Xuejiawa Xiang (Xīnzhōu Shì)</v>
      </c>
      <c r="P1248" s="13" t="str">
        <f t="shared" si="39"/>
        <v>Xuejiawa Xiang (Xīnzhōu Shì)</v>
      </c>
    </row>
    <row r="1249" spans="1:16" hidden="1" x14ac:dyDescent="0.25">
      <c r="A1249" t="s">
        <v>1852</v>
      </c>
      <c r="B1249" t="str">
        <f>IF(COUNTIF(A:A,A1249)&gt;1,_xlfn.CONCAT(A1249," (",N1249,")"),A1249)</f>
        <v>Xuēkūlüè Xiāng</v>
      </c>
      <c r="C1249" t="str">
        <f>IF(COUNTIF(B:B,B1249)&gt;1,_xlfn.CONCAT(A1249," (",M1249,")"),B1249)</f>
        <v>Xuēkūlüè Xiāng</v>
      </c>
      <c r="D1249" t="s">
        <v>1853</v>
      </c>
      <c r="E1249" t="s">
        <v>17</v>
      </c>
      <c r="F1249" t="str">
        <f>_xlfn.CONCAT(D1249,", ",H1249,", ",I1249,", ","山西省")</f>
        <v>薛圐圙乡, 山阴县, 朔州市, 山西省</v>
      </c>
      <c r="G1249">
        <v>9379</v>
      </c>
      <c r="H1249" t="s">
        <v>2964</v>
      </c>
      <c r="I1249" t="s">
        <v>2961</v>
      </c>
      <c r="J1249" t="e">
        <f>VLOOKUP(F1249,[1]!china_towns_second__2[[Column1]:[Y]],3,FALSE)</f>
        <v>#N/A</v>
      </c>
      <c r="K1249" t="e">
        <f>VLOOKUP(F1249,[1]!china_towns_second__2[[Column1]:[Y]],2,FALSE)</f>
        <v>#N/A</v>
      </c>
      <c r="L1249" t="s">
        <v>4820</v>
      </c>
      <c r="M1249" t="str">
        <f>VLOOKUP(H1249,CHOOSE({1,2},Table12[Native],Table12[Name]),2,0)</f>
        <v>Shānyīn Xiàn</v>
      </c>
      <c r="N1249" s="13" t="str">
        <f>VLOOKUP(I1249,CHOOSE({1,2},Table12[Native],Table12[Name]),2,0)</f>
        <v>Shuòzhōu Shì</v>
      </c>
      <c r="O1249" s="13" t="str">
        <f t="shared" si="38"/>
        <v>Xuekulue Xiang (Shuòzhōu Shì)</v>
      </c>
      <c r="P1249" s="13" t="str">
        <f t="shared" si="39"/>
        <v>Xuekulue Xiang (Shuòzhōu Shì)</v>
      </c>
    </row>
    <row r="1250" spans="1:16" hidden="1" x14ac:dyDescent="0.25">
      <c r="A1250" t="s">
        <v>2832</v>
      </c>
      <c r="B1250" t="str">
        <f>IF(COUNTIF(A:A,A1250)&gt;1,_xlfn.CONCAT(A1250," (",N1250,")"),A1250)</f>
        <v>Xuézhāng Xiāng</v>
      </c>
      <c r="C1250" t="str">
        <f>IF(COUNTIF(B:B,B1250)&gt;1,_xlfn.CONCAT(A1250," (",M1250,")"),B1250)</f>
        <v>Xuézhāng Xiāng</v>
      </c>
      <c r="D1250" t="s">
        <v>2833</v>
      </c>
      <c r="E1250" t="s">
        <v>17</v>
      </c>
      <c r="F1250" t="str">
        <f>_xlfn.CONCAT(D1250,", ",H1250,", ",I1250,", ","山西省")</f>
        <v>学张乡, 芮城县, 运城市, 山西省</v>
      </c>
      <c r="G1250">
        <v>23798</v>
      </c>
      <c r="H1250" t="s">
        <v>3009</v>
      </c>
      <c r="I1250" t="s">
        <v>3003</v>
      </c>
      <c r="J1250" t="e">
        <f>VLOOKUP(F1250,[1]!china_towns_second__2[[Column1]:[Y]],3,FALSE)</f>
        <v>#N/A</v>
      </c>
      <c r="K1250" t="e">
        <f>VLOOKUP(F1250,[1]!china_towns_second__2[[Column1]:[Y]],2,FALSE)</f>
        <v>#N/A</v>
      </c>
      <c r="L1250" t="s">
        <v>4821</v>
      </c>
      <c r="M1250" t="str">
        <f>VLOOKUP(H1250,CHOOSE({1,2},Table12[Native],Table12[Name]),2,0)</f>
        <v>Ruìchéng Xiàn</v>
      </c>
      <c r="N1250" s="13" t="str">
        <f>VLOOKUP(I1250,CHOOSE({1,2},Table12[Native],Table12[Name]),2,0)</f>
        <v>Yùnchéng Shì</v>
      </c>
      <c r="O1250" s="13" t="str">
        <f t="shared" si="38"/>
        <v>Xuezhang Xiang (Yùnchéng Shì)</v>
      </c>
      <c r="P1250" s="13" t="str">
        <f t="shared" si="39"/>
        <v>Xuezhang Xiang (Yùnchéng Shì)</v>
      </c>
    </row>
    <row r="1251" spans="1:16" hidden="1" x14ac:dyDescent="0.25">
      <c r="A1251" t="s">
        <v>2076</v>
      </c>
      <c r="B1251" t="str">
        <f>IF(COUNTIF(A:A,A1251)&gt;1,_xlfn.CONCAT(A1251," (",N1251,")"),A1251)</f>
        <v>Xúgōu Zhèn</v>
      </c>
      <c r="C1251" t="str">
        <f>IF(COUNTIF(B:B,B1251)&gt;1,_xlfn.CONCAT(A1251," (",M1251,")"),B1251)</f>
        <v>Xúgōu Zhèn</v>
      </c>
      <c r="D1251" t="s">
        <v>2077</v>
      </c>
      <c r="E1251" t="s">
        <v>7</v>
      </c>
      <c r="F1251" t="str">
        <f>_xlfn.CONCAT(D1251,", ",H1251,", ",I1251,", ","山西省")</f>
        <v>徐沟镇, 清徐县, 太原市, 山西省</v>
      </c>
      <c r="G1251">
        <v>48040</v>
      </c>
      <c r="H1251" t="s">
        <v>2974</v>
      </c>
      <c r="I1251" t="s">
        <v>2969</v>
      </c>
      <c r="J1251">
        <f>VLOOKUP(F1251,[1]!china_towns_second__2[[Column1]:[Y]],3,FALSE)</f>
        <v>37.535619102628601</v>
      </c>
      <c r="K1251">
        <f>VLOOKUP(F1251,[1]!china_towns_second__2[[Column1]:[Y]],2,FALSE)</f>
        <v>112.4933851</v>
      </c>
      <c r="L1251" t="s">
        <v>4822</v>
      </c>
      <c r="M1251" t="str">
        <f>VLOOKUP(H1251,CHOOSE({1,2},Table12[Native],Table12[Name]),2,0)</f>
        <v>Qīngxú Xiàn</v>
      </c>
      <c r="N1251" s="13" t="str">
        <f>VLOOKUP(I1251,CHOOSE({1,2},Table12[Native],Table12[Name]),2,0)</f>
        <v>Tàiyuán Shì</v>
      </c>
      <c r="O1251" s="13" t="str">
        <f t="shared" si="38"/>
        <v>Xugou Zhen (Tàiyuán Shì)</v>
      </c>
      <c r="P1251" s="13" t="str">
        <f t="shared" si="39"/>
        <v>Xugou Zhen (Tàiyuán Shì)</v>
      </c>
    </row>
    <row r="1252" spans="1:16" hidden="1" x14ac:dyDescent="0.25">
      <c r="A1252" t="s">
        <v>1367</v>
      </c>
      <c r="B1252" t="str">
        <f>IF(COUNTIF(A:A,A1252)&gt;1,_xlfn.CONCAT(A1252," (",N1252,")"),A1252)</f>
        <v>Xújiāduŏ Xiāng</v>
      </c>
      <c r="C1252" t="str">
        <f>IF(COUNTIF(B:B,B1252)&gt;1,_xlfn.CONCAT(A1252," (",M1252,")"),B1252)</f>
        <v>Xújiāduŏ Xiāng</v>
      </c>
      <c r="D1252" t="s">
        <v>1368</v>
      </c>
      <c r="E1252" t="s">
        <v>17</v>
      </c>
      <c r="F1252" t="str">
        <f>_xlfn.CONCAT(D1252,", ",H1252,", ",I1252,", ","山西省")</f>
        <v>徐家垛乡, 大宁县, 临汾市, 山西省</v>
      </c>
      <c r="G1252">
        <v>6929</v>
      </c>
      <c r="H1252" t="s">
        <v>2929</v>
      </c>
      <c r="I1252" t="s">
        <v>2927</v>
      </c>
      <c r="J1252" t="e">
        <f>VLOOKUP(F1252,[1]!china_towns_second__2[[Column1]:[Y]],3,FALSE)</f>
        <v>#N/A</v>
      </c>
      <c r="K1252" t="e">
        <f>VLOOKUP(F1252,[1]!china_towns_second__2[[Column1]:[Y]],2,FALSE)</f>
        <v>#N/A</v>
      </c>
      <c r="L1252" t="s">
        <v>4823</v>
      </c>
      <c r="M1252" t="str">
        <f>VLOOKUP(H1252,CHOOSE({1,2},Table12[Native],Table12[Name]),2,0)</f>
        <v>Dàníng Xiàn</v>
      </c>
      <c r="N1252" s="13" t="str">
        <f>VLOOKUP(I1252,CHOOSE({1,2},Table12[Native],Table12[Name]),2,0)</f>
        <v>Línfén Shì</v>
      </c>
      <c r="O1252" s="13" t="str">
        <f t="shared" si="38"/>
        <v>Xujiaduo Xiang (Línfén Shì)</v>
      </c>
      <c r="P1252" s="13" t="str">
        <f t="shared" si="39"/>
        <v>Xujiaduo Xiang (Línfén Shì)</v>
      </c>
    </row>
    <row r="1253" spans="1:16" hidden="1" x14ac:dyDescent="0.25">
      <c r="A1253" t="s">
        <v>2428</v>
      </c>
      <c r="B1253" t="str">
        <f>IF(COUNTIF(A:A,A1253)&gt;1,_xlfn.CONCAT(A1253," (",N1253,")"),A1253)</f>
        <v>Xùláijiē Jiēdào [Qínchéng Xiāng]</v>
      </c>
      <c r="C1253" t="str">
        <f>IF(COUNTIF(B:B,B1253)&gt;1,_xlfn.CONCAT(A1253," (",M1253,")"),B1253)</f>
        <v>Xùláijiē Jiēdào [Qínchéng Xiāng]</v>
      </c>
      <c r="D1253" t="s">
        <v>2429</v>
      </c>
      <c r="E1253" t="s">
        <v>31</v>
      </c>
      <c r="F1253" t="str">
        <f>_xlfn.CONCAT(D1253,", ",H1253,", ",I1253,", ","山西省")</f>
        <v>旭来街街道, 忻府区, 忻州市, 山西省</v>
      </c>
      <c r="G1253">
        <v>21914</v>
      </c>
      <c r="H1253" t="s">
        <v>2994</v>
      </c>
      <c r="I1253" t="s">
        <v>2981</v>
      </c>
      <c r="J1253" t="e">
        <f>VLOOKUP(F1253,[1]!china_towns_second__2[[Column1]:[Y]],3,FALSE)</f>
        <v>#N/A</v>
      </c>
      <c r="K1253" t="e">
        <f>VLOOKUP(F1253,[1]!china_towns_second__2[[Column1]:[Y]],2,FALSE)</f>
        <v>#N/A</v>
      </c>
      <c r="L1253" t="s">
        <v>4824</v>
      </c>
      <c r="M1253" t="str">
        <f>VLOOKUP(H1253,CHOOSE({1,2},Table12[Native],Table12[Name]),2,0)</f>
        <v>Xīnfŭ Qū</v>
      </c>
      <c r="N1253" s="13" t="str">
        <f>VLOOKUP(I1253,CHOOSE({1,2},Table12[Native],Table12[Name]),2,0)</f>
        <v>Xīnzhōu Shì</v>
      </c>
      <c r="O1253" s="13" t="str">
        <f t="shared" si="38"/>
        <v>Xulaijie Jiedao [Qincheng Xiang] (Xīnzhōu Shì)</v>
      </c>
      <c r="P1253" s="13" t="str">
        <f t="shared" si="39"/>
        <v>Xulaijie Jiedao [Qincheng Xiang] (Xīnzhōu Shì)</v>
      </c>
    </row>
    <row r="1254" spans="1:16" hidden="1" x14ac:dyDescent="0.25">
      <c r="A1254" t="s">
        <v>2430</v>
      </c>
      <c r="B1254" t="str">
        <f>IF(COUNTIF(A:A,A1254)&gt;1,_xlfn.CONCAT(A1254," (",N1254,")"),A1254)</f>
        <v>Xúnzhèn Zhèn</v>
      </c>
      <c r="C1254" t="str">
        <f>IF(COUNTIF(B:B,B1254)&gt;1,_xlfn.CONCAT(A1254," (",M1254,")"),B1254)</f>
        <v>Xúnzhèn Zhèn</v>
      </c>
      <c r="D1254" t="s">
        <v>2431</v>
      </c>
      <c r="E1254" t="s">
        <v>7</v>
      </c>
      <c r="F1254" t="str">
        <f>_xlfn.CONCAT(D1254,", ",H1254,", ",I1254,", ","山西省")</f>
        <v>巡镇镇, 河曲县, 忻州市, 山西省</v>
      </c>
      <c r="G1254">
        <v>15044</v>
      </c>
      <c r="H1254" t="s">
        <v>2986</v>
      </c>
      <c r="I1254" t="s">
        <v>2981</v>
      </c>
      <c r="J1254">
        <f>VLOOKUP(F1254,[1]!china_towns_second__2[[Column1]:[Y]],3,FALSE)</f>
        <v>39.299144808249302</v>
      </c>
      <c r="K1254">
        <f>VLOOKUP(F1254,[1]!china_towns_second__2[[Column1]:[Y]],2,FALSE)</f>
        <v>111.2409408</v>
      </c>
      <c r="L1254" t="s">
        <v>4825</v>
      </c>
      <c r="M1254" t="str">
        <f>VLOOKUP(H1254,CHOOSE({1,2},Table12[Native],Table12[Name]),2,0)</f>
        <v>Héqŭ Xiàn</v>
      </c>
      <c r="N1254" s="13" t="str">
        <f>VLOOKUP(I1254,CHOOSE({1,2},Table12[Native],Table12[Name]),2,0)</f>
        <v>Xīnzhōu Shì</v>
      </c>
      <c r="O1254" s="13" t="str">
        <f t="shared" si="38"/>
        <v>Xunzhen Zhen (Xīnzhōu Shì)</v>
      </c>
      <c r="P1254" s="13" t="str">
        <f t="shared" si="39"/>
        <v>Xunzhen Zhen (Xīnzhōu Shì)</v>
      </c>
    </row>
    <row r="1255" spans="1:16" hidden="1" x14ac:dyDescent="0.25">
      <c r="A1255" t="s">
        <v>579</v>
      </c>
      <c r="B1255" t="str">
        <f>IF(COUNTIF(A:A,A1255)&gt;1,_xlfn.CONCAT(A1255," (",N1255,")"),A1255)</f>
        <v>Yā'éryá Xiāng</v>
      </c>
      <c r="C1255" t="str">
        <f>IF(COUNTIF(B:B,B1255)&gt;1,_xlfn.CONCAT(A1255," (",M1255,")"),B1255)</f>
        <v>Yā'éryá Xiāng</v>
      </c>
      <c r="D1255" t="s">
        <v>580</v>
      </c>
      <c r="E1255" t="s">
        <v>17</v>
      </c>
      <c r="F1255" t="str">
        <f>_xlfn.CONCAT(D1255,", ",H1255,", ",I1255,", ","山西省")</f>
        <v>鸦儿崖乡, 云冈区, 大同市, 山西省</v>
      </c>
      <c r="G1255">
        <v>8707</v>
      </c>
      <c r="H1255" t="s">
        <v>2902</v>
      </c>
      <c r="I1255" t="s">
        <v>2894</v>
      </c>
      <c r="J1255" t="e">
        <f>VLOOKUP(F1255,[1]!china_towns_second__2[[Column1]:[Y]],3,FALSE)</f>
        <v>#N/A</v>
      </c>
      <c r="K1255" t="e">
        <f>VLOOKUP(F1255,[1]!china_towns_second__2[[Column1]:[Y]],2,FALSE)</f>
        <v>#N/A</v>
      </c>
      <c r="L1255" t="s">
        <v>4826</v>
      </c>
      <c r="M1255" t="str">
        <f>VLOOKUP(H1255,CHOOSE({1,2},Table12[Native],Table12[Name]),2,0)</f>
        <v>Yúngāng Qū</v>
      </c>
      <c r="N1255" s="13" t="str">
        <f>VLOOKUP(I1255,CHOOSE({1,2},Table12[Native],Table12[Name]),2,0)</f>
        <v>Dàtóng Shì</v>
      </c>
      <c r="O1255" s="13" t="str">
        <f t="shared" si="38"/>
        <v>Ya'erya Xiang (Dàtóng Shì)</v>
      </c>
      <c r="P1255" s="13" t="str">
        <f t="shared" si="39"/>
        <v>Ya'erya Xiang (Dàtóng Shì)</v>
      </c>
    </row>
    <row r="1256" spans="1:16" hidden="1" x14ac:dyDescent="0.25">
      <c r="A1256" t="s">
        <v>291</v>
      </c>
      <c r="B1256" t="str">
        <f>IF(COUNTIF(A:A,A1256)&gt;1,_xlfn.CONCAT(A1256," (",N1256,")"),A1256)</f>
        <v>Yán'ānnánlù Jiēdào</v>
      </c>
      <c r="C1256" t="str">
        <f>IF(COUNTIF(B:B,B1256)&gt;1,_xlfn.CONCAT(A1256," (",M1256,")"),B1256)</f>
        <v>Yán'ānnánlù Jiēdào</v>
      </c>
      <c r="D1256" t="s">
        <v>292</v>
      </c>
      <c r="E1256" t="s">
        <v>31</v>
      </c>
      <c r="F1256" t="str">
        <f>_xlfn.CONCAT(D1256,", ",H1256,", ",I1256,", ","山西省")</f>
        <v>延安南路街道, 潞州区, 长治市, 山西省</v>
      </c>
      <c r="G1256">
        <v>57144</v>
      </c>
      <c r="H1256" t="s">
        <v>2885</v>
      </c>
      <c r="I1256" t="s">
        <v>2878</v>
      </c>
      <c r="J1256" t="e">
        <f>VLOOKUP(F1256,[1]!china_towns_second__2[[Column1]:[Y]],3,FALSE)</f>
        <v>#N/A</v>
      </c>
      <c r="K1256" t="e">
        <f>VLOOKUP(F1256,[1]!china_towns_second__2[[Column1]:[Y]],2,FALSE)</f>
        <v>#N/A</v>
      </c>
      <c r="L1256" t="s">
        <v>4827</v>
      </c>
      <c r="M1256" t="str">
        <f>VLOOKUP(H1256,CHOOSE({1,2},Table12[Native],Table12[Name]),2,0)</f>
        <v>Lùzhōu Qū</v>
      </c>
      <c r="N1256" s="13" t="str">
        <f>VLOOKUP(I1256,CHOOSE({1,2},Table12[Native],Table12[Name]),2,0)</f>
        <v>Chángzhì Shì</v>
      </c>
      <c r="O1256" s="13" t="str">
        <f t="shared" si="38"/>
        <v>Yan'annanlu Jiedao (Chángzhì Shì)</v>
      </c>
      <c r="P1256" s="13" t="str">
        <f t="shared" si="39"/>
        <v>Yan'annanlu Jiedao (Chángzhì Shì)</v>
      </c>
    </row>
    <row r="1257" spans="1:16" hidden="1" x14ac:dyDescent="0.25">
      <c r="A1257" t="s">
        <v>2432</v>
      </c>
      <c r="B1257" t="str">
        <f>IF(COUNTIF(A:A,A1257)&gt;1,_xlfn.CONCAT(A1257," (",N1257,")"),A1257)</f>
        <v>Yànchéng Zhèn</v>
      </c>
      <c r="C1257" t="str">
        <f>IF(COUNTIF(B:B,B1257)&gt;1,_xlfn.CONCAT(A1257," (",M1257,")"),B1257)</f>
        <v>Yànchéng Zhèn</v>
      </c>
      <c r="D1257" t="s">
        <v>2433</v>
      </c>
      <c r="E1257" t="s">
        <v>7</v>
      </c>
      <c r="F1257" t="str">
        <f>_xlfn.CONCAT(D1257,", ",H1257,", ",I1257,", ","山西省")</f>
        <v>砚城镇, 五寨县, 忻州市, 山西省</v>
      </c>
      <c r="G1257">
        <v>44962</v>
      </c>
      <c r="H1257" t="s">
        <v>2993</v>
      </c>
      <c r="I1257" t="s">
        <v>2981</v>
      </c>
      <c r="J1257">
        <f>VLOOKUP(F1257,[1]!china_towns_second__2[[Column1]:[Y]],3,FALSE)</f>
        <v>38.913428387936499</v>
      </c>
      <c r="K1257">
        <f>VLOOKUP(F1257,[1]!china_towns_second__2[[Column1]:[Y]],2,FALSE)</f>
        <v>111.83131760000001</v>
      </c>
      <c r="L1257" t="s">
        <v>4828</v>
      </c>
      <c r="M1257" t="str">
        <f>VLOOKUP(H1257,CHOOSE({1,2},Table12[Native],Table12[Name]),2,0)</f>
        <v>Wŭzhài Xiàn</v>
      </c>
      <c r="N1257" s="13" t="str">
        <f>VLOOKUP(I1257,CHOOSE({1,2},Table12[Native],Table12[Name]),2,0)</f>
        <v>Xīnzhōu Shì</v>
      </c>
      <c r="O1257" s="13" t="str">
        <f t="shared" si="38"/>
        <v>Yancheng Zhen (Xīnzhōu Shì)</v>
      </c>
      <c r="P1257" s="13" t="str">
        <f t="shared" si="39"/>
        <v>Yancheng Zhen (Xīnzhōu Shì)</v>
      </c>
    </row>
    <row r="1258" spans="1:16" hidden="1" x14ac:dyDescent="0.25">
      <c r="A1258" t="s">
        <v>1369</v>
      </c>
      <c r="B1258" t="str">
        <f>IF(COUNTIF(A:A,A1258)&gt;1,_xlfn.CONCAT(A1258," (",N1258,")"),A1258)</f>
        <v>Yāndĭ Xiāng</v>
      </c>
      <c r="C1258" t="str">
        <f>IF(COUNTIF(B:B,B1258)&gt;1,_xlfn.CONCAT(A1258," (",M1258,")"),B1258)</f>
        <v>Yāndĭ Xiāng</v>
      </c>
      <c r="D1258" t="s">
        <v>1370</v>
      </c>
      <c r="E1258" t="s">
        <v>17</v>
      </c>
      <c r="F1258" t="str">
        <f>_xlfn.CONCAT(D1258,", ",H1258,", ",I1258,", ","山西省")</f>
        <v>淹底乡, 洪洞县, 临汾市, 山西省</v>
      </c>
      <c r="G1258">
        <v>37482</v>
      </c>
      <c r="H1258" t="s">
        <v>2933</v>
      </c>
      <c r="I1258" t="s">
        <v>2927</v>
      </c>
      <c r="J1258" t="e">
        <f>VLOOKUP(F1258,[1]!china_towns_second__2[[Column1]:[Y]],3,FALSE)</f>
        <v>#N/A</v>
      </c>
      <c r="K1258" t="e">
        <f>VLOOKUP(F1258,[1]!china_towns_second__2[[Column1]:[Y]],2,FALSE)</f>
        <v>#N/A</v>
      </c>
      <c r="L1258" t="s">
        <v>4829</v>
      </c>
      <c r="M1258" t="str">
        <f>VLOOKUP(H1258,CHOOSE({1,2},Table12[Native],Table12[Name]),2,0)</f>
        <v>Hóngdòng Xiàn</v>
      </c>
      <c r="N1258" s="13" t="str">
        <f>VLOOKUP(I1258,CHOOSE({1,2},Table12[Native],Table12[Name]),2,0)</f>
        <v>Línfén Shì</v>
      </c>
      <c r="O1258" s="13" t="str">
        <f t="shared" si="38"/>
        <v>Yandi Xiang (Línfén Shì)</v>
      </c>
      <c r="P1258" s="13" t="str">
        <f t="shared" si="39"/>
        <v>Yandi Xiang (Línfén Shì)</v>
      </c>
    </row>
    <row r="1259" spans="1:16" hidden="1" x14ac:dyDescent="0.25">
      <c r="A1259" t="s">
        <v>293</v>
      </c>
      <c r="B1259" t="str">
        <f>IF(COUNTIF(A:A,A1259)&gt;1,_xlfn.CONCAT(A1259," (",N1259,")"),A1259)</f>
        <v>Yáng'ān Xiāng</v>
      </c>
      <c r="C1259" t="str">
        <f>IF(COUNTIF(B:B,B1259)&gt;1,_xlfn.CONCAT(A1259," (",M1259,")"),B1259)</f>
        <v>Yáng'ān Xiāng</v>
      </c>
      <c r="D1259" t="s">
        <v>294</v>
      </c>
      <c r="E1259" t="s">
        <v>17</v>
      </c>
      <c r="F1259" t="str">
        <f>_xlfn.CONCAT(D1259,", ",H1259,", ",I1259,", ","山西省")</f>
        <v>杨安乡, 沁县, 长治市, 山西省</v>
      </c>
      <c r="G1259">
        <v>3037</v>
      </c>
      <c r="H1259" t="s">
        <v>2887</v>
      </c>
      <c r="I1259" t="s">
        <v>2878</v>
      </c>
      <c r="J1259" t="e">
        <f>VLOOKUP(F1259,[1]!china_towns_second__2[[Column1]:[Y]],3,FALSE)</f>
        <v>#N/A</v>
      </c>
      <c r="K1259" t="e">
        <f>VLOOKUP(F1259,[1]!china_towns_second__2[[Column1]:[Y]],2,FALSE)</f>
        <v>#N/A</v>
      </c>
      <c r="L1259" t="s">
        <v>4830</v>
      </c>
      <c r="M1259" t="str">
        <f>VLOOKUP(H1259,CHOOSE({1,2},Table12[Native],Table12[Name]),2,0)</f>
        <v>Qìn Xiàn</v>
      </c>
      <c r="N1259" s="13" t="str">
        <f>VLOOKUP(I1259,CHOOSE({1,2},Table12[Native],Table12[Name]),2,0)</f>
        <v>Chángzhì Shì</v>
      </c>
      <c r="O1259" s="13" t="str">
        <f t="shared" si="38"/>
        <v>Yang'an Xiang (Chángzhì Shì)</v>
      </c>
      <c r="P1259" s="13" t="str">
        <f t="shared" si="39"/>
        <v>Yang'an Xiang (Chángzhì Shì)</v>
      </c>
    </row>
    <row r="1260" spans="1:16" hidden="1" x14ac:dyDescent="0.25">
      <c r="A1260" t="s">
        <v>2434</v>
      </c>
      <c r="B1260" t="str">
        <f>IF(COUNTIF(A:A,A1260)&gt;1,_xlfn.CONCAT(A1260," (",N1260,")"),A1260)</f>
        <v>Yángbái Xiāng</v>
      </c>
      <c r="C1260" t="str">
        <f>IF(COUNTIF(B:B,B1260)&gt;1,_xlfn.CONCAT(A1260," (",M1260,")"),B1260)</f>
        <v>Yángbái Xiāng</v>
      </c>
      <c r="D1260" t="s">
        <v>2435</v>
      </c>
      <c r="E1260" t="s">
        <v>17</v>
      </c>
      <c r="F1260" t="str">
        <f>_xlfn.CONCAT(D1260,", ",H1260,", ",I1260,", ","山西省")</f>
        <v>阳白乡, 五台县, 忻州市, 山西省</v>
      </c>
      <c r="G1260">
        <v>21424</v>
      </c>
      <c r="H1260" t="s">
        <v>2992</v>
      </c>
      <c r="I1260" t="s">
        <v>2981</v>
      </c>
      <c r="J1260" t="e">
        <f>VLOOKUP(F1260,[1]!china_towns_second__2[[Column1]:[Y]],3,FALSE)</f>
        <v>#N/A</v>
      </c>
      <c r="K1260" t="e">
        <f>VLOOKUP(F1260,[1]!china_towns_second__2[[Column1]:[Y]],2,FALSE)</f>
        <v>#N/A</v>
      </c>
      <c r="L1260" t="s">
        <v>4831</v>
      </c>
      <c r="M1260" t="str">
        <f>VLOOKUP(H1260,CHOOSE({1,2},Table12[Native],Table12[Name]),2,0)</f>
        <v>Wŭtái Xiàn</v>
      </c>
      <c r="N1260" s="13" t="str">
        <f>VLOOKUP(I1260,CHOOSE({1,2},Table12[Native],Table12[Name]),2,0)</f>
        <v>Xīnzhōu Shì</v>
      </c>
      <c r="O1260" s="13" t="str">
        <f t="shared" si="38"/>
        <v>Yangbai Xiang (Xīnzhōu Shì)</v>
      </c>
      <c r="P1260" s="13" t="str">
        <f t="shared" si="39"/>
        <v>Yangbai Xiang (Xīnzhōu Shì)</v>
      </c>
    </row>
    <row r="1261" spans="1:16" hidden="1" x14ac:dyDescent="0.25">
      <c r="A1261" t="s">
        <v>1698</v>
      </c>
      <c r="B1261" t="str">
        <f>IF(COUNTIF(A:A,A1261)&gt;1,_xlfn.CONCAT(A1261," (",N1261,")"),A1261)</f>
        <v>Yángchéng Xiāng</v>
      </c>
      <c r="C1261" t="str">
        <f>IF(COUNTIF(B:B,B1261)&gt;1,_xlfn.CONCAT(A1261," (",M1261,")"),B1261)</f>
        <v>Yángchéng Xiāng</v>
      </c>
      <c r="D1261" t="s">
        <v>1699</v>
      </c>
      <c r="E1261" t="s">
        <v>17</v>
      </c>
      <c r="F1261" t="str">
        <f>_xlfn.CONCAT(D1261,", ",H1261,", ",I1261,", ","山西省")</f>
        <v>阳城乡, 汾阳市, 吕梁市, 山西省</v>
      </c>
      <c r="G1261">
        <v>42592</v>
      </c>
      <c r="H1261" t="s">
        <v>2948</v>
      </c>
      <c r="I1261" t="s">
        <v>2946</v>
      </c>
      <c r="J1261" t="e">
        <f>VLOOKUP(F1261,[1]!china_towns_second__2[[Column1]:[Y]],3,FALSE)</f>
        <v>#N/A</v>
      </c>
      <c r="K1261" t="e">
        <f>VLOOKUP(F1261,[1]!china_towns_second__2[[Column1]:[Y]],2,FALSE)</f>
        <v>#N/A</v>
      </c>
      <c r="L1261" t="s">
        <v>4832</v>
      </c>
      <c r="M1261" t="str">
        <f>VLOOKUP(H1261,CHOOSE({1,2},Table12[Native],Table12[Name]),2,0)</f>
        <v>Fényáng Shì</v>
      </c>
      <c r="N1261" s="13" t="str">
        <f>VLOOKUP(I1261,CHOOSE({1,2},Table12[Native],Table12[Name]),2,0)</f>
        <v>Lǚliáng Shì</v>
      </c>
      <c r="O1261" s="13" t="str">
        <f t="shared" si="38"/>
        <v>Yangcheng Xiang (Lǚliáng Shì)</v>
      </c>
      <c r="P1261" s="13" t="str">
        <f t="shared" si="39"/>
        <v>Yangcheng Xiang (Lǚliáng Shì)</v>
      </c>
    </row>
    <row r="1262" spans="1:16" hidden="1" x14ac:dyDescent="0.25">
      <c r="A1262" t="s">
        <v>2834</v>
      </c>
      <c r="B1262" t="str">
        <f>IF(COUNTIF(A:A,A1262)&gt;1,_xlfn.CONCAT(A1262," (",N1262,")"),A1262)</f>
        <v>Yángchéng Zhèn</v>
      </c>
      <c r="C1262" t="str">
        <f>IF(COUNTIF(B:B,B1262)&gt;1,_xlfn.CONCAT(A1262," (",M1262,")"),B1262)</f>
        <v>Yángchéng Zhèn</v>
      </c>
      <c r="D1262" t="s">
        <v>2835</v>
      </c>
      <c r="E1262" t="s">
        <v>7</v>
      </c>
      <c r="F1262" t="str">
        <f>_xlfn.CONCAT(D1262,", ",H1262,", ",I1262,", ","山西省")</f>
        <v>阳城镇, 芮城县, 运城市, 山西省</v>
      </c>
      <c r="G1262">
        <v>36554</v>
      </c>
      <c r="H1262" t="s">
        <v>3009</v>
      </c>
      <c r="I1262" t="s">
        <v>3003</v>
      </c>
      <c r="J1262">
        <f>VLOOKUP(F1262,[1]!china_towns_second__2[[Column1]:[Y]],3,FALSE)</f>
        <v>34.706376341351998</v>
      </c>
      <c r="K1262">
        <f>VLOOKUP(F1262,[1]!china_towns_second__2[[Column1]:[Y]],2,FALSE)</f>
        <v>110.44894789999999</v>
      </c>
      <c r="L1262" t="s">
        <v>4833</v>
      </c>
      <c r="M1262" t="str">
        <f>VLOOKUP(H1262,CHOOSE({1,2},Table12[Native],Table12[Name]),2,0)</f>
        <v>Ruìchéng Xiàn</v>
      </c>
      <c r="N1262" s="13" t="str">
        <f>VLOOKUP(I1262,CHOOSE({1,2},Table12[Native],Table12[Name]),2,0)</f>
        <v>Yùnchéng Shì</v>
      </c>
      <c r="O1262" s="13" t="str">
        <f t="shared" si="38"/>
        <v>Yangcheng Zhen (Yùnchéng Shì)</v>
      </c>
      <c r="P1262" s="13" t="str">
        <f t="shared" si="39"/>
        <v>Yangcheng Zhen (Yùnchéng Shì)</v>
      </c>
    </row>
    <row r="1263" spans="1:16" hidden="1" x14ac:dyDescent="0.25">
      <c r="A1263" t="s">
        <v>2836</v>
      </c>
      <c r="B1263" t="str">
        <f>IF(COUNTIF(A:A,A1263)&gt;1,_xlfn.CONCAT(A1263," (",N1263,")"),A1263)</f>
        <v>Yángcūn Xiāng</v>
      </c>
      <c r="C1263" t="str">
        <f>IF(COUNTIF(B:B,B1263)&gt;1,_xlfn.CONCAT(A1263," (",M1263,")"),B1263)</f>
        <v>Yángcūn Xiāng</v>
      </c>
      <c r="D1263" t="s">
        <v>2837</v>
      </c>
      <c r="E1263" t="s">
        <v>17</v>
      </c>
      <c r="F1263" t="str">
        <f>_xlfn.CONCAT(D1263,", ",H1263,", ",I1263,", ","山西省")</f>
        <v>阳村乡, 河津市, 运城市, 山西省</v>
      </c>
      <c r="G1263">
        <v>21689</v>
      </c>
      <c r="H1263" t="s">
        <v>3004</v>
      </c>
      <c r="I1263" t="s">
        <v>3003</v>
      </c>
      <c r="J1263" t="e">
        <f>VLOOKUP(F1263,[1]!china_towns_second__2[[Column1]:[Y]],3,FALSE)</f>
        <v>#N/A</v>
      </c>
      <c r="K1263" t="e">
        <f>VLOOKUP(F1263,[1]!china_towns_second__2[[Column1]:[Y]],2,FALSE)</f>
        <v>#N/A</v>
      </c>
      <c r="L1263" t="s">
        <v>4834</v>
      </c>
      <c r="M1263" t="str">
        <f>VLOOKUP(H1263,CHOOSE({1,2},Table12[Native],Table12[Name]),2,0)</f>
        <v>Héjīn Shì</v>
      </c>
      <c r="N1263" s="13" t="str">
        <f>VLOOKUP(I1263,CHOOSE({1,2},Table12[Native],Table12[Name]),2,0)</f>
        <v>Yùnchéng Shì</v>
      </c>
      <c r="O1263" s="13" t="str">
        <f t="shared" si="38"/>
        <v>Yangcun Xiang (Yùnchéng Shì)</v>
      </c>
      <c r="P1263" s="13" t="str">
        <f t="shared" si="39"/>
        <v>Yangcun Xiang (Yùnchéng Shì)</v>
      </c>
    </row>
    <row r="1264" spans="1:16" hidden="1" x14ac:dyDescent="0.25">
      <c r="A1264" t="s">
        <v>761</v>
      </c>
      <c r="B1264" t="str">
        <f>IF(COUNTIF(A:A,A1264)&gt;1,_xlfn.CONCAT(A1264," (",N1264,")"),A1264)</f>
        <v>Yángcūn Zhèn</v>
      </c>
      <c r="C1264" t="str">
        <f>IF(COUNTIF(B:B,B1264)&gt;1,_xlfn.CONCAT(A1264," (",M1264,")"),B1264)</f>
        <v>Yángcūn Zhèn</v>
      </c>
      <c r="D1264" t="s">
        <v>762</v>
      </c>
      <c r="E1264" t="s">
        <v>7</v>
      </c>
      <c r="F1264" t="str">
        <f>_xlfn.CONCAT(D1264,", ",H1264,", ",I1264,", ","山西省")</f>
        <v>杨村镇, 陵川县, 晋城市, 山西省</v>
      </c>
      <c r="G1264">
        <v>16223</v>
      </c>
      <c r="H1264" t="s">
        <v>2909</v>
      </c>
      <c r="I1264" t="s">
        <v>2906</v>
      </c>
      <c r="J1264">
        <f>VLOOKUP(F1264,[1]!china_towns_second__2[[Column1]:[Y]],3,FALSE)</f>
        <v>35.847866260733298</v>
      </c>
      <c r="K1264">
        <f>VLOOKUP(F1264,[1]!china_towns_second__2[[Column1]:[Y]],2,FALSE)</f>
        <v>113.17732530000001</v>
      </c>
      <c r="L1264" t="s">
        <v>4835</v>
      </c>
      <c r="M1264" t="str">
        <f>VLOOKUP(H1264,CHOOSE({1,2},Table12[Native],Table12[Name]),2,0)</f>
        <v>Língchuān Xiàn</v>
      </c>
      <c r="N1264" s="13" t="str">
        <f>VLOOKUP(I1264,CHOOSE({1,2},Table12[Native],Table12[Name]),2,0)</f>
        <v>Jìnchéng Shì</v>
      </c>
      <c r="O1264" s="13" t="str">
        <f t="shared" si="38"/>
        <v>Yangcun Zhen (Jìnchéng Shì)</v>
      </c>
      <c r="P1264" s="13" t="str">
        <f t="shared" si="39"/>
        <v>Yangcun Zhen (Jìnchéng Shì)</v>
      </c>
    </row>
    <row r="1265" spans="1:16" hidden="1" x14ac:dyDescent="0.25">
      <c r="A1265" t="s">
        <v>2440</v>
      </c>
      <c r="B1265" t="str">
        <f>IF(COUNTIF(A:A,A1265)&gt;1,_xlfn.CONCAT(A1265," (",N1265,")"),A1265)</f>
        <v>Yángfāng Xiāng</v>
      </c>
      <c r="C1265" t="str">
        <f>IF(COUNTIF(B:B,B1265)&gt;1,_xlfn.CONCAT(A1265," (",M1265,")"),B1265)</f>
        <v>Yángfāng Xiāng</v>
      </c>
      <c r="D1265" t="s">
        <v>2441</v>
      </c>
      <c r="E1265" t="s">
        <v>17</v>
      </c>
      <c r="F1265" t="str">
        <f>_xlfn.CONCAT(D1265,", ",H1265,", ",I1265,", ","山西省")</f>
        <v>杨芳乡, 定襄县, 忻州市, 山西省</v>
      </c>
      <c r="G1265">
        <v>16054</v>
      </c>
      <c r="H1265" t="s">
        <v>2984</v>
      </c>
      <c r="I1265" t="s">
        <v>2981</v>
      </c>
      <c r="J1265" t="e">
        <f>VLOOKUP(F1265,[1]!china_towns_second__2[[Column1]:[Y]],3,FALSE)</f>
        <v>#N/A</v>
      </c>
      <c r="K1265" t="e">
        <f>VLOOKUP(F1265,[1]!china_towns_second__2[[Column1]:[Y]],2,FALSE)</f>
        <v>#N/A</v>
      </c>
      <c r="L1265" t="s">
        <v>4836</v>
      </c>
      <c r="M1265" t="str">
        <f>VLOOKUP(H1265,CHOOSE({1,2},Table12[Native],Table12[Name]),2,0)</f>
        <v>Dìngxiāng Xiàn</v>
      </c>
      <c r="N1265" s="13" t="str">
        <f>VLOOKUP(I1265,CHOOSE({1,2},Table12[Native],Table12[Name]),2,0)</f>
        <v>Xīnzhōu Shì</v>
      </c>
      <c r="O1265" s="13" t="str">
        <f t="shared" si="38"/>
        <v>Yangfang Xiang (Xīnzhōu Shì)</v>
      </c>
      <c r="P1265" s="13" t="str">
        <f t="shared" si="39"/>
        <v>Yangfang Xiang (Xīnzhōu Shì)</v>
      </c>
    </row>
    <row r="1266" spans="1:16" hidden="1" x14ac:dyDescent="0.25">
      <c r="A1266" t="s">
        <v>2436</v>
      </c>
      <c r="B1266" t="str">
        <f>IF(COUNTIF(A:A,A1266)&gt;1,_xlfn.CONCAT(A1266," (",N1266,")"),A1266)</f>
        <v>Yángfāngkŏu Méikuàng</v>
      </c>
      <c r="C1266" t="str">
        <f>IF(COUNTIF(B:B,B1266)&gt;1,_xlfn.CONCAT(A1266," (",M1266,")"),B1266)</f>
        <v>Yángfāngkŏu Méikuàng</v>
      </c>
      <c r="D1266" t="s">
        <v>2437</v>
      </c>
      <c r="E1266" t="s">
        <v>35</v>
      </c>
      <c r="F1266" t="str">
        <f>_xlfn.CONCAT(D1266,", ",H1266,", ",I1266,", ","山西省")</f>
        <v>阳方口煤矿, 宁武县, 忻州市, 山西省</v>
      </c>
      <c r="G1266">
        <v>6488</v>
      </c>
      <c r="H1266" t="s">
        <v>2989</v>
      </c>
      <c r="I1266" t="s">
        <v>2981</v>
      </c>
      <c r="J1266" t="e">
        <f>VLOOKUP(F1266,[1]!china_towns_second__2[[Column1]:[Y]],3,FALSE)</f>
        <v>#N/A</v>
      </c>
      <c r="K1266" t="e">
        <f>VLOOKUP(F1266,[1]!china_towns_second__2[[Column1]:[Y]],2,FALSE)</f>
        <v>#N/A</v>
      </c>
      <c r="L1266" t="s">
        <v>4837</v>
      </c>
      <c r="M1266" t="str">
        <f>VLOOKUP(H1266,CHOOSE({1,2},Table12[Native],Table12[Name]),2,0)</f>
        <v>Níngwŭ Xiàn</v>
      </c>
      <c r="N1266" s="13" t="str">
        <f>VLOOKUP(I1266,CHOOSE({1,2},Table12[Native],Table12[Name]),2,0)</f>
        <v>Xīnzhōu Shì</v>
      </c>
      <c r="O1266" s="13" t="str">
        <f t="shared" si="38"/>
        <v>Yangfangkou Meikuang (Xīnzhōu Shì)</v>
      </c>
      <c r="P1266" s="13" t="str">
        <f t="shared" si="39"/>
        <v>Yangfangkou Meikuang (Xīnzhōu Shì)</v>
      </c>
    </row>
    <row r="1267" spans="1:16" hidden="1" x14ac:dyDescent="0.25">
      <c r="A1267" t="s">
        <v>2438</v>
      </c>
      <c r="B1267" t="str">
        <f>IF(COUNTIF(A:A,A1267)&gt;1,_xlfn.CONCAT(A1267," (",N1267,")"),A1267)</f>
        <v>Yángfāngkŏu Zhèn</v>
      </c>
      <c r="C1267" t="str">
        <f>IF(COUNTIF(B:B,B1267)&gt;1,_xlfn.CONCAT(A1267," (",M1267,")"),B1267)</f>
        <v>Yángfāngkŏu Zhèn</v>
      </c>
      <c r="D1267" t="s">
        <v>2439</v>
      </c>
      <c r="E1267" t="s">
        <v>7</v>
      </c>
      <c r="F1267" t="str">
        <f>_xlfn.CONCAT(D1267,", ",H1267,", ",I1267,", ","山西省")</f>
        <v>阳方口镇, 宁武县, 忻州市, 山西省</v>
      </c>
      <c r="G1267">
        <v>11605</v>
      </c>
      <c r="H1267" t="s">
        <v>2989</v>
      </c>
      <c r="I1267" t="s">
        <v>2981</v>
      </c>
      <c r="J1267">
        <f>VLOOKUP(F1267,[1]!china_towns_second__2[[Column1]:[Y]],3,FALSE)</f>
        <v>39.080189081674597</v>
      </c>
      <c r="K1267">
        <f>VLOOKUP(F1267,[1]!china_towns_second__2[[Column1]:[Y]],2,FALSE)</f>
        <v>112.3448781</v>
      </c>
      <c r="L1267" t="s">
        <v>4838</v>
      </c>
      <c r="M1267" t="str">
        <f>VLOOKUP(H1267,CHOOSE({1,2},Table12[Native],Table12[Name]),2,0)</f>
        <v>Níngwŭ Xiàn</v>
      </c>
      <c r="N1267" s="13" t="str">
        <f>VLOOKUP(I1267,CHOOSE({1,2},Table12[Native],Table12[Name]),2,0)</f>
        <v>Xīnzhōu Shì</v>
      </c>
      <c r="O1267" s="13" t="str">
        <f t="shared" si="38"/>
        <v>Yangfangkou Zhen (Xīnzhōu Shì)</v>
      </c>
      <c r="P1267" s="13" t="str">
        <f t="shared" si="39"/>
        <v>Yangfangkou Zhen (Xīnzhōu Shì)</v>
      </c>
    </row>
    <row r="1268" spans="1:16" hidden="1" x14ac:dyDescent="0.25">
      <c r="A1268" t="s">
        <v>295</v>
      </c>
      <c r="B1268" t="str">
        <f>IF(COUNTIF(A:A,A1268)&gt;1,_xlfn.CONCAT(A1268," (",N1268,")"),A1268)</f>
        <v>Yánggāo Xiāng</v>
      </c>
      <c r="C1268" t="str">
        <f>IF(COUNTIF(B:B,B1268)&gt;1,_xlfn.CONCAT(A1268," (",M1268,")"),B1268)</f>
        <v>Yánggāo Xiāng</v>
      </c>
      <c r="D1268" t="s">
        <v>296</v>
      </c>
      <c r="E1268" t="s">
        <v>17</v>
      </c>
      <c r="F1268" t="str">
        <f>_xlfn.CONCAT(D1268,", ",H1268,", ",I1268,", ","山西省")</f>
        <v>阳高乡, 平顺县, 长治市, 山西省</v>
      </c>
      <c r="G1268">
        <v>8787</v>
      </c>
      <c r="H1268" t="s">
        <v>2886</v>
      </c>
      <c r="I1268" t="s">
        <v>2878</v>
      </c>
      <c r="J1268" t="e">
        <f>VLOOKUP(F1268,[1]!china_towns_second__2[[Column1]:[Y]],3,FALSE)</f>
        <v>#N/A</v>
      </c>
      <c r="K1268" t="e">
        <f>VLOOKUP(F1268,[1]!china_towns_second__2[[Column1]:[Y]],2,FALSE)</f>
        <v>#N/A</v>
      </c>
      <c r="L1268" t="s">
        <v>4839</v>
      </c>
      <c r="M1268" t="str">
        <f>VLOOKUP(H1268,CHOOSE({1,2},Table12[Native],Table12[Name]),2,0)</f>
        <v>Píngshùn Xiàn</v>
      </c>
      <c r="N1268" s="13" t="str">
        <f>VLOOKUP(I1268,CHOOSE({1,2},Table12[Native],Table12[Name]),2,0)</f>
        <v>Chángzhì Shì</v>
      </c>
      <c r="O1268" s="13" t="str">
        <f t="shared" si="38"/>
        <v>Yanggao Xiang (Chángzhì Shì)</v>
      </c>
      <c r="P1268" s="13" t="str">
        <f t="shared" si="39"/>
        <v>Yanggao Xiang (Chángzhì Shì)</v>
      </c>
    </row>
    <row r="1269" spans="1:16" hidden="1" x14ac:dyDescent="0.25">
      <c r="A1269" t="s">
        <v>1020</v>
      </c>
      <c r="B1269" t="str">
        <f>IF(COUNTIF(A:A,A1269)&gt;1,_xlfn.CONCAT(A1269," (",N1269,")"),A1269)</f>
        <v>Yángguāngzhàn Xiāng</v>
      </c>
      <c r="C1269" t="str">
        <f>IF(COUNTIF(B:B,B1269)&gt;1,_xlfn.CONCAT(A1269," (",M1269,")"),B1269)</f>
        <v>Yángguāngzhàn Xiāng</v>
      </c>
      <c r="D1269" t="s">
        <v>1021</v>
      </c>
      <c r="E1269" t="s">
        <v>17</v>
      </c>
      <c r="F1269" t="str">
        <f>_xlfn.CONCAT(D1269,", ",H1269,", ",I1269,", ","山西省")</f>
        <v>阳光占乡, 和顺县, 晋中市, 山西省</v>
      </c>
      <c r="G1269">
        <v>3237</v>
      </c>
      <c r="H1269" t="s">
        <v>2915</v>
      </c>
      <c r="I1269" t="s">
        <v>2914</v>
      </c>
      <c r="J1269" t="e">
        <f>VLOOKUP(F1269,[1]!china_towns_second__2[[Column1]:[Y]],3,FALSE)</f>
        <v>#N/A</v>
      </c>
      <c r="K1269" t="e">
        <f>VLOOKUP(F1269,[1]!china_towns_second__2[[Column1]:[Y]],2,FALSE)</f>
        <v>#N/A</v>
      </c>
      <c r="L1269" t="s">
        <v>4840</v>
      </c>
      <c r="M1269" t="str">
        <f>VLOOKUP(H1269,CHOOSE({1,2},Table12[Native],Table12[Name]),2,0)</f>
        <v>Héshùn Xiàn</v>
      </c>
      <c r="N1269" s="13" t="str">
        <f>VLOOKUP(I1269,CHOOSE({1,2},Table12[Native],Table12[Name]),2,0)</f>
        <v>Jìnzhōng Shì</v>
      </c>
      <c r="O1269" s="13" t="str">
        <f t="shared" si="38"/>
        <v>Yangguangzhan Xiang (Jìnzhōng Shì)</v>
      </c>
      <c r="P1269" s="13" t="str">
        <f t="shared" si="39"/>
        <v>Yangguangzhan Xiang (Jìnzhōng Shì)</v>
      </c>
    </row>
    <row r="1270" spans="1:16" hidden="1" x14ac:dyDescent="0.25">
      <c r="A1270" t="s">
        <v>1022</v>
      </c>
      <c r="B1270" t="str">
        <f>IF(COUNTIF(A:A,A1270)&gt;1,_xlfn.CONCAT(A1270," (",N1270,")"),A1270)</f>
        <v>Yángjiăo Xiāng</v>
      </c>
      <c r="C1270" t="str">
        <f>IF(COUNTIF(B:B,B1270)&gt;1,_xlfn.CONCAT(A1270," (",M1270,")"),B1270)</f>
        <v>Yángjiăo Xiāng</v>
      </c>
      <c r="D1270" t="s">
        <v>1023</v>
      </c>
      <c r="E1270" t="s">
        <v>17</v>
      </c>
      <c r="F1270" t="str">
        <f>_xlfn.CONCAT(D1270,", ",H1270,", ",I1270,", ","山西省")</f>
        <v>羊角乡, 左权县, 晋中市, 山西省</v>
      </c>
      <c r="G1270">
        <v>5504</v>
      </c>
      <c r="H1270" t="s">
        <v>2925</v>
      </c>
      <c r="I1270" t="s">
        <v>2914</v>
      </c>
      <c r="J1270" t="e">
        <f>VLOOKUP(F1270,[1]!china_towns_second__2[[Column1]:[Y]],3,FALSE)</f>
        <v>#N/A</v>
      </c>
      <c r="K1270" t="e">
        <f>VLOOKUP(F1270,[1]!china_towns_second__2[[Column1]:[Y]],2,FALSE)</f>
        <v>#N/A</v>
      </c>
      <c r="L1270" t="s">
        <v>4841</v>
      </c>
      <c r="M1270" t="str">
        <f>VLOOKUP(H1270,CHOOSE({1,2},Table12[Native],Table12[Name]),2,0)</f>
        <v>Zuǒquán Xiàn</v>
      </c>
      <c r="N1270" s="13" t="str">
        <f>VLOOKUP(I1270,CHOOSE({1,2},Table12[Native],Table12[Name]),2,0)</f>
        <v>Jìnzhōng Shì</v>
      </c>
      <c r="O1270" s="13" t="str">
        <f t="shared" si="38"/>
        <v>Yangjiao Xiang (Jìnzhōng Shì)</v>
      </c>
      <c r="P1270" s="13" t="str">
        <f t="shared" si="39"/>
        <v>Yangjiao Xiang (Jìnzhōng Shì)</v>
      </c>
    </row>
    <row r="1271" spans="1:16" hidden="1" x14ac:dyDescent="0.25">
      <c r="A1271" t="s">
        <v>2442</v>
      </c>
      <c r="B1271" t="str">
        <f>IF(COUNTIF(A:A,A1271)&gt;1,_xlfn.CONCAT(A1271," (",N1271,")"),A1271)</f>
        <v>Yángjiāwān Zhèn</v>
      </c>
      <c r="C1271" t="str">
        <f>IF(COUNTIF(B:B,B1271)&gt;1,_xlfn.CONCAT(A1271," (",M1271,")"),B1271)</f>
        <v>Yángjiāwān Zhèn</v>
      </c>
      <c r="D1271" t="s">
        <v>2443</v>
      </c>
      <c r="E1271" t="s">
        <v>7</v>
      </c>
      <c r="F1271" t="str">
        <f>_xlfn.CONCAT(D1271,", ",H1271,", ",I1271,", ","山西省")</f>
        <v>杨家湾镇, 保德县, 忻州市, 山西省</v>
      </c>
      <c r="G1271">
        <v>7874</v>
      </c>
      <c r="H1271" t="s">
        <v>2982</v>
      </c>
      <c r="I1271" t="s">
        <v>2981</v>
      </c>
      <c r="J1271">
        <f>VLOOKUP(F1271,[1]!china_towns_second__2[[Column1]:[Y]],3,FALSE)</f>
        <v>38.966911135765599</v>
      </c>
      <c r="K1271">
        <f>VLOOKUP(F1271,[1]!china_towns_second__2[[Column1]:[Y]],2,FALSE)</f>
        <v>111.0359816</v>
      </c>
      <c r="L1271" t="s">
        <v>4842</v>
      </c>
      <c r="M1271" t="str">
        <f>VLOOKUP(H1271,CHOOSE({1,2},Table12[Native],Table12[Name]),2,0)</f>
        <v>Băodé Xiàn</v>
      </c>
      <c r="N1271" s="13" t="str">
        <f>VLOOKUP(I1271,CHOOSE({1,2},Table12[Native],Table12[Name]),2,0)</f>
        <v>Xīnzhōu Shì</v>
      </c>
      <c r="O1271" s="13" t="str">
        <f t="shared" si="38"/>
        <v>Yangjiawan Zhen (Xīnzhōu Shì)</v>
      </c>
      <c r="P1271" s="13" t="str">
        <f t="shared" si="39"/>
        <v>Yangjiawan Zhen (Xīnzhōu Shì)</v>
      </c>
    </row>
    <row r="1272" spans="1:16" hidden="1" x14ac:dyDescent="0.25">
      <c r="A1272" t="s">
        <v>2078</v>
      </c>
      <c r="B1272" t="str">
        <f>IF(COUNTIF(A:A,A1272)&gt;1,_xlfn.CONCAT(A1272," (",N1272,")"),A1272)</f>
        <v>Yángjiāyù Jiēdào</v>
      </c>
      <c r="C1272" t="str">
        <f>IF(COUNTIF(B:B,B1272)&gt;1,_xlfn.CONCAT(A1272," (",M1272,")"),B1272)</f>
        <v>Yángjiāyù Jiēdào</v>
      </c>
      <c r="D1272" t="s">
        <v>2079</v>
      </c>
      <c r="E1272" t="s">
        <v>31</v>
      </c>
      <c r="F1272" t="str">
        <f>_xlfn.CONCAT(D1272,", ",H1272,", ",I1272,", ","山西省")</f>
        <v>杨家峪街道, 杏花岭区, 太原市, 山西省</v>
      </c>
      <c r="G1272">
        <v>49984</v>
      </c>
      <c r="H1272" t="s">
        <v>2977</v>
      </c>
      <c r="I1272" t="s">
        <v>2969</v>
      </c>
      <c r="J1272">
        <f>VLOOKUP(F1272,[1]!china_towns_second__2[[Column1]:[Y]],3,FALSE)</f>
        <v>37.883959051391699</v>
      </c>
      <c r="K1272">
        <f>VLOOKUP(F1272,[1]!china_towns_second__2[[Column1]:[Y]],2,FALSE)</f>
        <v>112.6307635</v>
      </c>
      <c r="L1272" t="s">
        <v>4843</v>
      </c>
      <c r="M1272" t="str">
        <f>VLOOKUP(H1272,CHOOSE({1,2},Table12[Native],Table12[Name]),2,0)</f>
        <v>Xìnghuālĭng Qū</v>
      </c>
      <c r="N1272" s="13" t="str">
        <f>VLOOKUP(I1272,CHOOSE({1,2},Table12[Native],Table12[Name]),2,0)</f>
        <v>Tàiyuán Shì</v>
      </c>
      <c r="O1272" s="13" t="str">
        <f t="shared" si="38"/>
        <v>Yangjiayu Jiedao (Tàiyuán Shì)</v>
      </c>
      <c r="P1272" s="13" t="str">
        <f t="shared" si="39"/>
        <v>Yangjiayu Jiedao (Tàiyuán Shì)</v>
      </c>
    </row>
    <row r="1273" spans="1:16" hidden="1" x14ac:dyDescent="0.25">
      <c r="A1273" t="s">
        <v>2568</v>
      </c>
      <c r="B1273" t="str">
        <f>IF(COUNTIF(A:A,A1273)&gt;1,_xlfn.CONCAT(A1273," (",N1273,")"),A1273)</f>
        <v>Yángjiāzhuāng Xiāng</v>
      </c>
      <c r="C1273" t="str">
        <f>IF(COUNTIF(B:B,B1273)&gt;1,_xlfn.CONCAT(A1273," (",M1273,")"),B1273)</f>
        <v>Yángjiāzhuāng Xiāng</v>
      </c>
      <c r="D1273" t="s">
        <v>2569</v>
      </c>
      <c r="E1273" t="s">
        <v>17</v>
      </c>
      <c r="F1273" t="str">
        <f>_xlfn.CONCAT(D1273,", ",H1273,", ",I1273,", ","山西省")</f>
        <v>杨家庄乡, 郊区, 阳泉市, 山西省</v>
      </c>
      <c r="G1273">
        <v>10065</v>
      </c>
      <c r="H1273" t="s">
        <v>2998</v>
      </c>
      <c r="I1273" t="s">
        <v>2997</v>
      </c>
      <c r="J1273" t="e">
        <f>VLOOKUP(F1273,[1]!china_towns_second__2[[Column1]:[Y]],3,FALSE)</f>
        <v>#N/A</v>
      </c>
      <c r="K1273" t="e">
        <f>VLOOKUP(F1273,[1]!china_towns_second__2[[Column1]:[Y]],2,FALSE)</f>
        <v>#N/A</v>
      </c>
      <c r="L1273" t="s">
        <v>4844</v>
      </c>
      <c r="M1273" t="str">
        <f>VLOOKUP(H1273,CHOOSE({1,2},Table12[Native],Table12[Name]),2,0)</f>
        <v>Jiāo Qū</v>
      </c>
      <c r="N1273" s="13" t="str">
        <f>VLOOKUP(I1273,CHOOSE({1,2},Table12[Native],Table12[Name]),2,0)</f>
        <v>Yángquán Shì</v>
      </c>
      <c r="O1273" s="13" t="str">
        <f t="shared" si="38"/>
        <v>Yangjiazhuang Xiang (Yángquán Shì)</v>
      </c>
      <c r="P1273" s="13" t="str">
        <f t="shared" si="39"/>
        <v>Yangjiazhuang Xiang (Yángquán Shì)</v>
      </c>
    </row>
    <row r="1274" spans="1:16" hidden="1" x14ac:dyDescent="0.25">
      <c r="A1274" t="s">
        <v>1700</v>
      </c>
      <c r="B1274" t="str">
        <f>IF(COUNTIF(A:A,A1274)&gt;1,_xlfn.CONCAT(A1274," (",N1274,")"),A1274)</f>
        <v>Yángjiāzhuāng Zhèn</v>
      </c>
      <c r="C1274" t="str">
        <f>IF(COUNTIF(B:B,B1274)&gt;1,_xlfn.CONCAT(A1274," (",M1274,")"),B1274)</f>
        <v>Yángjiāzhuāng Zhèn</v>
      </c>
      <c r="D1274" t="s">
        <v>1701</v>
      </c>
      <c r="E1274" t="s">
        <v>7</v>
      </c>
      <c r="F1274" t="str">
        <f>_xlfn.CONCAT(D1274,", ",H1274,", ",I1274,", ","山西省")</f>
        <v>杨家庄镇, 汾阳市, 吕梁市, 山西省</v>
      </c>
      <c r="G1274">
        <v>14177</v>
      </c>
      <c r="H1274" t="s">
        <v>2948</v>
      </c>
      <c r="I1274" t="s">
        <v>2946</v>
      </c>
      <c r="J1274">
        <f>VLOOKUP(F1274,[1]!china_towns_second__2[[Column1]:[Y]],3,FALSE)</f>
        <v>37.298866070685499</v>
      </c>
      <c r="K1274">
        <f>VLOOKUP(F1274,[1]!china_towns_second__2[[Column1]:[Y]],2,FALSE)</f>
        <v>111.5762951</v>
      </c>
      <c r="L1274" t="s">
        <v>4845</v>
      </c>
      <c r="M1274" t="str">
        <f>VLOOKUP(H1274,CHOOSE({1,2},Table12[Native],Table12[Name]),2,0)</f>
        <v>Fényáng Shì</v>
      </c>
      <c r="N1274" s="13" t="str">
        <f>VLOOKUP(I1274,CHOOSE({1,2},Table12[Native],Table12[Name]),2,0)</f>
        <v>Lǚliáng Shì</v>
      </c>
      <c r="O1274" s="13" t="str">
        <f t="shared" si="38"/>
        <v>Yangjiazhuang Zhen (Lǚliáng Shì)</v>
      </c>
      <c r="P1274" s="13" t="str">
        <f t="shared" si="39"/>
        <v>Yangjiazhuang Zhen (Lǚliáng Shì)</v>
      </c>
    </row>
    <row r="1275" spans="1:16" hidden="1" x14ac:dyDescent="0.25">
      <c r="A1275" t="s">
        <v>2444</v>
      </c>
      <c r="B1275" t="str">
        <f>IF(COUNTIF(A:A,A1275)&gt;1,_xlfn.CONCAT(A1275," (",N1275,")"),A1275)</f>
        <v>Yángmíngbăo Zhèn</v>
      </c>
      <c r="C1275" t="str">
        <f>IF(COUNTIF(B:B,B1275)&gt;1,_xlfn.CONCAT(A1275," (",M1275,")"),B1275)</f>
        <v>Yángmíngbăo Zhèn</v>
      </c>
      <c r="D1275" t="s">
        <v>2445</v>
      </c>
      <c r="E1275" t="s">
        <v>7</v>
      </c>
      <c r="F1275" t="str">
        <f>_xlfn.CONCAT(D1275,", ",H1275,", ",I1275,", ","山西省")</f>
        <v>阳明堡镇, 代县, 忻州市, 山西省</v>
      </c>
      <c r="G1275">
        <v>19840</v>
      </c>
      <c r="H1275" t="s">
        <v>2983</v>
      </c>
      <c r="I1275" t="s">
        <v>2981</v>
      </c>
      <c r="J1275">
        <f>VLOOKUP(F1275,[1]!china_towns_second__2[[Column1]:[Y]],3,FALSE)</f>
        <v>39.043285958307102</v>
      </c>
      <c r="K1275">
        <f>VLOOKUP(F1275,[1]!china_towns_second__2[[Column1]:[Y]],2,FALSE)</f>
        <v>112.8253986</v>
      </c>
      <c r="L1275" t="s">
        <v>4846</v>
      </c>
      <c r="M1275" t="str">
        <f>VLOOKUP(H1275,CHOOSE({1,2},Table12[Native],Table12[Name]),2,0)</f>
        <v>Dài Xiàn</v>
      </c>
      <c r="N1275" s="13" t="str">
        <f>VLOOKUP(I1275,CHOOSE({1,2},Table12[Native],Table12[Name]),2,0)</f>
        <v>Xīnzhōu Shì</v>
      </c>
      <c r="O1275" s="13" t="str">
        <f t="shared" si="38"/>
        <v>Yangmingbao Zhen (Xīnzhōu Shì)</v>
      </c>
      <c r="P1275" s="13" t="str">
        <f t="shared" si="39"/>
        <v>Yangmingbao Zhen (Xīnzhōu Shì)</v>
      </c>
    </row>
    <row r="1276" spans="1:16" hidden="1" x14ac:dyDescent="0.25">
      <c r="A1276" t="s">
        <v>2446</v>
      </c>
      <c r="B1276" t="str">
        <f>IF(COUNTIF(A:A,A1276)&gt;1,_xlfn.CONCAT(A1276," (",N1276,")"),A1276)</f>
        <v>Yángōu Xiāng</v>
      </c>
      <c r="C1276" t="str">
        <f>IF(COUNTIF(B:B,B1276)&gt;1,_xlfn.CONCAT(A1276," (",M1276,")"),B1276)</f>
        <v>Yángōu Xiāng</v>
      </c>
      <c r="D1276" t="s">
        <v>2447</v>
      </c>
      <c r="E1276" t="s">
        <v>17</v>
      </c>
      <c r="F1276" t="str">
        <f>_xlfn.CONCAT(D1276,", ",H1276,", ",I1276,", ","山西省")</f>
        <v>沿沟乡, 原平市, 忻州市, 山西省</v>
      </c>
      <c r="G1276">
        <v>19381</v>
      </c>
      <c r="H1276" t="s">
        <v>2995</v>
      </c>
      <c r="I1276" t="s">
        <v>2981</v>
      </c>
      <c r="J1276" t="e">
        <f>VLOOKUP(F1276,[1]!china_towns_second__2[[Column1]:[Y]],3,FALSE)</f>
        <v>#N/A</v>
      </c>
      <c r="K1276" t="e">
        <f>VLOOKUP(F1276,[1]!china_towns_second__2[[Column1]:[Y]],2,FALSE)</f>
        <v>#N/A</v>
      </c>
      <c r="L1276" t="s">
        <v>4847</v>
      </c>
      <c r="M1276" t="str">
        <f>VLOOKUP(H1276,CHOOSE({1,2},Table12[Native],Table12[Name]),2,0)</f>
        <v>Yuánpíng Shì</v>
      </c>
      <c r="N1276" s="13" t="str">
        <f>VLOOKUP(I1276,CHOOSE({1,2},Table12[Native],Table12[Name]),2,0)</f>
        <v>Xīnzhōu Shì</v>
      </c>
      <c r="O1276" s="13" t="str">
        <f t="shared" si="38"/>
        <v>Yangou Xiang (Xīnzhōu Shì)</v>
      </c>
      <c r="P1276" s="13" t="str">
        <f t="shared" si="39"/>
        <v>Yangou Xiang (Xīnzhōu Shì)</v>
      </c>
    </row>
    <row r="1277" spans="1:16" hidden="1" x14ac:dyDescent="0.25">
      <c r="A1277" t="s">
        <v>2448</v>
      </c>
      <c r="B1277" t="str">
        <f>IF(COUNTIF(A:A,A1277)&gt;1,_xlfn.CONCAT(A1277," (",N1277,")"),A1277)</f>
        <v>Yángpíng Xiāng</v>
      </c>
      <c r="C1277" t="str">
        <f>IF(COUNTIF(B:B,B1277)&gt;1,_xlfn.CONCAT(A1277," (",M1277,")"),B1277)</f>
        <v>Yángpíng Xiāng</v>
      </c>
      <c r="D1277" t="s">
        <v>2449</v>
      </c>
      <c r="E1277" t="s">
        <v>17</v>
      </c>
      <c r="F1277" t="str">
        <f>_xlfn.CONCAT(D1277,", ",H1277,", ",I1277,", ","山西省")</f>
        <v>阳坪乡, 岢岚县, 忻州市, 山西省</v>
      </c>
      <c r="G1277">
        <v>2579</v>
      </c>
      <c r="H1277" t="s">
        <v>2988</v>
      </c>
      <c r="I1277" t="s">
        <v>2981</v>
      </c>
      <c r="J1277" t="e">
        <f>VLOOKUP(F1277,[1]!china_towns_second__2[[Column1]:[Y]],3,FALSE)</f>
        <v>#N/A</v>
      </c>
      <c r="K1277" t="e">
        <f>VLOOKUP(F1277,[1]!china_towns_second__2[[Column1]:[Y]],2,FALSE)</f>
        <v>#N/A</v>
      </c>
      <c r="L1277" t="s">
        <v>4848</v>
      </c>
      <c r="M1277" t="str">
        <f>VLOOKUP(H1277,CHOOSE({1,2},Table12[Native],Table12[Name]),2,0)</f>
        <v>Kĕlán Xiàn</v>
      </c>
      <c r="N1277" s="13" t="str">
        <f>VLOOKUP(I1277,CHOOSE({1,2},Table12[Native],Table12[Name]),2,0)</f>
        <v>Xīnzhōu Shì</v>
      </c>
      <c r="O1277" s="13" t="str">
        <f t="shared" si="38"/>
        <v>Yangping Xiang (Xīnzhōu Shì)</v>
      </c>
      <c r="P1277" s="13" t="str">
        <f t="shared" si="39"/>
        <v>Yangping Xiang (Xīnzhōu Shì)</v>
      </c>
    </row>
    <row r="1278" spans="1:16" hidden="1" x14ac:dyDescent="0.25">
      <c r="A1278" t="s">
        <v>2450</v>
      </c>
      <c r="B1278" t="str">
        <f>IF(COUNTIF(A:A,A1278)&gt;1,_xlfn.CONCAT(A1278," (",N1278,")"),A1278)</f>
        <v>Yángpō Xiāng</v>
      </c>
      <c r="C1278" t="str">
        <f>IF(COUNTIF(B:B,B1278)&gt;1,_xlfn.CONCAT(A1278," (",M1278,")"),B1278)</f>
        <v>Yángpō Xiāng</v>
      </c>
      <c r="D1278" t="s">
        <v>2451</v>
      </c>
      <c r="E1278" t="s">
        <v>17</v>
      </c>
      <c r="F1278" t="str">
        <f>_xlfn.CONCAT(D1278,", ",H1278,", ",I1278,", ","山西省")</f>
        <v>阳坡乡, 忻府区, 忻州市, 山西省</v>
      </c>
      <c r="G1278">
        <v>2551</v>
      </c>
      <c r="H1278" t="s">
        <v>2994</v>
      </c>
      <c r="I1278" t="s">
        <v>2981</v>
      </c>
      <c r="J1278" t="e">
        <f>VLOOKUP(F1278,[1]!china_towns_second__2[[Column1]:[Y]],3,FALSE)</f>
        <v>#N/A</v>
      </c>
      <c r="K1278" t="e">
        <f>VLOOKUP(F1278,[1]!china_towns_second__2[[Column1]:[Y]],2,FALSE)</f>
        <v>#N/A</v>
      </c>
      <c r="L1278" t="s">
        <v>4849</v>
      </c>
      <c r="M1278" t="str">
        <f>VLOOKUP(H1278,CHOOSE({1,2},Table12[Native],Table12[Name]),2,0)</f>
        <v>Xīnfŭ Qū</v>
      </c>
      <c r="N1278" s="13" t="str">
        <f>VLOOKUP(I1278,CHOOSE({1,2},Table12[Native],Table12[Name]),2,0)</f>
        <v>Xīnzhōu Shì</v>
      </c>
      <c r="O1278" s="13" t="str">
        <f t="shared" si="38"/>
        <v>Yangpo Xiang (Xīnzhōu Shì)</v>
      </c>
      <c r="P1278" s="13" t="str">
        <f t="shared" si="39"/>
        <v>Yangpo Xiang (Xīnzhōu Shì)</v>
      </c>
    </row>
    <row r="1279" spans="1:16" hidden="1" x14ac:dyDescent="0.25">
      <c r="A1279" t="s">
        <v>1854</v>
      </c>
      <c r="B1279" t="str">
        <f>IF(COUNTIF(A:A,A1279)&gt;1,_xlfn.CONCAT(A1279," (",N1279,")"),A1279)</f>
        <v>Yángqiānhé Xiāng</v>
      </c>
      <c r="C1279" t="str">
        <f>IF(COUNTIF(B:B,B1279)&gt;1,_xlfn.CONCAT(A1279," (",M1279,")"),B1279)</f>
        <v>Yángqiānhé Xiāng</v>
      </c>
      <c r="D1279" t="s">
        <v>1855</v>
      </c>
      <c r="E1279" t="s">
        <v>17</v>
      </c>
      <c r="F1279" t="str">
        <f>_xlfn.CONCAT(D1279,", ",H1279,", ",I1279,", ","山西省")</f>
        <v>杨千河乡, 右玉县, 朔州市, 山西省</v>
      </c>
      <c r="G1279">
        <v>2925</v>
      </c>
      <c r="H1279" t="s">
        <v>2967</v>
      </c>
      <c r="I1279" t="s">
        <v>2961</v>
      </c>
      <c r="J1279" t="e">
        <f>VLOOKUP(F1279,[1]!china_towns_second__2[[Column1]:[Y]],3,FALSE)</f>
        <v>#N/A</v>
      </c>
      <c r="K1279" t="e">
        <f>VLOOKUP(F1279,[1]!china_towns_second__2[[Column1]:[Y]],2,FALSE)</f>
        <v>#N/A</v>
      </c>
      <c r="L1279" t="s">
        <v>4850</v>
      </c>
      <c r="M1279" t="str">
        <f>VLOOKUP(H1279,CHOOSE({1,2},Table12[Native],Table12[Name]),2,0)</f>
        <v>Yòuyù Xiàn</v>
      </c>
      <c r="N1279" s="13" t="str">
        <f>VLOOKUP(I1279,CHOOSE({1,2},Table12[Native],Table12[Name]),2,0)</f>
        <v>Shuòzhōu Shì</v>
      </c>
      <c r="O1279" s="13" t="str">
        <f t="shared" si="38"/>
        <v>Yangqianhe Xiang (Shuòzhōu Shì)</v>
      </c>
      <c r="P1279" s="13" t="str">
        <f t="shared" si="39"/>
        <v>Yangqianhe Xiang (Shuòzhōu Shì)</v>
      </c>
    </row>
    <row r="1280" spans="1:16" hidden="1" x14ac:dyDescent="0.25">
      <c r="A1280" t="s">
        <v>2080</v>
      </c>
      <c r="B1280" t="str">
        <f>IF(COUNTIF(A:A,A1280)&gt;1,_xlfn.CONCAT(A1280," (",N1280,")"),A1280)</f>
        <v>Yángqŭ Zhèn</v>
      </c>
      <c r="C1280" t="str">
        <f>IF(COUNTIF(B:B,B1280)&gt;1,_xlfn.CONCAT(A1280," (",M1280,")"),B1280)</f>
        <v>Yángqŭ Zhèn</v>
      </c>
      <c r="D1280" t="s">
        <v>2081</v>
      </c>
      <c r="E1280" t="s">
        <v>7</v>
      </c>
      <c r="F1280" t="str">
        <f>_xlfn.CONCAT(D1280,", ",H1280,", ",I1280,", ","山西省")</f>
        <v>阳曲镇, 尖草坪区, 太原市, 山西省</v>
      </c>
      <c r="G1280">
        <v>15799</v>
      </c>
      <c r="H1280" t="s">
        <v>2971</v>
      </c>
      <c r="I1280" t="s">
        <v>2969</v>
      </c>
      <c r="J1280">
        <f>VLOOKUP(F1280,[1]!china_towns_second__2[[Column1]:[Y]],3,FALSE)</f>
        <v>38.001361269456901</v>
      </c>
      <c r="K1280">
        <f>VLOOKUP(F1280,[1]!china_towns_second__2[[Column1]:[Y]],2,FALSE)</f>
        <v>112.5921874</v>
      </c>
      <c r="L1280" t="s">
        <v>4851</v>
      </c>
      <c r="M1280" t="str">
        <f>VLOOKUP(H1280,CHOOSE({1,2},Table12[Native],Table12[Name]),2,0)</f>
        <v>Jiāncăopíng Qū</v>
      </c>
      <c r="N1280" s="13" t="str">
        <f>VLOOKUP(I1280,CHOOSE({1,2},Table12[Native],Table12[Name]),2,0)</f>
        <v>Tàiyuán Shì</v>
      </c>
      <c r="O1280" s="13" t="str">
        <f t="shared" si="38"/>
        <v>Yangqu Zhen (Tàiyuán Shì)</v>
      </c>
      <c r="P1280" s="13" t="str">
        <f t="shared" si="39"/>
        <v>Yangqu Zhen (Tàiyuán Shì)</v>
      </c>
    </row>
    <row r="1281" spans="1:16" hidden="1" x14ac:dyDescent="0.25">
      <c r="A1281" t="s">
        <v>1702</v>
      </c>
      <c r="B1281" t="str">
        <f>IF(COUNTIF(A:A,A1281)&gt;1,_xlfn.CONCAT(A1281," (",N1281,")"),A1281)</f>
        <v>Yángquánqŭ Zhèn</v>
      </c>
      <c r="C1281" t="str">
        <f>IF(COUNTIF(B:B,B1281)&gt;1,_xlfn.CONCAT(A1281," (",M1281,")"),B1281)</f>
        <v>Yángquánqŭ Zhèn</v>
      </c>
      <c r="D1281" t="s">
        <v>1703</v>
      </c>
      <c r="E1281" t="s">
        <v>7</v>
      </c>
      <c r="F1281" t="str">
        <f>_xlfn.CONCAT(D1281,", ",H1281,", ",I1281,", ","山西省")</f>
        <v>阳泉曲镇, 孝义市, 吕梁市, 山西省</v>
      </c>
      <c r="G1281">
        <v>34570</v>
      </c>
      <c r="H1281" t="s">
        <v>2957</v>
      </c>
      <c r="I1281" t="s">
        <v>2946</v>
      </c>
      <c r="J1281">
        <f>VLOOKUP(F1281,[1]!china_towns_second__2[[Column1]:[Y]],3,FALSE)</f>
        <v>37.102725010604402</v>
      </c>
      <c r="K1281">
        <f>VLOOKUP(F1281,[1]!china_towns_second__2[[Column1]:[Y]],2,FALSE)</f>
        <v>111.5068241</v>
      </c>
      <c r="L1281" t="s">
        <v>4852</v>
      </c>
      <c r="M1281" t="str">
        <f>VLOOKUP(H1281,CHOOSE({1,2},Table12[Native],Table12[Name]),2,0)</f>
        <v>Xiàoyì Shì</v>
      </c>
      <c r="N1281" s="13" t="str">
        <f>VLOOKUP(I1281,CHOOSE({1,2},Table12[Native],Table12[Name]),2,0)</f>
        <v>Lǚliáng Shì</v>
      </c>
      <c r="O1281" s="13" t="str">
        <f t="shared" si="38"/>
        <v>Yangquanqu Zhen (Lǚliáng Shì)</v>
      </c>
      <c r="P1281" s="13" t="str">
        <f t="shared" si="39"/>
        <v>Yangquanqu Zhen (Lǚliáng Shì)</v>
      </c>
    </row>
    <row r="1282" spans="1:16" hidden="1" x14ac:dyDescent="0.25">
      <c r="A1282" t="s">
        <v>1371</v>
      </c>
      <c r="B1282" t="str">
        <f>IF(COUNTIF(A:A,A1282)&gt;1,_xlfn.CONCAT(A1282," (",N1282,")"),A1282)</f>
        <v>Yángtán Xiāng</v>
      </c>
      <c r="C1282" t="str">
        <f>IF(COUNTIF(B:B,B1282)&gt;1,_xlfn.CONCAT(A1282," (",M1282,")"),B1282)</f>
        <v>Yángtán Xiāng</v>
      </c>
      <c r="D1282" t="s">
        <v>1372</v>
      </c>
      <c r="E1282" t="s">
        <v>17</v>
      </c>
      <c r="F1282" t="str">
        <f>_xlfn.CONCAT(D1282,", ",H1282,", ",I1282,", ","山西省")</f>
        <v>杨谈乡, 曲沃县, 临汾市, 山西省</v>
      </c>
      <c r="G1282">
        <v>21069</v>
      </c>
      <c r="H1282" t="s">
        <v>2938</v>
      </c>
      <c r="I1282" t="s">
        <v>2927</v>
      </c>
      <c r="J1282" t="e">
        <f>VLOOKUP(F1282,[1]!china_towns_second__2[[Column1]:[Y]],3,FALSE)</f>
        <v>#N/A</v>
      </c>
      <c r="K1282" t="e">
        <f>VLOOKUP(F1282,[1]!china_towns_second__2[[Column1]:[Y]],2,FALSE)</f>
        <v>#N/A</v>
      </c>
      <c r="L1282" t="s">
        <v>4853</v>
      </c>
      <c r="M1282" t="str">
        <f>VLOOKUP(H1282,CHOOSE({1,2},Table12[Native],Table12[Name]),2,0)</f>
        <v>Qŭwò Xiàn</v>
      </c>
      <c r="N1282" s="13" t="str">
        <f>VLOOKUP(I1282,CHOOSE({1,2},Table12[Native],Table12[Name]),2,0)</f>
        <v>Línfén Shì</v>
      </c>
      <c r="O1282" s="13" t="str">
        <f t="shared" ref="O1282:O1345" si="40">_xlfn.CONCAT(L1282," (",N1282,")")</f>
        <v>Yangtan Xiang (Línfén Shì)</v>
      </c>
      <c r="P1282" s="13" t="str">
        <f t="shared" ref="P1282:P1345" si="41">IF(COUNTIF(O:O,O1282)&gt;1,_xlfn.CONCAT(L1282," (",M1282,")"),O1282)</f>
        <v>Yangtan Xiang (Línfén Shì)</v>
      </c>
    </row>
    <row r="1283" spans="1:16" hidden="1" x14ac:dyDescent="0.25">
      <c r="A1283" t="s">
        <v>1373</v>
      </c>
      <c r="B1283" t="str">
        <f>IF(COUNTIF(A:A,A1283)&gt;1,_xlfn.CONCAT(A1283," (",N1283,")"),A1283)</f>
        <v>Yángtóushēng Xiāng</v>
      </c>
      <c r="C1283" t="str">
        <f>IF(COUNTIF(B:B,B1283)&gt;1,_xlfn.CONCAT(A1283," (",M1283,")"),B1283)</f>
        <v>Yángtóushēng Xiāng</v>
      </c>
      <c r="D1283" t="s">
        <v>1374</v>
      </c>
      <c r="E1283" t="s">
        <v>17</v>
      </c>
      <c r="F1283" t="str">
        <f>_xlfn.CONCAT(D1283,", ",H1283,", ",I1283,", ","山西省")</f>
        <v>阳头升乡, 隰县, 临汾市, 山西省</v>
      </c>
      <c r="G1283">
        <v>9463</v>
      </c>
      <c r="H1283" t="s">
        <v>2941</v>
      </c>
      <c r="I1283" t="s">
        <v>2927</v>
      </c>
      <c r="J1283" t="e">
        <f>VLOOKUP(F1283,[1]!china_towns_second__2[[Column1]:[Y]],3,FALSE)</f>
        <v>#N/A</v>
      </c>
      <c r="K1283" t="e">
        <f>VLOOKUP(F1283,[1]!china_towns_second__2[[Column1]:[Y]],2,FALSE)</f>
        <v>#N/A</v>
      </c>
      <c r="L1283" t="s">
        <v>4854</v>
      </c>
      <c r="M1283" t="str">
        <f>VLOOKUP(H1283,CHOOSE({1,2},Table12[Native],Table12[Name]),2,0)</f>
        <v>Xí Xiàn</v>
      </c>
      <c r="N1283" s="13" t="str">
        <f>VLOOKUP(I1283,CHOOSE({1,2},Table12[Native],Table12[Name]),2,0)</f>
        <v>Línfén Shì</v>
      </c>
      <c r="O1283" s="13" t="str">
        <f t="shared" si="40"/>
        <v>Yangtousheng Xiang (Línfén Shì)</v>
      </c>
      <c r="P1283" s="13" t="str">
        <f t="shared" si="41"/>
        <v>Yangtousheng Xiang (Línfén Shì)</v>
      </c>
    </row>
    <row r="1284" spans="1:16" hidden="1" x14ac:dyDescent="0.25">
      <c r="A1284" t="s">
        <v>1024</v>
      </c>
      <c r="B1284" t="str">
        <f>IF(COUNTIF(A:A,A1284)&gt;1,_xlfn.CONCAT(A1284," (",N1284,")"),A1284)</f>
        <v>Yángtóuyá Xiāng</v>
      </c>
      <c r="C1284" t="str">
        <f>IF(COUNTIF(B:B,B1284)&gt;1,_xlfn.CONCAT(A1284," (",M1284,")"),B1284)</f>
        <v>Yángtóuyá Xiāng</v>
      </c>
      <c r="D1284" t="s">
        <v>1025</v>
      </c>
      <c r="E1284" t="s">
        <v>17</v>
      </c>
      <c r="F1284" t="str">
        <f>_xlfn.CONCAT(D1284,", ",H1284,", ",I1284,", ","山西省")</f>
        <v>羊头崖乡, 寿阳县, 晋中市, 山西省</v>
      </c>
      <c r="G1284">
        <v>5686</v>
      </c>
      <c r="H1284" t="s">
        <v>2920</v>
      </c>
      <c r="I1284" t="s">
        <v>2914</v>
      </c>
      <c r="J1284" t="e">
        <f>VLOOKUP(F1284,[1]!china_towns_second__2[[Column1]:[Y]],3,FALSE)</f>
        <v>#N/A</v>
      </c>
      <c r="K1284" t="e">
        <f>VLOOKUP(F1284,[1]!china_towns_second__2[[Column1]:[Y]],2,FALSE)</f>
        <v>#N/A</v>
      </c>
      <c r="L1284" t="s">
        <v>4855</v>
      </c>
      <c r="M1284" t="str">
        <f>VLOOKUP(H1284,CHOOSE({1,2},Table12[Native],Table12[Name]),2,0)</f>
        <v>Shòuyáng Xiàn</v>
      </c>
      <c r="N1284" s="13" t="str">
        <f>VLOOKUP(I1284,CHOOSE({1,2},Table12[Native],Table12[Name]),2,0)</f>
        <v>Jìnzhōng Shì</v>
      </c>
      <c r="O1284" s="13" t="str">
        <f t="shared" si="40"/>
        <v>Yangtouya Xiang (Jìnzhōng Shì)</v>
      </c>
      <c r="P1284" s="13" t="str">
        <f t="shared" si="41"/>
        <v>Yangtouya Xiang (Jìnzhōng Shì)</v>
      </c>
    </row>
    <row r="1285" spans="1:16" hidden="1" x14ac:dyDescent="0.25">
      <c r="A1285" t="s">
        <v>2838</v>
      </c>
      <c r="B1285" t="str">
        <f>IF(COUNTIF(A:A,A1285)&gt;1,_xlfn.CONCAT(A1285," (",N1285,")"),A1285)</f>
        <v>Yángwáng Zhèn</v>
      </c>
      <c r="C1285" t="str">
        <f>IF(COUNTIF(B:B,B1285)&gt;1,_xlfn.CONCAT(A1285," (",M1285,")"),B1285)</f>
        <v>Yángwáng Zhèn</v>
      </c>
      <c r="D1285" t="s">
        <v>2839</v>
      </c>
      <c r="E1285" t="s">
        <v>7</v>
      </c>
      <c r="F1285" t="str">
        <f>_xlfn.CONCAT(D1285,", ",H1285,", ",I1285,", ","山西省")</f>
        <v>阳王镇, 新绛县, 运城市, 山西省</v>
      </c>
      <c r="G1285">
        <v>21766</v>
      </c>
      <c r="H1285" t="s">
        <v>3013</v>
      </c>
      <c r="I1285" t="s">
        <v>3003</v>
      </c>
      <c r="J1285">
        <f>VLOOKUP(F1285,[1]!china_towns_second__2[[Column1]:[Y]],3,FALSE)</f>
        <v>35.496973856683702</v>
      </c>
      <c r="K1285">
        <f>VLOOKUP(F1285,[1]!china_towns_second__2[[Column1]:[Y]],2,FALSE)</f>
        <v>111.0966158</v>
      </c>
      <c r="L1285" t="s">
        <v>4856</v>
      </c>
      <c r="M1285" t="str">
        <f>VLOOKUP(H1285,CHOOSE({1,2},Table12[Native],Table12[Name]),2,0)</f>
        <v>Xīnjiàng Xiàn</v>
      </c>
      <c r="N1285" s="13" t="str">
        <f>VLOOKUP(I1285,CHOOSE({1,2},Table12[Native],Table12[Name]),2,0)</f>
        <v>Yùnchéng Shì</v>
      </c>
      <c r="O1285" s="13" t="str">
        <f t="shared" si="40"/>
        <v>Yangwang Zhen (Yùnchéng Shì)</v>
      </c>
      <c r="P1285" s="13" t="str">
        <f t="shared" si="41"/>
        <v>Yangwang Zhen (Yùnchéng Shì)</v>
      </c>
    </row>
    <row r="1286" spans="1:16" hidden="1" x14ac:dyDescent="0.25">
      <c r="A1286" t="s">
        <v>2082</v>
      </c>
      <c r="B1286" t="str">
        <f>IF(COUNTIF(A:A,A1286)&gt;1,_xlfn.CONCAT(A1286," (",N1286,")"),A1286)</f>
        <v>Yángxīng Xiāng</v>
      </c>
      <c r="C1286" t="str">
        <f>IF(COUNTIF(B:B,B1286)&gt;1,_xlfn.CONCAT(A1286," (",M1286,")"),B1286)</f>
        <v>Yángxīng Xiāng</v>
      </c>
      <c r="D1286" t="s">
        <v>2083</v>
      </c>
      <c r="E1286" t="s">
        <v>17</v>
      </c>
      <c r="F1286" t="str">
        <f>_xlfn.CONCAT(D1286,", ",H1286,", ",I1286,", ","山西省")</f>
        <v>杨兴乡, 阳曲县, 太原市, 山西省</v>
      </c>
      <c r="G1286">
        <v>2704</v>
      </c>
      <c r="H1286" t="s">
        <v>2978</v>
      </c>
      <c r="I1286" t="s">
        <v>2969</v>
      </c>
      <c r="J1286" t="e">
        <f>VLOOKUP(F1286,[1]!china_towns_second__2[[Column1]:[Y]],3,FALSE)</f>
        <v>#N/A</v>
      </c>
      <c r="K1286" t="e">
        <f>VLOOKUP(F1286,[1]!china_towns_second__2[[Column1]:[Y]],2,FALSE)</f>
        <v>#N/A</v>
      </c>
      <c r="L1286" t="s">
        <v>4857</v>
      </c>
      <c r="M1286" t="str">
        <f>VLOOKUP(H1286,CHOOSE({1,2},Table12[Native],Table12[Name]),2,0)</f>
        <v>Yángqŭ Xiàn</v>
      </c>
      <c r="N1286" s="13" t="str">
        <f>VLOOKUP(I1286,CHOOSE({1,2},Table12[Native],Table12[Name]),2,0)</f>
        <v>Tàiyuán Shì</v>
      </c>
      <c r="O1286" s="13" t="str">
        <f t="shared" si="40"/>
        <v>Yangxing Xiang (Tàiyuán Shì)</v>
      </c>
      <c r="P1286" s="13" t="str">
        <f t="shared" si="41"/>
        <v>Yangxing Xiang (Tàiyuán Shì)</v>
      </c>
    </row>
    <row r="1287" spans="1:16" hidden="1" x14ac:dyDescent="0.25">
      <c r="A1287" t="s">
        <v>1026</v>
      </c>
      <c r="B1287" t="str">
        <f>IF(COUNTIF(A:A,A1287)&gt;1,_xlfn.CONCAT(A1287," (",N1287,")"),A1287)</f>
        <v>Yángyì Xiāng</v>
      </c>
      <c r="C1287" t="str">
        <f>IF(COUNTIF(B:B,B1287)&gt;1,_xlfn.CONCAT(A1287," (",M1287,")"),B1287)</f>
        <v>Yángyì Xiāng</v>
      </c>
      <c r="D1287" t="s">
        <v>1027</v>
      </c>
      <c r="E1287" t="s">
        <v>17</v>
      </c>
      <c r="F1287" t="str">
        <f>_xlfn.CONCAT(D1287,", ",H1287,", ",I1287,", ","山西省")</f>
        <v>阳邑乡, 太谷区, 晋中市, 山西省</v>
      </c>
      <c r="G1287">
        <v>23696</v>
      </c>
      <c r="H1287" t="s">
        <v>2921</v>
      </c>
      <c r="I1287" t="s">
        <v>2914</v>
      </c>
      <c r="J1287" t="e">
        <f>VLOOKUP(F1287,[1]!china_towns_second__2[[Column1]:[Y]],3,FALSE)</f>
        <v>#N/A</v>
      </c>
      <c r="K1287" t="e">
        <f>VLOOKUP(F1287,[1]!china_towns_second__2[[Column1]:[Y]],2,FALSE)</f>
        <v>#N/A</v>
      </c>
      <c r="L1287" t="s">
        <v>4858</v>
      </c>
      <c r="M1287" t="str">
        <f>VLOOKUP(H1287,CHOOSE({1,2},Table12[Native],Table12[Name]),2,0)</f>
        <v>Tàigŭ Qū</v>
      </c>
      <c r="N1287" s="13" t="str">
        <f>VLOOKUP(I1287,CHOOSE({1,2},Table12[Native],Table12[Name]),2,0)</f>
        <v>Jìnzhōng Shì</v>
      </c>
      <c r="O1287" s="13" t="str">
        <f t="shared" si="40"/>
        <v>Yangyi Xiang (Jìnzhōng Shì)</v>
      </c>
      <c r="P1287" s="13" t="str">
        <f t="shared" si="41"/>
        <v>Yangyi Xiang (Jìnzhōng Shì)</v>
      </c>
    </row>
    <row r="1288" spans="1:16" hidden="1" x14ac:dyDescent="0.25">
      <c r="A1288" t="s">
        <v>2840</v>
      </c>
      <c r="B1288" t="str">
        <f>IF(COUNTIF(A:A,A1288)&gt;1,_xlfn.CONCAT(A1288," (",N1288,")"),A1288)</f>
        <v>Yángyú Xiāng</v>
      </c>
      <c r="C1288" t="str">
        <f>IF(COUNTIF(B:B,B1288)&gt;1,_xlfn.CONCAT(A1288," (",M1288,")"),B1288)</f>
        <v>Yángyú Xiāng</v>
      </c>
      <c r="D1288" t="s">
        <v>2841</v>
      </c>
      <c r="E1288" t="s">
        <v>17</v>
      </c>
      <c r="F1288" t="str">
        <f>_xlfn.CONCAT(D1288,", ",H1288,", ",I1288,", ","山西省")</f>
        <v>阳隅乡, 闻喜县, 运城市, 山西省</v>
      </c>
      <c r="G1288">
        <v>14422</v>
      </c>
      <c r="H1288" t="s">
        <v>3011</v>
      </c>
      <c r="I1288" t="s">
        <v>3003</v>
      </c>
      <c r="J1288" t="e">
        <f>VLOOKUP(F1288,[1]!china_towns_second__2[[Column1]:[Y]],3,FALSE)</f>
        <v>#N/A</v>
      </c>
      <c r="K1288" t="e">
        <f>VLOOKUP(F1288,[1]!china_towns_second__2[[Column1]:[Y]],2,FALSE)</f>
        <v>#N/A</v>
      </c>
      <c r="L1288" t="s">
        <v>4859</v>
      </c>
      <c r="M1288" t="str">
        <f>VLOOKUP(H1288,CHOOSE({1,2},Table12[Native],Table12[Name]),2,0)</f>
        <v>Wénxĭ Xiàn</v>
      </c>
      <c r="N1288" s="13" t="str">
        <f>VLOOKUP(I1288,CHOOSE({1,2},Table12[Native],Table12[Name]),2,0)</f>
        <v>Yùnchéng Shì</v>
      </c>
      <c r="O1288" s="13" t="str">
        <f t="shared" si="40"/>
        <v>Yangyu Xiang (Yùnchéng Shì)</v>
      </c>
      <c r="P1288" s="13" t="str">
        <f t="shared" si="41"/>
        <v>Yangyu Xiang (Yùnchéng Shì)</v>
      </c>
    </row>
    <row r="1289" spans="1:16" hidden="1" x14ac:dyDescent="0.25">
      <c r="A1289" t="s">
        <v>2842</v>
      </c>
      <c r="B1289" t="str">
        <f>IF(COUNTIF(A:A,A1289)&gt;1,_xlfn.CONCAT(A1289," (",N1289,")"),A1289)</f>
        <v>Yánjiāzhuāng Gōngmàoqū [Yanjiazhuang Industry and Trade Zone]</v>
      </c>
      <c r="C1289" t="str">
        <f>IF(COUNTIF(B:B,B1289)&gt;1,_xlfn.CONCAT(A1289," (",M1289,")"),B1289)</f>
        <v>Yánjiāzhuāng Gōngmàoqū [Yanjiazhuang Industry and Trade Zone]</v>
      </c>
      <c r="D1289" t="s">
        <v>2843</v>
      </c>
      <c r="E1289" t="s">
        <v>35</v>
      </c>
      <c r="F1289" t="str">
        <f>_xlfn.CONCAT(D1289,", ",H1289,", ",I1289,", ","山西省")</f>
        <v>闫家庄工贸区, 临猗县, 运城市, 山西省</v>
      </c>
      <c r="G1289">
        <v>24506</v>
      </c>
      <c r="H1289" t="s">
        <v>3007</v>
      </c>
      <c r="I1289" t="s">
        <v>3003</v>
      </c>
      <c r="J1289">
        <f>VLOOKUP(F1289,[1]!china_towns_second__2[[Column1]:[Y]],3,FALSE)</f>
        <v>35.207698119712902</v>
      </c>
      <c r="K1289">
        <f>VLOOKUP(F1289,[1]!china_towns_second__2[[Column1]:[Y]],2,FALSE)</f>
        <v>110.6746074</v>
      </c>
      <c r="L1289" t="s">
        <v>4860</v>
      </c>
      <c r="M1289" t="str">
        <f>VLOOKUP(H1289,CHOOSE({1,2},Table12[Native],Table12[Name]),2,0)</f>
        <v>Línyī Xiàn</v>
      </c>
      <c r="N1289" s="13" t="str">
        <f>VLOOKUP(I1289,CHOOSE({1,2},Table12[Native],Table12[Name]),2,0)</f>
        <v>Yùnchéng Shì</v>
      </c>
      <c r="O1289" s="13" t="str">
        <f t="shared" si="40"/>
        <v>Yanjiazhuang Gongmaoqu [Yanjiazhuang Industry and Trade Zone] (Yùnchéng Shì)</v>
      </c>
      <c r="P1289" s="13" t="str">
        <f t="shared" si="41"/>
        <v>Yanjiazhuang Gongmaoqu [Yanjiazhuang Industry and Trade Zone] (Yùnchéng Shì)</v>
      </c>
    </row>
    <row r="1290" spans="1:16" hidden="1" x14ac:dyDescent="0.25">
      <c r="A1290" t="s">
        <v>763</v>
      </c>
      <c r="B1290" t="str">
        <f>IF(COUNTIF(A:A,A1290)&gt;1,_xlfn.CONCAT(A1290," (",N1290,")"),A1290)</f>
        <v>Yănlĭ Xiāng</v>
      </c>
      <c r="C1290" t="str">
        <f>IF(COUNTIF(B:B,B1290)&gt;1,_xlfn.CONCAT(A1290," (",M1290,")"),B1290)</f>
        <v>Yănlĭ Xiāng</v>
      </c>
      <c r="D1290" t="s">
        <v>764</v>
      </c>
      <c r="E1290" t="s">
        <v>17</v>
      </c>
      <c r="F1290" t="str">
        <f>_xlfn.CONCAT(D1290,", ",H1290,", ",I1290,", ","山西省")</f>
        <v>演礼乡, 阳城县, 晋城市, 山西省</v>
      </c>
      <c r="G1290">
        <v>12726</v>
      </c>
      <c r="H1290" t="s">
        <v>2911</v>
      </c>
      <c r="I1290" t="s">
        <v>2906</v>
      </c>
      <c r="J1290" t="e">
        <f>VLOOKUP(F1290,[1]!china_towns_second__2[[Column1]:[Y]],3,FALSE)</f>
        <v>#N/A</v>
      </c>
      <c r="K1290" t="e">
        <f>VLOOKUP(F1290,[1]!china_towns_second__2[[Column1]:[Y]],2,FALSE)</f>
        <v>#N/A</v>
      </c>
      <c r="L1290" t="s">
        <v>4861</v>
      </c>
      <c r="M1290" t="str">
        <f>VLOOKUP(H1290,CHOOSE({1,2},Table12[Native],Table12[Name]),2,0)</f>
        <v>Yángchéng Xiàn</v>
      </c>
      <c r="N1290" s="13" t="str">
        <f>VLOOKUP(I1290,CHOOSE({1,2},Table12[Native],Table12[Name]),2,0)</f>
        <v>Jìnchéng Shì</v>
      </c>
      <c r="O1290" s="13" t="str">
        <f t="shared" si="40"/>
        <v>Yanli Xiang (Jìnchéng Shì)</v>
      </c>
      <c r="P1290" s="13" t="str">
        <f t="shared" si="41"/>
        <v>Yanli Xiang (Jìnchéng Shì)</v>
      </c>
    </row>
    <row r="1291" spans="1:16" hidden="1" x14ac:dyDescent="0.25">
      <c r="A1291" t="s">
        <v>2452</v>
      </c>
      <c r="B1291" t="str">
        <f>IF(COUNTIF(A:A,A1291)&gt;1,_xlfn.CONCAT(A1291," (",N1291,")"),A1291)</f>
        <v>Yànménguān Zhèn</v>
      </c>
      <c r="C1291" t="str">
        <f>IF(COUNTIF(B:B,B1291)&gt;1,_xlfn.CONCAT(A1291," (",M1291,")"),B1291)</f>
        <v>Yànménguān Zhèn</v>
      </c>
      <c r="D1291" t="s">
        <v>2453</v>
      </c>
      <c r="E1291" t="s">
        <v>7</v>
      </c>
      <c r="F1291" t="str">
        <f>_xlfn.CONCAT(D1291,", ",H1291,", ",I1291,", ","山西省")</f>
        <v>雁门关镇, 代县, 忻州市, 山西省</v>
      </c>
      <c r="G1291">
        <v>7863</v>
      </c>
      <c r="H1291" t="s">
        <v>2983</v>
      </c>
      <c r="I1291" t="s">
        <v>2981</v>
      </c>
      <c r="J1291">
        <f>VLOOKUP(F1291,[1]!china_towns_second__2[[Column1]:[Y]],3,FALSE)</f>
        <v>39.141764481075299</v>
      </c>
      <c r="K1291">
        <f>VLOOKUP(F1291,[1]!china_towns_second__2[[Column1]:[Y]],2,FALSE)</f>
        <v>112.8359512</v>
      </c>
      <c r="L1291" t="s">
        <v>4862</v>
      </c>
      <c r="M1291" t="str">
        <f>VLOOKUP(H1291,CHOOSE({1,2},Table12[Native],Table12[Name]),2,0)</f>
        <v>Dài Xiàn</v>
      </c>
      <c r="N1291" s="13" t="str">
        <f>VLOOKUP(I1291,CHOOSE({1,2},Table12[Native],Table12[Name]),2,0)</f>
        <v>Xīnzhōu Shì</v>
      </c>
      <c r="O1291" s="13" t="str">
        <f t="shared" si="40"/>
        <v>Yanmenguan Zhen (Xīnzhōu Shì)</v>
      </c>
      <c r="P1291" s="13" t="str">
        <f t="shared" si="41"/>
        <v>Yanmenguan Zhen (Xīnzhōu Shì)</v>
      </c>
    </row>
    <row r="1292" spans="1:16" hidden="1" x14ac:dyDescent="0.25">
      <c r="A1292" t="s">
        <v>2454</v>
      </c>
      <c r="B1292" t="str">
        <f>IF(COUNTIF(A:A,A1292)&gt;1,_xlfn.CONCAT(A1292," (",N1292,")"),A1292)</f>
        <v>Yántóu Xiāng</v>
      </c>
      <c r="C1292" t="str">
        <f>IF(COUNTIF(B:B,B1292)&gt;1,_xlfn.CONCAT(A1292," (",M1292,")"),B1292)</f>
        <v>Yántóu Xiāng</v>
      </c>
      <c r="D1292" t="s">
        <v>2455</v>
      </c>
      <c r="E1292" t="s">
        <v>17</v>
      </c>
      <c r="F1292" t="str">
        <f>_xlfn.CONCAT(D1292,", ",H1292,", ",I1292,", ","山西省")</f>
        <v>岩头乡, 繁峙县, 忻州市, 山西省</v>
      </c>
      <c r="G1292">
        <v>6615</v>
      </c>
      <c r="H1292" t="s">
        <v>2985</v>
      </c>
      <c r="I1292" t="s">
        <v>2981</v>
      </c>
      <c r="J1292" t="e">
        <f>VLOOKUP(F1292,[1]!china_towns_second__2[[Column1]:[Y]],3,FALSE)</f>
        <v>#N/A</v>
      </c>
      <c r="K1292" t="e">
        <f>VLOOKUP(F1292,[1]!china_towns_second__2[[Column1]:[Y]],2,FALSE)</f>
        <v>#N/A</v>
      </c>
      <c r="L1292" t="s">
        <v>4863</v>
      </c>
      <c r="M1292" t="str">
        <f>VLOOKUP(H1292,CHOOSE({1,2},Table12[Native],Table12[Name]),2,0)</f>
        <v>Fánshì Xiàn</v>
      </c>
      <c r="N1292" s="13" t="str">
        <f>VLOOKUP(I1292,CHOOSE({1,2},Table12[Native],Table12[Name]),2,0)</f>
        <v>Xīnzhōu Shì</v>
      </c>
      <c r="O1292" s="13" t="str">
        <f t="shared" si="40"/>
        <v>Yantou Xiang (Xīnzhōu Shì)</v>
      </c>
      <c r="P1292" s="13" t="str">
        <f t="shared" si="41"/>
        <v>Yantou Xiang (Xīnzhōu Shì)</v>
      </c>
    </row>
    <row r="1293" spans="1:16" hidden="1" x14ac:dyDescent="0.25">
      <c r="A1293" t="s">
        <v>1704</v>
      </c>
      <c r="B1293" t="str">
        <f>IF(COUNTIF(A:A,A1293)&gt;1,_xlfn.CONCAT(A1293," (",N1293,")"),A1293)</f>
        <v>Yănwŭ Zhèn</v>
      </c>
      <c r="C1293" t="str">
        <f>IF(COUNTIF(B:B,B1293)&gt;1,_xlfn.CONCAT(A1293," (",M1293,")"),B1293)</f>
        <v>Yănwŭ Zhèn</v>
      </c>
      <c r="D1293" t="s">
        <v>1705</v>
      </c>
      <c r="E1293" t="s">
        <v>7</v>
      </c>
      <c r="F1293" t="str">
        <f>_xlfn.CONCAT(D1293,", ",H1293,", ",I1293,", ","山西省")</f>
        <v>演武镇, 汾阳市, 吕梁市, 山西省</v>
      </c>
      <c r="G1293">
        <v>27352</v>
      </c>
      <c r="H1293" t="s">
        <v>2948</v>
      </c>
      <c r="I1293" t="s">
        <v>2946</v>
      </c>
      <c r="J1293">
        <f>VLOOKUP(F1293,[1]!china_towns_second__2[[Column1]:[Y]],3,FALSE)</f>
        <v>37.199598079437003</v>
      </c>
      <c r="K1293">
        <f>VLOOKUP(F1293,[1]!china_towns_second__2[[Column1]:[Y]],2,FALSE)</f>
        <v>111.9128073</v>
      </c>
      <c r="L1293" t="s">
        <v>4864</v>
      </c>
      <c r="M1293" t="str">
        <f>VLOOKUP(H1293,CHOOSE({1,2},Table12[Native],Table12[Name]),2,0)</f>
        <v>Fényáng Shì</v>
      </c>
      <c r="N1293" s="13" t="str">
        <f>VLOOKUP(I1293,CHOOSE({1,2},Table12[Native],Table12[Name]),2,0)</f>
        <v>Lǚliáng Shì</v>
      </c>
      <c r="O1293" s="13" t="str">
        <f t="shared" si="40"/>
        <v>Yanwu Zhen (Lǚliáng Shì)</v>
      </c>
      <c r="P1293" s="13" t="str">
        <f t="shared" si="41"/>
        <v>Yanwu Zhen (Lǚliáng Shì)</v>
      </c>
    </row>
    <row r="1294" spans="1:16" hidden="1" x14ac:dyDescent="0.25">
      <c r="A1294" t="s">
        <v>581</v>
      </c>
      <c r="B1294" t="str">
        <f>IF(COUNTIF(A:A,A1294)&gt;1,_xlfn.CONCAT(A1294," (",N1294,")"),A1294)</f>
        <v>Yànyá Jiēdào</v>
      </c>
      <c r="C1294" t="str">
        <f>IF(COUNTIF(B:B,B1294)&gt;1,_xlfn.CONCAT(A1294," (",M1294,")"),B1294)</f>
        <v>Yànyá Jiēdào</v>
      </c>
      <c r="D1294" t="s">
        <v>582</v>
      </c>
      <c r="E1294" t="s">
        <v>31</v>
      </c>
      <c r="F1294" t="str">
        <f>_xlfn.CONCAT(D1294,", ",H1294,", ",I1294,", ","山西省")</f>
        <v>雁崖街道, 云冈区, 大同市, 山西省</v>
      </c>
      <c r="G1294">
        <v>10131</v>
      </c>
      <c r="H1294" t="s">
        <v>2902</v>
      </c>
      <c r="I1294" t="s">
        <v>2894</v>
      </c>
      <c r="J1294" t="e">
        <f>VLOOKUP(F1294,[1]!china_towns_second__2[[Column1]:[Y]],3,FALSE)</f>
        <v>#N/A</v>
      </c>
      <c r="K1294" t="e">
        <f>VLOOKUP(F1294,[1]!china_towns_second__2[[Column1]:[Y]],2,FALSE)</f>
        <v>#N/A</v>
      </c>
      <c r="L1294" t="s">
        <v>4865</v>
      </c>
      <c r="M1294" t="str">
        <f>VLOOKUP(H1294,CHOOSE({1,2},Table12[Native],Table12[Name]),2,0)</f>
        <v>Yúngāng Qū</v>
      </c>
      <c r="N1294" s="13" t="str">
        <f>VLOOKUP(I1294,CHOOSE({1,2},Table12[Native],Table12[Name]),2,0)</f>
        <v>Dàtóng Shì</v>
      </c>
      <c r="O1294" s="13" t="str">
        <f t="shared" si="40"/>
        <v>Yanya Jiedao (Dàtóng Shì)</v>
      </c>
      <c r="P1294" s="13" t="str">
        <f t="shared" si="41"/>
        <v>Yanya Jiedao (Dàtóng Shì)</v>
      </c>
    </row>
    <row r="1295" spans="1:16" hidden="1" x14ac:dyDescent="0.25">
      <c r="A1295" t="s">
        <v>1028</v>
      </c>
      <c r="B1295" t="str">
        <f>IF(COUNTIF(A:A,A1295)&gt;1,_xlfn.CONCAT(A1295," (",N1295,")"),A1295)</f>
        <v>Yánzhuāng Xiāng</v>
      </c>
      <c r="C1295" t="str">
        <f>IF(COUNTIF(B:B,B1295)&gt;1,_xlfn.CONCAT(A1295," (",M1295,")"),B1295)</f>
        <v>Yánzhuāng Xiāng</v>
      </c>
      <c r="D1295" t="s">
        <v>1029</v>
      </c>
      <c r="E1295" t="s">
        <v>17</v>
      </c>
      <c r="F1295" t="str">
        <f>_xlfn.CONCAT(D1295,", ",H1295,", ",I1295,", ","山西省")</f>
        <v>闫庄乡, 昔阳县, 晋中市, 山西省</v>
      </c>
      <c r="G1295">
        <v>9145</v>
      </c>
      <c r="H1295" t="s">
        <v>2922</v>
      </c>
      <c r="I1295" t="s">
        <v>2914</v>
      </c>
      <c r="J1295" t="e">
        <f>VLOOKUP(F1295,[1]!china_towns_second__2[[Column1]:[Y]],3,FALSE)</f>
        <v>#N/A</v>
      </c>
      <c r="K1295" t="e">
        <f>VLOOKUP(F1295,[1]!china_towns_second__2[[Column1]:[Y]],2,FALSE)</f>
        <v>#N/A</v>
      </c>
      <c r="L1295" t="s">
        <v>4866</v>
      </c>
      <c r="M1295" t="str">
        <f>VLOOKUP(H1295,CHOOSE({1,2},Table12[Native],Table12[Name]),2,0)</f>
        <v>Xīyáng Xiàn</v>
      </c>
      <c r="N1295" s="13" t="str">
        <f>VLOOKUP(I1295,CHOOSE({1,2},Table12[Native],Table12[Name]),2,0)</f>
        <v>Jìnzhōng Shì</v>
      </c>
      <c r="O1295" s="13" t="str">
        <f t="shared" si="40"/>
        <v>Yanzhuang Xiang (Jìnzhōng Shì)</v>
      </c>
      <c r="P1295" s="13" t="str">
        <f t="shared" si="41"/>
        <v>Yanzhuang Xiang (Jìnzhōng Shì)</v>
      </c>
    </row>
    <row r="1296" spans="1:16" hidden="1" x14ac:dyDescent="0.25">
      <c r="A1296" t="s">
        <v>2456</v>
      </c>
      <c r="B1296" t="str">
        <f>IF(COUNTIF(A:A,A1296)&gt;1,_xlfn.CONCAT(A1296," (",N1296,")"),A1296)</f>
        <v>Yánzhuāng Zhèn</v>
      </c>
      <c r="C1296" t="str">
        <f>IF(COUNTIF(B:B,B1296)&gt;1,_xlfn.CONCAT(A1296," (",M1296,")"),B1296)</f>
        <v>Yánzhuāng Zhèn</v>
      </c>
      <c r="D1296" t="s">
        <v>2457</v>
      </c>
      <c r="E1296" t="s">
        <v>7</v>
      </c>
      <c r="F1296" t="str">
        <f>_xlfn.CONCAT(D1296,", ",H1296,", ",I1296,", ","山西省")</f>
        <v>闫庄镇, 原平市, 忻州市, 山西省</v>
      </c>
      <c r="G1296">
        <v>21791</v>
      </c>
      <c r="H1296" t="s">
        <v>2995</v>
      </c>
      <c r="I1296" t="s">
        <v>2981</v>
      </c>
      <c r="J1296">
        <f>VLOOKUP(F1296,[1]!china_towns_second__2[[Column1]:[Y]],3,FALSE)</f>
        <v>38.634367007397202</v>
      </c>
      <c r="K1296">
        <f>VLOOKUP(F1296,[1]!china_towns_second__2[[Column1]:[Y]],2,FALSE)</f>
        <v>112.58681679999999</v>
      </c>
      <c r="L1296" t="s">
        <v>4867</v>
      </c>
      <c r="M1296" t="str">
        <f>VLOOKUP(H1296,CHOOSE({1,2},Table12[Native],Table12[Name]),2,0)</f>
        <v>Yuánpíng Shì</v>
      </c>
      <c r="N1296" s="13" t="str">
        <f>VLOOKUP(I1296,CHOOSE({1,2},Table12[Native],Table12[Name]),2,0)</f>
        <v>Xīnzhōu Shì</v>
      </c>
      <c r="O1296" s="13" t="str">
        <f t="shared" si="40"/>
        <v>Yanzhuang Zhen (Xīnzhōu Shì)</v>
      </c>
      <c r="P1296" s="13" t="str">
        <f t="shared" si="41"/>
        <v>Yanzhuang Zhen (Xīnzhōu Shì)</v>
      </c>
    </row>
    <row r="1297" spans="1:16" hidden="1" x14ac:dyDescent="0.25">
      <c r="A1297" t="s">
        <v>583</v>
      </c>
      <c r="B1297" t="str">
        <f>IF(COUNTIF(A:A,A1297)&gt;1,_xlfn.CONCAT(A1297," (",N1297,")"),A1297)</f>
        <v>Yànzishān Jiēdào</v>
      </c>
      <c r="C1297" t="str">
        <f>IF(COUNTIF(B:B,B1297)&gt;1,_xlfn.CONCAT(A1297," (",M1297,")"),B1297)</f>
        <v>Yànzishān Jiēdào</v>
      </c>
      <c r="D1297" t="s">
        <v>584</v>
      </c>
      <c r="E1297" t="s">
        <v>31</v>
      </c>
      <c r="F1297" t="str">
        <f>_xlfn.CONCAT(D1297,", ",H1297,", ",I1297,", ","山西省")</f>
        <v>燕子山街道, 云冈区, 大同市, 山西省</v>
      </c>
      <c r="G1297">
        <v>13423</v>
      </c>
      <c r="H1297" t="s">
        <v>2902</v>
      </c>
      <c r="I1297" t="s">
        <v>2894</v>
      </c>
      <c r="J1297" t="e">
        <f>VLOOKUP(F1297,[1]!china_towns_second__2[[Column1]:[Y]],3,FALSE)</f>
        <v>#N/A</v>
      </c>
      <c r="K1297" t="e">
        <f>VLOOKUP(F1297,[1]!china_towns_second__2[[Column1]:[Y]],2,FALSE)</f>
        <v>#N/A</v>
      </c>
      <c r="L1297" t="s">
        <v>4868</v>
      </c>
      <c r="M1297" t="str">
        <f>VLOOKUP(H1297,CHOOSE({1,2},Table12[Native],Table12[Name]),2,0)</f>
        <v>Yúngāng Qū</v>
      </c>
      <c r="N1297" s="13" t="str">
        <f>VLOOKUP(I1297,CHOOSE({1,2},Table12[Native],Table12[Name]),2,0)</f>
        <v>Dàtóng Shì</v>
      </c>
      <c r="O1297" s="13" t="str">
        <f t="shared" si="40"/>
        <v>Yanzishan Jiedao (Dàtóng Shì)</v>
      </c>
      <c r="P1297" s="13" t="str">
        <f t="shared" si="41"/>
        <v>Yanzishan Jiedao (Dàtóng Shì)</v>
      </c>
    </row>
    <row r="1298" spans="1:16" hidden="1" x14ac:dyDescent="0.25">
      <c r="A1298" t="s">
        <v>2084</v>
      </c>
      <c r="B1298" t="str">
        <f>IF(COUNTIF(A:A,A1298)&gt;1,_xlfn.CONCAT(A1298," (",N1298,")"),A1298)</f>
        <v>Yáocūn Zhèn</v>
      </c>
      <c r="C1298" t="str">
        <f>IF(COUNTIF(B:B,B1298)&gt;1,_xlfn.CONCAT(A1298," (",M1298,")"),B1298)</f>
        <v>Yáocūn Zhèn</v>
      </c>
      <c r="D1298" t="s">
        <v>2085</v>
      </c>
      <c r="E1298" t="s">
        <v>7</v>
      </c>
      <c r="F1298" t="str">
        <f>_xlfn.CONCAT(D1298,", ",H1298,", ",I1298,", ","山西省")</f>
        <v>姚村镇, 晋源区, 太原市, 山西省</v>
      </c>
      <c r="G1298">
        <v>23325</v>
      </c>
      <c r="H1298" t="s">
        <v>2972</v>
      </c>
      <c r="I1298" t="s">
        <v>2969</v>
      </c>
      <c r="J1298">
        <f>VLOOKUP(F1298,[1]!china_towns_second__2[[Column1]:[Y]],3,FALSE)</f>
        <v>37.6715641413074</v>
      </c>
      <c r="K1298">
        <f>VLOOKUP(F1298,[1]!china_towns_second__2[[Column1]:[Y]],2,FALSE)</f>
        <v>112.371668</v>
      </c>
      <c r="L1298" t="s">
        <v>4869</v>
      </c>
      <c r="M1298" t="str">
        <f>VLOOKUP(H1298,CHOOSE({1,2},Table12[Native],Table12[Name]),2,0)</f>
        <v>Jìnyuán Qū</v>
      </c>
      <c r="N1298" s="13" t="str">
        <f>VLOOKUP(I1298,CHOOSE({1,2},Table12[Native],Table12[Name]),2,0)</f>
        <v>Tàiyuán Shì</v>
      </c>
      <c r="O1298" s="13" t="str">
        <f t="shared" si="40"/>
        <v>Yaocun Zhen (Tàiyuán Shì)</v>
      </c>
      <c r="P1298" s="13" t="str">
        <f t="shared" si="41"/>
        <v>Yaocun Zhen (Tàiyuán Shì)</v>
      </c>
    </row>
    <row r="1299" spans="1:16" hidden="1" x14ac:dyDescent="0.25">
      <c r="A1299" t="s">
        <v>2844</v>
      </c>
      <c r="B1299" t="str">
        <f>IF(COUNTIF(A:A,A1299)&gt;1,_xlfn.CONCAT(A1299," (",N1299,")"),A1299)</f>
        <v>Yáofēng Zhèn</v>
      </c>
      <c r="C1299" t="str">
        <f>IF(COUNTIF(B:B,B1299)&gt;1,_xlfn.CONCAT(A1299," (",M1299,")"),B1299)</f>
        <v>Yáofēng Zhèn</v>
      </c>
      <c r="D1299" t="s">
        <v>2845</v>
      </c>
      <c r="E1299" t="s">
        <v>7</v>
      </c>
      <c r="F1299" t="str">
        <f>_xlfn.CONCAT(D1299,", ",H1299,", ",I1299,", ","山西省")</f>
        <v>瑶峰镇, 夏县, 运城市, 山西省</v>
      </c>
      <c r="G1299">
        <v>86435</v>
      </c>
      <c r="H1299" t="s">
        <v>3012</v>
      </c>
      <c r="I1299" t="s">
        <v>3003</v>
      </c>
      <c r="J1299">
        <f>VLOOKUP(F1299,[1]!china_towns_second__2[[Column1]:[Y]],3,FALSE)</f>
        <v>35.121745328779603</v>
      </c>
      <c r="K1299">
        <f>VLOOKUP(F1299,[1]!china_towns_second__2[[Column1]:[Y]],2,FALSE)</f>
        <v>111.2795392</v>
      </c>
      <c r="L1299" t="s">
        <v>4870</v>
      </c>
      <c r="M1299" t="str">
        <f>VLOOKUP(H1299,CHOOSE({1,2},Table12[Native],Table12[Name]),2,0)</f>
        <v>Xià Xiàn</v>
      </c>
      <c r="N1299" s="13" t="str">
        <f>VLOOKUP(I1299,CHOOSE({1,2},Table12[Native],Table12[Name]),2,0)</f>
        <v>Yùnchéng Shì</v>
      </c>
      <c r="O1299" s="13" t="str">
        <f t="shared" si="40"/>
        <v>Yaofeng Zhen (Yùnchéng Shì)</v>
      </c>
      <c r="P1299" s="13" t="str">
        <f t="shared" si="41"/>
        <v>Yaofeng Zhen (Yùnchéng Shì)</v>
      </c>
    </row>
    <row r="1300" spans="1:16" hidden="1" x14ac:dyDescent="0.25">
      <c r="A1300" t="s">
        <v>2458</v>
      </c>
      <c r="B1300" t="str">
        <f>IF(COUNTIF(A:A,A1300)&gt;1,_xlfn.CONCAT(A1300," (",N1300,")"),A1300)</f>
        <v>Yáogētái Xiāng</v>
      </c>
      <c r="C1300" t="str">
        <f>IF(COUNTIF(B:B,B1300)&gt;1,_xlfn.CONCAT(A1300," (",M1300,")"),B1300)</f>
        <v>Yáogētái Xiāng</v>
      </c>
      <c r="D1300" t="s">
        <v>2459</v>
      </c>
      <c r="E1300" t="s">
        <v>17</v>
      </c>
      <c r="F1300" t="str">
        <f>_xlfn.CONCAT(D1300,", ",H1300,", ",I1300,", ","山西省")</f>
        <v>窑圪台乡, 保德县, 忻州市, 山西省</v>
      </c>
      <c r="G1300">
        <v>3719</v>
      </c>
      <c r="H1300" t="s">
        <v>2982</v>
      </c>
      <c r="I1300" t="s">
        <v>2981</v>
      </c>
      <c r="J1300" t="e">
        <f>VLOOKUP(F1300,[1]!china_towns_second__2[[Column1]:[Y]],3,FALSE)</f>
        <v>#N/A</v>
      </c>
      <c r="K1300" t="e">
        <f>VLOOKUP(F1300,[1]!china_towns_second__2[[Column1]:[Y]],2,FALSE)</f>
        <v>#N/A</v>
      </c>
      <c r="L1300" t="s">
        <v>4871</v>
      </c>
      <c r="M1300" t="str">
        <f>VLOOKUP(H1300,CHOOSE({1,2},Table12[Native],Table12[Name]),2,0)</f>
        <v>Băodé Xiàn</v>
      </c>
      <c r="N1300" s="13" t="str">
        <f>VLOOKUP(I1300,CHOOSE({1,2},Table12[Native],Table12[Name]),2,0)</f>
        <v>Xīnzhōu Shì</v>
      </c>
      <c r="O1300" s="13" t="str">
        <f t="shared" si="40"/>
        <v>Yaogetai Xiang (Xīnzhōu Shì)</v>
      </c>
      <c r="P1300" s="13" t="str">
        <f t="shared" si="41"/>
        <v>Yaogetai Xiang (Xīnzhōu Shì)</v>
      </c>
    </row>
    <row r="1301" spans="1:16" hidden="1" x14ac:dyDescent="0.25">
      <c r="A1301" t="s">
        <v>2846</v>
      </c>
      <c r="B1301" t="str">
        <f>IF(COUNTIF(A:A,A1301)&gt;1,_xlfn.CONCAT(A1301," (",N1301,")"),A1301)</f>
        <v>Yáomèng Jiēdào</v>
      </c>
      <c r="C1301" t="str">
        <f>IF(COUNTIF(B:B,B1301)&gt;1,_xlfn.CONCAT(A1301," (",M1301,")"),B1301)</f>
        <v>Yáomèng Jiēdào</v>
      </c>
      <c r="D1301" t="s">
        <v>2847</v>
      </c>
      <c r="E1301" t="s">
        <v>31</v>
      </c>
      <c r="F1301" t="str">
        <f>_xlfn.CONCAT(D1301,", ",H1301,", ",I1301,", ","山西省")</f>
        <v>姚孟街道, 盐湖区, 运城市, 山西省</v>
      </c>
      <c r="G1301">
        <v>16868</v>
      </c>
      <c r="H1301" t="s">
        <v>3014</v>
      </c>
      <c r="I1301" t="s">
        <v>3003</v>
      </c>
      <c r="J1301">
        <f>VLOOKUP(F1301,[1]!china_towns_second__2[[Column1]:[Y]],3,FALSE)</f>
        <v>35.079976489573902</v>
      </c>
      <c r="K1301">
        <f>VLOOKUP(F1301,[1]!china_towns_second__2[[Column1]:[Y]],2,FALSE)</f>
        <v>110.97393</v>
      </c>
      <c r="L1301" t="s">
        <v>4872</v>
      </c>
      <c r="M1301" t="str">
        <f>VLOOKUP(H1301,CHOOSE({1,2},Table12[Native],Table12[Name]),2,0)</f>
        <v>Yánhú Qū</v>
      </c>
      <c r="N1301" s="13" t="str">
        <f>VLOOKUP(I1301,CHOOSE({1,2},Table12[Native],Table12[Name]),2,0)</f>
        <v>Yùnchéng Shì</v>
      </c>
      <c r="O1301" s="13" t="str">
        <f t="shared" si="40"/>
        <v>Yaomeng Jiedao (Yùnchéng Shì)</v>
      </c>
      <c r="P1301" s="13" t="str">
        <f t="shared" si="41"/>
        <v>Yaomeng Jiedao (Yùnchéng Shì)</v>
      </c>
    </row>
    <row r="1302" spans="1:16" hidden="1" x14ac:dyDescent="0.25">
      <c r="A1302" t="s">
        <v>1375</v>
      </c>
      <c r="B1302" t="str">
        <f>IF(COUNTIF(A:A,A1302)&gt;1,_xlfn.CONCAT(A1302," (",N1302,")"),A1302)</f>
        <v>Yáomiào Zhèn</v>
      </c>
      <c r="C1302" t="str">
        <f>IF(COUNTIF(B:B,B1302)&gt;1,_xlfn.CONCAT(A1302," (",M1302,")"),B1302)</f>
        <v>Yáomiào Zhèn</v>
      </c>
      <c r="D1302" t="s">
        <v>1376</v>
      </c>
      <c r="E1302" t="s">
        <v>7</v>
      </c>
      <c r="F1302" t="str">
        <f>_xlfn.CONCAT(D1302,", ",H1302,", ",I1302,", ","山西省")</f>
        <v>尧庙镇, 尧都区, 临汾市, 山西省</v>
      </c>
      <c r="G1302">
        <v>37017</v>
      </c>
      <c r="H1302" t="s">
        <v>2942</v>
      </c>
      <c r="I1302" t="s">
        <v>2927</v>
      </c>
      <c r="J1302">
        <f>VLOOKUP(F1302,[1]!china_towns_second__2[[Column1]:[Y]],3,FALSE)</f>
        <v>36.039937565589597</v>
      </c>
      <c r="K1302">
        <f>VLOOKUP(F1302,[1]!china_towns_second__2[[Column1]:[Y]],2,FALSE)</f>
        <v>111.4674758</v>
      </c>
      <c r="L1302" t="s">
        <v>4873</v>
      </c>
      <c r="M1302" t="str">
        <f>VLOOKUP(H1302,CHOOSE({1,2},Table12[Native],Table12[Name]),2,0)</f>
        <v>Yáodū Qū</v>
      </c>
      <c r="N1302" s="13" t="str">
        <f>VLOOKUP(I1302,CHOOSE({1,2},Table12[Native],Table12[Name]),2,0)</f>
        <v>Línfén Shì</v>
      </c>
      <c r="O1302" s="13" t="str">
        <f t="shared" si="40"/>
        <v>Yaomiao Zhen (Línfén Shì)</v>
      </c>
      <c r="P1302" s="13" t="str">
        <f t="shared" si="41"/>
        <v>Yaomiao Zhen (Línfén Shì)</v>
      </c>
    </row>
    <row r="1303" spans="1:16" hidden="1" x14ac:dyDescent="0.25">
      <c r="A1303" t="s">
        <v>2460</v>
      </c>
      <c r="B1303" t="str">
        <f>IF(COUNTIF(A:A,A1303)&gt;1,_xlfn.CONCAT(A1303," (",N1303,")"),A1303)</f>
        <v>Yáotóu Xiāng</v>
      </c>
      <c r="C1303" t="str">
        <f>IF(COUNTIF(B:B,B1303)&gt;1,_xlfn.CONCAT(A1303," (",M1303,")"),B1303)</f>
        <v>Yáotóu Xiāng</v>
      </c>
      <c r="D1303" t="s">
        <v>2461</v>
      </c>
      <c r="E1303" t="s">
        <v>17</v>
      </c>
      <c r="F1303" t="str">
        <f>_xlfn.CONCAT(D1303,", ",H1303,", ",I1303,", ","山西省")</f>
        <v>窑头乡, 偏关县, 忻州市, 山西省</v>
      </c>
      <c r="G1303">
        <v>11371</v>
      </c>
      <c r="H1303" t="s">
        <v>2990</v>
      </c>
      <c r="I1303" t="s">
        <v>2981</v>
      </c>
      <c r="J1303" t="e">
        <f>VLOOKUP(F1303,[1]!china_towns_second__2[[Column1]:[Y]],3,FALSE)</f>
        <v>#N/A</v>
      </c>
      <c r="K1303" t="e">
        <f>VLOOKUP(F1303,[1]!china_towns_second__2[[Column1]:[Y]],2,FALSE)</f>
        <v>#N/A</v>
      </c>
      <c r="L1303" t="s">
        <v>4874</v>
      </c>
      <c r="M1303" t="str">
        <f>VLOOKUP(H1303,CHOOSE({1,2},Table12[Native],Table12[Name]),2,0)</f>
        <v>Piānguān Xiàn</v>
      </c>
      <c r="N1303" s="13" t="str">
        <f>VLOOKUP(I1303,CHOOSE({1,2},Table12[Native],Table12[Name]),2,0)</f>
        <v>Xīnzhōu Shì</v>
      </c>
      <c r="O1303" s="13" t="str">
        <f t="shared" si="40"/>
        <v>Yaotou Xiang (Xīnzhōu Shì)</v>
      </c>
      <c r="P1303" s="13" t="str">
        <f t="shared" si="41"/>
        <v>Yaotou Xiang (Xīnzhōu Shì)</v>
      </c>
    </row>
    <row r="1304" spans="1:16" hidden="1" x14ac:dyDescent="0.25">
      <c r="A1304" t="s">
        <v>2462</v>
      </c>
      <c r="B1304" t="str">
        <f>IF(COUNTIF(A:A,A1304)&gt;1,_xlfn.CONCAT(A1304," (",N1304,")"),A1304)</f>
        <v>Yáowā Xiāng</v>
      </c>
      <c r="C1304" t="str">
        <f>IF(COUNTIF(B:B,B1304)&gt;1,_xlfn.CONCAT(A1304," (",M1304,")"),B1304)</f>
        <v>Yáowā Xiāng</v>
      </c>
      <c r="D1304" t="s">
        <v>2463</v>
      </c>
      <c r="E1304" t="s">
        <v>17</v>
      </c>
      <c r="F1304" t="str">
        <f>_xlfn.CONCAT(D1304,", ",H1304,", ",I1304,", ","山西省")</f>
        <v>窑洼乡, 保德县, 忻州市, 山西省</v>
      </c>
      <c r="G1304">
        <v>3836</v>
      </c>
      <c r="H1304" t="s">
        <v>2982</v>
      </c>
      <c r="I1304" t="s">
        <v>2981</v>
      </c>
      <c r="J1304" t="e">
        <f>VLOOKUP(F1304,[1]!china_towns_second__2[[Column1]:[Y]],3,FALSE)</f>
        <v>#N/A</v>
      </c>
      <c r="K1304" t="e">
        <f>VLOOKUP(F1304,[1]!china_towns_second__2[[Column1]:[Y]],2,FALSE)</f>
        <v>#N/A</v>
      </c>
      <c r="L1304" t="s">
        <v>4875</v>
      </c>
      <c r="M1304" t="str">
        <f>VLOOKUP(H1304,CHOOSE({1,2},Table12[Native],Table12[Name]),2,0)</f>
        <v>Băodé Xiàn</v>
      </c>
      <c r="N1304" s="13" t="str">
        <f>VLOOKUP(I1304,CHOOSE({1,2},Table12[Native],Table12[Name]),2,0)</f>
        <v>Xīnzhōu Shì</v>
      </c>
      <c r="O1304" s="13" t="str">
        <f t="shared" si="40"/>
        <v>Yaowa Xiang (Xīnzhōu Shì)</v>
      </c>
      <c r="P1304" s="13" t="str">
        <f t="shared" si="41"/>
        <v>Yaowa Xiang (Xīnzhōu Shì)</v>
      </c>
    </row>
    <row r="1305" spans="1:16" hidden="1" x14ac:dyDescent="0.25">
      <c r="A1305" t="s">
        <v>2464</v>
      </c>
      <c r="B1305" t="str">
        <f>IF(COUNTIF(A:A,A1305)&gt;1,_xlfn.CONCAT(A1305," (",N1305,")"),A1305)</f>
        <v>Yāozhuāng Xiāng</v>
      </c>
      <c r="C1305" t="str">
        <f>IF(COUNTIF(B:B,B1305)&gt;1,_xlfn.CONCAT(A1305," (",M1305,")"),B1305)</f>
        <v>Yāozhuāng Xiāng</v>
      </c>
      <c r="D1305" t="s">
        <v>2465</v>
      </c>
      <c r="E1305" t="s">
        <v>17</v>
      </c>
      <c r="F1305" t="str">
        <f>_xlfn.CONCAT(D1305,", ",H1305,", ",I1305,", ","山西省")</f>
        <v>腰庄乡, 保德县, 忻州市, 山西省</v>
      </c>
      <c r="G1305">
        <v>6873</v>
      </c>
      <c r="H1305" t="s">
        <v>2982</v>
      </c>
      <c r="I1305" t="s">
        <v>2981</v>
      </c>
      <c r="J1305" t="e">
        <f>VLOOKUP(F1305,[1]!china_towns_second__2[[Column1]:[Y]],3,FALSE)</f>
        <v>#N/A</v>
      </c>
      <c r="K1305" t="e">
        <f>VLOOKUP(F1305,[1]!china_towns_second__2[[Column1]:[Y]],2,FALSE)</f>
        <v>#N/A</v>
      </c>
      <c r="L1305" t="s">
        <v>4876</v>
      </c>
      <c r="M1305" t="str">
        <f>VLOOKUP(H1305,CHOOSE({1,2},Table12[Native],Table12[Name]),2,0)</f>
        <v>Băodé Xiàn</v>
      </c>
      <c r="N1305" s="13" t="str">
        <f>VLOOKUP(I1305,CHOOSE({1,2},Table12[Native],Table12[Name]),2,0)</f>
        <v>Xīnzhōu Shì</v>
      </c>
      <c r="O1305" s="13" t="str">
        <f t="shared" si="40"/>
        <v>Yaozhuang Xiang (Xīnzhōu Shì)</v>
      </c>
      <c r="P1305" s="13" t="str">
        <f t="shared" si="41"/>
        <v>Yaozhuang Xiang (Xīnzhōu Shì)</v>
      </c>
    </row>
    <row r="1306" spans="1:16" hidden="1" x14ac:dyDescent="0.25">
      <c r="A1306" t="s">
        <v>1856</v>
      </c>
      <c r="B1306" t="str">
        <f>IF(COUNTIF(A:A,A1306)&gt;1,_xlfn.CONCAT(A1306," (",N1306,")"),A1306)</f>
        <v>Yáozitóu Xiāng</v>
      </c>
      <c r="C1306" t="str">
        <f>IF(COUNTIF(B:B,B1306)&gt;1,_xlfn.CONCAT(A1306," (",M1306,")"),B1306)</f>
        <v>Yáozitóu Xiāng</v>
      </c>
      <c r="D1306" t="s">
        <v>1857</v>
      </c>
      <c r="E1306" t="s">
        <v>17</v>
      </c>
      <c r="F1306" t="str">
        <f>_xlfn.CONCAT(D1306,", ",H1306,", ",I1306,", ","山西省")</f>
        <v>窑子头乡, 朔城区, 朔州市, 山西省</v>
      </c>
      <c r="G1306">
        <v>10195</v>
      </c>
      <c r="H1306" t="s">
        <v>2965</v>
      </c>
      <c r="I1306" t="s">
        <v>2961</v>
      </c>
      <c r="J1306" t="e">
        <f>VLOOKUP(F1306,[1]!china_towns_second__2[[Column1]:[Y]],3,FALSE)</f>
        <v>#N/A</v>
      </c>
      <c r="K1306" t="e">
        <f>VLOOKUP(F1306,[1]!china_towns_second__2[[Column1]:[Y]],2,FALSE)</f>
        <v>#N/A</v>
      </c>
      <c r="L1306" t="s">
        <v>4877</v>
      </c>
      <c r="M1306" t="str">
        <f>VLOOKUP(H1306,CHOOSE({1,2},Table12[Native],Table12[Name]),2,0)</f>
        <v>Shuòchéng Qū</v>
      </c>
      <c r="N1306" s="13" t="str">
        <f>VLOOKUP(I1306,CHOOSE({1,2},Table12[Native],Table12[Name]),2,0)</f>
        <v>Shuòzhōu Shì</v>
      </c>
      <c r="O1306" s="13" t="str">
        <f t="shared" si="40"/>
        <v>Yaozitou Xiang (Shuòzhōu Shì)</v>
      </c>
      <c r="P1306" s="13" t="str">
        <f t="shared" si="41"/>
        <v>Yaozitou Xiang (Shuòzhōu Shì)</v>
      </c>
    </row>
    <row r="1307" spans="1:16" hidden="1" x14ac:dyDescent="0.25">
      <c r="A1307" t="s">
        <v>765</v>
      </c>
      <c r="B1307" t="str">
        <f>IF(COUNTIF(A:A,A1307)&gt;1,_xlfn.CONCAT(A1307," (",N1307,")"),A1307)</f>
        <v>Yĕchuān Zhèn</v>
      </c>
      <c r="C1307" t="str">
        <f>IF(COUNTIF(B:B,B1307)&gt;1,_xlfn.CONCAT(A1307," (",M1307,")"),B1307)</f>
        <v>Yĕchuān Zhèn</v>
      </c>
      <c r="D1307" t="s">
        <v>766</v>
      </c>
      <c r="E1307" t="s">
        <v>7</v>
      </c>
      <c r="F1307" t="str">
        <f>_xlfn.CONCAT(D1307,", ",H1307,", ",I1307,", ","山西省")</f>
        <v>野川镇, 高平市, 晋城市, 山西省</v>
      </c>
      <c r="G1307">
        <v>21027</v>
      </c>
      <c r="H1307" t="s">
        <v>2908</v>
      </c>
      <c r="I1307" t="s">
        <v>2906</v>
      </c>
      <c r="J1307">
        <f>VLOOKUP(F1307,[1]!china_towns_second__2[[Column1]:[Y]],3,FALSE)</f>
        <v>35.826613672432202</v>
      </c>
      <c r="K1307">
        <f>VLOOKUP(F1307,[1]!china_towns_second__2[[Column1]:[Y]],2,FALSE)</f>
        <v>112.7941184</v>
      </c>
      <c r="L1307" t="s">
        <v>4878</v>
      </c>
      <c r="M1307" t="str">
        <f>VLOOKUP(H1307,CHOOSE({1,2},Table12[Native],Table12[Name]),2,0)</f>
        <v>Gāopíng Shì</v>
      </c>
      <c r="N1307" s="13" t="str">
        <f>VLOOKUP(I1307,CHOOSE({1,2},Table12[Native],Table12[Name]),2,0)</f>
        <v>Jìnchéng Shì</v>
      </c>
      <c r="O1307" s="13" t="str">
        <f t="shared" si="40"/>
        <v>Yechuan Zhen (Jìnchéng Shì)</v>
      </c>
      <c r="P1307" s="13" t="str">
        <f t="shared" si="41"/>
        <v>Yechuan Zhen (Jìnchéng Shì)</v>
      </c>
    </row>
    <row r="1308" spans="1:16" hidden="1" x14ac:dyDescent="0.25">
      <c r="A1308" t="s">
        <v>1030</v>
      </c>
      <c r="B1308" t="str">
        <f>IF(COUNTIF(A:A,A1308)&gt;1,_xlfn.CONCAT(A1308," (",N1308,")"),A1308)</f>
        <v>Yĕtóu Zhèn</v>
      </c>
      <c r="C1308" t="str">
        <f>IF(COUNTIF(B:B,B1308)&gt;1,_xlfn.CONCAT(A1308," (",M1308,")"),B1308)</f>
        <v>Yĕtóu Zhèn</v>
      </c>
      <c r="D1308" t="s">
        <v>1031</v>
      </c>
      <c r="E1308" t="s">
        <v>7</v>
      </c>
      <c r="F1308" t="str">
        <f>_xlfn.CONCAT(D1308,", ",H1308,", ",I1308,", ","山西省")</f>
        <v>冶头镇, 昔阳县, 晋中市, 山西省</v>
      </c>
      <c r="G1308">
        <v>12341</v>
      </c>
      <c r="H1308" t="s">
        <v>2922</v>
      </c>
      <c r="I1308" t="s">
        <v>2914</v>
      </c>
      <c r="J1308">
        <f>VLOOKUP(F1308,[1]!china_towns_second__2[[Column1]:[Y]],3,FALSE)</f>
        <v>37.622630977845397</v>
      </c>
      <c r="K1308">
        <f>VLOOKUP(F1308,[1]!china_towns_second__2[[Column1]:[Y]],2,FALSE)</f>
        <v>113.9504342</v>
      </c>
      <c r="L1308" t="s">
        <v>4879</v>
      </c>
      <c r="M1308" t="str">
        <f>VLOOKUP(H1308,CHOOSE({1,2},Table12[Native],Table12[Name]),2,0)</f>
        <v>Xīyáng Xiàn</v>
      </c>
      <c r="N1308" s="13" t="str">
        <f>VLOOKUP(I1308,CHOOSE({1,2},Table12[Native],Table12[Name]),2,0)</f>
        <v>Jìnzhōng Shì</v>
      </c>
      <c r="O1308" s="13" t="str">
        <f t="shared" si="40"/>
        <v>Yetou Zhen (Jìnzhōng Shì)</v>
      </c>
      <c r="P1308" s="13" t="str">
        <f t="shared" si="41"/>
        <v>Yetou Zhen (Jìnzhōng Shì)</v>
      </c>
    </row>
    <row r="1309" spans="1:16" hidden="1" x14ac:dyDescent="0.25">
      <c r="A1309" t="s">
        <v>2570</v>
      </c>
      <c r="B1309" t="str">
        <f>IF(COUNTIF(A:A,A1309)&gt;1,_xlfn.CONCAT(A1309," (",N1309,")"),A1309)</f>
        <v>Yĕxī Zhèn</v>
      </c>
      <c r="C1309" t="str">
        <f>IF(COUNTIF(B:B,B1309)&gt;1,_xlfn.CONCAT(A1309," (",M1309,")"),B1309)</f>
        <v>Yĕxī Zhèn</v>
      </c>
      <c r="D1309" t="s">
        <v>2571</v>
      </c>
      <c r="E1309" t="s">
        <v>7</v>
      </c>
      <c r="F1309" t="str">
        <f>_xlfn.CONCAT(D1309,", ",H1309,", ",I1309,", ","山西省")</f>
        <v>冶西镇, 平定县, 阳泉市, 山西省</v>
      </c>
      <c r="G1309">
        <v>14165</v>
      </c>
      <c r="H1309" t="s">
        <v>3000</v>
      </c>
      <c r="I1309" t="s">
        <v>2997</v>
      </c>
      <c r="J1309">
        <f>VLOOKUP(F1309,[1]!china_towns_second__2[[Column1]:[Y]],3,FALSE)</f>
        <v>37.762338495380398</v>
      </c>
      <c r="K1309">
        <f>VLOOKUP(F1309,[1]!china_towns_second__2[[Column1]:[Y]],2,FALSE)</f>
        <v>113.51055100000001</v>
      </c>
      <c r="L1309" t="s">
        <v>4880</v>
      </c>
      <c r="M1309" t="str">
        <f>VLOOKUP(H1309,CHOOSE({1,2},Table12[Native],Table12[Name]),2,0)</f>
        <v>Píngdìng Xiàn</v>
      </c>
      <c r="N1309" s="13" t="str">
        <f>VLOOKUP(I1309,CHOOSE({1,2},Table12[Native],Table12[Name]),2,0)</f>
        <v>Yángquán Shì</v>
      </c>
      <c r="O1309" s="13" t="str">
        <f t="shared" si="40"/>
        <v>Yexi Zhen (Yángquán Shì)</v>
      </c>
      <c r="P1309" s="13" t="str">
        <f t="shared" si="41"/>
        <v>Yexi Zhen (Yángquán Shì)</v>
      </c>
    </row>
    <row r="1310" spans="1:16" hidden="1" x14ac:dyDescent="0.25">
      <c r="A1310" t="s">
        <v>1032</v>
      </c>
      <c r="B1310" t="str">
        <f>IF(COUNTIF(A:A,A1310)&gt;1,_xlfn.CONCAT(A1310," (",N1310,")"),A1310)</f>
        <v>Yì'ān Zhèn</v>
      </c>
      <c r="C1310" t="str">
        <f>IF(COUNTIF(B:B,B1310)&gt;1,_xlfn.CONCAT(A1310," (",M1310,")"),B1310)</f>
        <v>Yì'ān Zhèn</v>
      </c>
      <c r="D1310" t="s">
        <v>1033</v>
      </c>
      <c r="E1310" t="s">
        <v>7</v>
      </c>
      <c r="F1310" t="str">
        <f>_xlfn.CONCAT(D1310,", ",H1310,", ",I1310,", ","山西省")</f>
        <v>义安镇, 介休市, 晋中市, 山西省</v>
      </c>
      <c r="G1310">
        <v>54246</v>
      </c>
      <c r="H1310" t="s">
        <v>2916</v>
      </c>
      <c r="I1310" t="s">
        <v>2914</v>
      </c>
      <c r="J1310">
        <f>VLOOKUP(F1310,[1]!china_towns_second__2[[Column1]:[Y]],3,FALSE)</f>
        <v>37.123627317276103</v>
      </c>
      <c r="K1310">
        <f>VLOOKUP(F1310,[1]!china_towns_second__2[[Column1]:[Y]],2,FALSE)</f>
        <v>111.9799699</v>
      </c>
      <c r="L1310" t="s">
        <v>4881</v>
      </c>
      <c r="M1310" t="str">
        <f>VLOOKUP(H1310,CHOOSE({1,2},Table12[Native],Table12[Name]),2,0)</f>
        <v>Jièxiū Shì</v>
      </c>
      <c r="N1310" s="13" t="str">
        <f>VLOOKUP(I1310,CHOOSE({1,2},Table12[Native],Table12[Name]),2,0)</f>
        <v>Jìnzhōng Shì</v>
      </c>
      <c r="O1310" s="13" t="str">
        <f t="shared" si="40"/>
        <v>Yi'an Zhen (Jìnzhōng Shì)</v>
      </c>
      <c r="P1310" s="13" t="str">
        <f t="shared" si="41"/>
        <v>Yi'an Zhen (Jìnzhōng Shì)</v>
      </c>
    </row>
    <row r="1311" spans="1:16" hidden="1" x14ac:dyDescent="0.25">
      <c r="A1311" t="s">
        <v>1706</v>
      </c>
      <c r="B1311" t="str">
        <f>IF(COUNTIF(A:A,A1311)&gt;1,_xlfn.CONCAT(A1311," (",N1311,")"),A1311)</f>
        <v>Yìdié Zhèn</v>
      </c>
      <c r="C1311" t="str">
        <f>IF(COUNTIF(B:B,B1311)&gt;1,_xlfn.CONCAT(A1311," (",M1311,")"),B1311)</f>
        <v>Yìdié Zhèn</v>
      </c>
      <c r="D1311" t="s">
        <v>1707</v>
      </c>
      <c r="E1311" t="s">
        <v>7</v>
      </c>
      <c r="F1311" t="str">
        <f>_xlfn.CONCAT(D1311,", ",H1311,", ",I1311,", ","山西省")</f>
        <v>义牒镇, 石楼县, 吕梁市, 山西省</v>
      </c>
      <c r="G1311">
        <v>6759</v>
      </c>
      <c r="H1311" t="s">
        <v>2955</v>
      </c>
      <c r="I1311" t="s">
        <v>2946</v>
      </c>
      <c r="J1311">
        <f>VLOOKUP(F1311,[1]!china_towns_second__2[[Column1]:[Y]],3,FALSE)</f>
        <v>37.001841099935902</v>
      </c>
      <c r="K1311">
        <f>VLOOKUP(F1311,[1]!china_towns_second__2[[Column1]:[Y]],2,FALSE)</f>
        <v>110.63867430000001</v>
      </c>
      <c r="L1311" t="s">
        <v>4882</v>
      </c>
      <c r="M1311" t="str">
        <f>VLOOKUP(H1311,CHOOSE({1,2},Table12[Native],Table12[Name]),2,0)</f>
        <v>Shílóu Xiàn</v>
      </c>
      <c r="N1311" s="13" t="str">
        <f>VLOOKUP(I1311,CHOOSE({1,2},Table12[Native],Table12[Name]),2,0)</f>
        <v>Lǚliáng Shì</v>
      </c>
      <c r="O1311" s="13" t="str">
        <f t="shared" si="40"/>
        <v>Yidie Zhen (Lǚliáng Shì)</v>
      </c>
      <c r="P1311" s="13" t="str">
        <f t="shared" si="41"/>
        <v>Yidie Zhen (Lǚliáng Shì)</v>
      </c>
    </row>
    <row r="1312" spans="1:16" hidden="1" x14ac:dyDescent="0.25">
      <c r="A1312" t="s">
        <v>585</v>
      </c>
      <c r="B1312" t="str">
        <f>IF(COUNTIF(A:A,A1312)&gt;1,_xlfn.CONCAT(A1312," (",N1312,")"),A1312)</f>
        <v>Yīdòuquán Xiāng [Dòuquán Xiāng]</v>
      </c>
      <c r="C1312" t="str">
        <f>IF(COUNTIF(B:B,B1312)&gt;1,_xlfn.CONCAT(A1312," (",M1312,")"),B1312)</f>
        <v>Yīdòuquán Xiāng [Dòuquán Xiāng]</v>
      </c>
      <c r="D1312" t="s">
        <v>586</v>
      </c>
      <c r="E1312" t="s">
        <v>17</v>
      </c>
      <c r="F1312" t="str">
        <f>_xlfn.CONCAT(D1312,", ",H1312,", ",I1312,", ","山西省")</f>
        <v>一斗泉乡, 广灵县, 大同市, 山西省</v>
      </c>
      <c r="G1312">
        <v>10549</v>
      </c>
      <c r="H1312" t="s">
        <v>2895</v>
      </c>
      <c r="I1312" t="s">
        <v>2894</v>
      </c>
      <c r="J1312" t="e">
        <f>VLOOKUP(F1312,[1]!china_towns_second__2[[Column1]:[Y]],3,FALSE)</f>
        <v>#N/A</v>
      </c>
      <c r="K1312" t="e">
        <f>VLOOKUP(F1312,[1]!china_towns_second__2[[Column1]:[Y]],2,FALSE)</f>
        <v>#N/A</v>
      </c>
      <c r="L1312" t="s">
        <v>4883</v>
      </c>
      <c r="M1312" t="str">
        <f>VLOOKUP(H1312,CHOOSE({1,2},Table12[Native],Table12[Name]),2,0)</f>
        <v>Guănglíng Xiàn</v>
      </c>
      <c r="N1312" s="13" t="str">
        <f>VLOOKUP(I1312,CHOOSE({1,2},Table12[Native],Table12[Name]),2,0)</f>
        <v>Dàtóng Shì</v>
      </c>
      <c r="O1312" s="13" t="str">
        <f t="shared" si="40"/>
        <v>Yidouquan Xiang [Douquan Xiang] (Dàtóng Shì)</v>
      </c>
      <c r="P1312" s="13" t="str">
        <f t="shared" si="41"/>
        <v>Yidouquan Xiang [Douquan Xiang] (Dàtóng Shì)</v>
      </c>
    </row>
    <row r="1313" spans="1:16" hidden="1" x14ac:dyDescent="0.25">
      <c r="A1313" t="s">
        <v>2086</v>
      </c>
      <c r="B1313" t="str">
        <f>IF(COUNTIF(A:A,A1313)&gt;1,_xlfn.CONCAT(A1313," (",N1313,")"),A1313)</f>
        <v>Yìjĭng Jiēdào (Tàiyuán Shì)</v>
      </c>
      <c r="C1313" t="str">
        <f>IF(COUNTIF(B:B,B1313)&gt;1,_xlfn.CONCAT(A1313," (",M1313,")"),B1313)</f>
        <v>Yìjĭng Jiēdào (Tàiyuán Shì)</v>
      </c>
      <c r="D1313" t="s">
        <v>2087</v>
      </c>
      <c r="E1313" t="s">
        <v>31</v>
      </c>
      <c r="F1313" t="str">
        <f>_xlfn.CONCAT(D1313,", ",H1313,", ",I1313,", ","山西省")</f>
        <v>义井街道, 晋源区, 太原市, 山西省</v>
      </c>
      <c r="G1313">
        <v>53575</v>
      </c>
      <c r="H1313" t="s">
        <v>2972</v>
      </c>
      <c r="I1313" t="s">
        <v>2969</v>
      </c>
      <c r="J1313">
        <f>VLOOKUP(F1313,[1]!china_towns_second__2[[Column1]:[Y]],3,FALSE)</f>
        <v>37.802179762926201</v>
      </c>
      <c r="K1313">
        <f>VLOOKUP(F1313,[1]!china_towns_second__2[[Column1]:[Y]],2,FALSE)</f>
        <v>112.5051046</v>
      </c>
      <c r="L1313" t="s">
        <v>4884</v>
      </c>
      <c r="M1313" t="str">
        <f>VLOOKUP(H1313,CHOOSE({1,2},Table12[Native],Table12[Name]),2,0)</f>
        <v>Jìnyuán Qū</v>
      </c>
      <c r="N1313" s="13" t="str">
        <f>VLOOKUP(I1313,CHOOSE({1,2},Table12[Native],Table12[Name]),2,0)</f>
        <v>Tàiyuán Shì</v>
      </c>
      <c r="O1313" s="13" t="str">
        <f t="shared" si="40"/>
        <v>Yijing Jiedao (Taiyuan Shi) (Tàiyuán Shì)</v>
      </c>
      <c r="P1313" s="13" t="str">
        <f t="shared" si="41"/>
        <v>Yijing Jiedao (Taiyuan Shi) (Tàiyuán Shì)</v>
      </c>
    </row>
    <row r="1314" spans="1:16" hidden="1" x14ac:dyDescent="0.25">
      <c r="A1314" t="s">
        <v>2086</v>
      </c>
      <c r="B1314" t="str">
        <f>IF(COUNTIF(A:A,A1314)&gt;1,_xlfn.CONCAT(A1314," (",N1314,")"),A1314)</f>
        <v>Yìjĭng Jiēdào (Jìnchéng Shì)</v>
      </c>
      <c r="C1314" t="str">
        <f>IF(COUNTIF(B:B,B1314)&gt;1,_xlfn.CONCAT(A1314," (",M1314,")"),B1314)</f>
        <v>Yìjĭng Jiēdào (Jìnchéng Shì)</v>
      </c>
      <c r="D1314" t="s">
        <v>2087</v>
      </c>
      <c r="E1314" t="s">
        <v>31</v>
      </c>
      <c r="F1314" t="str">
        <f>_xlfn.CONCAT(D1314,", ",H1314,", ",I1314,", ","山西省")</f>
        <v>义井街道, 城区, 晋城市, 山西省</v>
      </c>
      <c r="G1314">
        <v>10391</v>
      </c>
      <c r="H1314" t="s">
        <v>814</v>
      </c>
      <c r="I1314" t="s">
        <v>2906</v>
      </c>
      <c r="J1314" t="e">
        <f>VLOOKUP(F1314,[1]!china_towns_second__2[[Column1]:[Y]],3,FALSE)</f>
        <v>#N/A</v>
      </c>
      <c r="K1314" t="e">
        <f>VLOOKUP(F1314,[1]!china_towns_second__2[[Column1]:[Y]],2,FALSE)</f>
        <v>#N/A</v>
      </c>
      <c r="L1314" t="s">
        <v>4885</v>
      </c>
      <c r="M1314" t="str">
        <f>VLOOKUP(H1314,CHOOSE({1,2},Table12[Native],Table12[Name]),2,0)</f>
        <v>Chéng Qū</v>
      </c>
      <c r="N1314" s="13" t="str">
        <f>VLOOKUP(I1314,CHOOSE({1,2},Table12[Native],Table12[Name]),2,0)</f>
        <v>Jìnchéng Shì</v>
      </c>
      <c r="O1314" s="13" t="str">
        <f t="shared" si="40"/>
        <v>Yijing Jiedao (Jincheng Shi) (Jìnchéng Shì)</v>
      </c>
      <c r="P1314" s="13" t="str">
        <f t="shared" si="41"/>
        <v>Yijing Jiedao (Jincheng Shi) (Jìnchéng Shì)</v>
      </c>
    </row>
    <row r="1315" spans="1:16" hidden="1" x14ac:dyDescent="0.25">
      <c r="A1315" t="s">
        <v>1858</v>
      </c>
      <c r="B1315" t="str">
        <f>IF(COUNTIF(A:A,A1315)&gt;1,_xlfn.CONCAT(A1315," (",N1315,")"),A1315)</f>
        <v>Yìjĭng Xiāng</v>
      </c>
      <c r="C1315" t="str">
        <f>IF(COUNTIF(B:B,B1315)&gt;1,_xlfn.CONCAT(A1315," (",M1315,")"),B1315)</f>
        <v>Yìjĭng Xiāng</v>
      </c>
      <c r="D1315" t="s">
        <v>1859</v>
      </c>
      <c r="E1315" t="s">
        <v>17</v>
      </c>
      <c r="F1315" t="str">
        <f>_xlfn.CONCAT(D1315,", ",H1315,", ",I1315,", ","山西省")</f>
        <v>义井乡, 应县, 朔州市, 山西省</v>
      </c>
      <c r="G1315">
        <v>19905</v>
      </c>
      <c r="H1315" t="s">
        <v>2966</v>
      </c>
      <c r="I1315" t="s">
        <v>2961</v>
      </c>
      <c r="J1315" t="e">
        <f>VLOOKUP(F1315,[1]!china_towns_second__2[[Column1]:[Y]],3,FALSE)</f>
        <v>#N/A</v>
      </c>
      <c r="K1315" t="e">
        <f>VLOOKUP(F1315,[1]!china_towns_second__2[[Column1]:[Y]],2,FALSE)</f>
        <v>#N/A</v>
      </c>
      <c r="L1315" t="s">
        <v>4886</v>
      </c>
      <c r="M1315" t="str">
        <f>VLOOKUP(H1315,CHOOSE({1,2},Table12[Native],Table12[Name]),2,0)</f>
        <v>Yīng Xiàn</v>
      </c>
      <c r="N1315" s="13" t="str">
        <f>VLOOKUP(I1315,CHOOSE({1,2},Table12[Native],Table12[Name]),2,0)</f>
        <v>Shuòzhōu Shì</v>
      </c>
      <c r="O1315" s="13" t="str">
        <f t="shared" si="40"/>
        <v>Yijing Xiang (Shuòzhōu Shì)</v>
      </c>
      <c r="P1315" s="13" t="str">
        <f t="shared" si="41"/>
        <v>Yijing Xiang (Shuòzhōu Shì)</v>
      </c>
    </row>
    <row r="1316" spans="1:16" hidden="1" x14ac:dyDescent="0.25">
      <c r="A1316" t="s">
        <v>2466</v>
      </c>
      <c r="B1316" t="str">
        <f>IF(COUNTIF(A:A,A1316)&gt;1,_xlfn.CONCAT(A1316," (",N1316,")"),A1316)</f>
        <v>Yìjĭng Zhèn (Xīnzhōu Shì)</v>
      </c>
      <c r="C1316" t="str">
        <f>IF(COUNTIF(B:B,B1316)&gt;1,_xlfn.CONCAT(A1316," (",M1316,")"),B1316)</f>
        <v>Yìjĭng Zhèn (Xīnzhōu Shì)</v>
      </c>
      <c r="D1316" t="s">
        <v>2467</v>
      </c>
      <c r="E1316" t="s">
        <v>7</v>
      </c>
      <c r="F1316" t="str">
        <f>_xlfn.CONCAT(D1316,", ",H1316,", ",I1316,", ","山西省")</f>
        <v>义井镇, 神池县, 忻州市, 山西省</v>
      </c>
      <c r="G1316">
        <v>11723</v>
      </c>
      <c r="H1316" t="s">
        <v>2991</v>
      </c>
      <c r="I1316" t="s">
        <v>2981</v>
      </c>
      <c r="J1316">
        <f>VLOOKUP(F1316,[1]!china_towns_second__2[[Column1]:[Y]],3,FALSE)</f>
        <v>39.073914334141499</v>
      </c>
      <c r="K1316">
        <f>VLOOKUP(F1316,[1]!china_towns_second__2[[Column1]:[Y]],2,FALSE)</f>
        <v>112.00451839999999</v>
      </c>
      <c r="L1316" t="s">
        <v>4887</v>
      </c>
      <c r="M1316" t="str">
        <f>VLOOKUP(H1316,CHOOSE({1,2},Table12[Native],Table12[Name]),2,0)</f>
        <v>Shénchí Xiàn</v>
      </c>
      <c r="N1316" s="13" t="str">
        <f>VLOOKUP(I1316,CHOOSE({1,2},Table12[Native],Table12[Name]),2,0)</f>
        <v>Xīnzhōu Shì</v>
      </c>
      <c r="O1316" s="13" t="str">
        <f t="shared" si="40"/>
        <v>Yijing Zhen (Xinzhou Shi) (Xīnzhōu Shì)</v>
      </c>
      <c r="P1316" s="13" t="str">
        <f t="shared" si="41"/>
        <v>Yijing Zhen (Xinzhou Shi) (Xīnzhōu Shì)</v>
      </c>
    </row>
    <row r="1317" spans="1:16" hidden="1" x14ac:dyDescent="0.25">
      <c r="A1317" t="s">
        <v>2466</v>
      </c>
      <c r="B1317" t="str">
        <f>IF(COUNTIF(A:A,A1317)&gt;1,_xlfn.CONCAT(A1317," (",N1317,")"),A1317)</f>
        <v>Yìjĭng Zhèn (Jìnchéng Shì)</v>
      </c>
      <c r="C1317" t="str">
        <f>IF(COUNTIF(B:B,B1317)&gt;1,_xlfn.CONCAT(A1317," (",M1317,")"),B1317)</f>
        <v>Yìjĭng Zhèn (Jìnchéng Shì)</v>
      </c>
      <c r="D1317" t="s">
        <v>2467</v>
      </c>
      <c r="E1317" t="s">
        <v>7</v>
      </c>
      <c r="F1317" t="str">
        <f>_xlfn.CONCAT(D1317,", ",H1317,", ",I1317,", ","山西省")</f>
        <v>义井镇, 城区, 晋城市, 山西省</v>
      </c>
      <c r="G1317">
        <v>42211</v>
      </c>
      <c r="H1317" t="s">
        <v>814</v>
      </c>
      <c r="I1317" t="s">
        <v>2906</v>
      </c>
      <c r="J1317">
        <f>VLOOKUP(F1317,[1]!china_towns_second__2[[Column1]:[Y]],3,FALSE)</f>
        <v>37.838700000000003</v>
      </c>
      <c r="K1317">
        <f>VLOOKUP(F1317,[1]!china_towns_second__2[[Column1]:[Y]],2,FALSE)</f>
        <v>113.60299999999999</v>
      </c>
      <c r="L1317" t="s">
        <v>4888</v>
      </c>
      <c r="M1317" t="str">
        <f>VLOOKUP(H1317,CHOOSE({1,2},Table12[Native],Table12[Name]),2,0)</f>
        <v>Chéng Qū</v>
      </c>
      <c r="N1317" s="13" t="str">
        <f>VLOOKUP(I1317,CHOOSE({1,2},Table12[Native],Table12[Name]),2,0)</f>
        <v>Jìnchéng Shì</v>
      </c>
      <c r="O1317" s="13" t="str">
        <f t="shared" si="40"/>
        <v>Yijing Zhen (Jincheng Shi) (Jìnchéng Shì)</v>
      </c>
      <c r="P1317" s="13" t="str">
        <f t="shared" si="41"/>
        <v>Yijing Zhen (Jincheng Shi) (Jìnchéng Shì)</v>
      </c>
    </row>
    <row r="1318" spans="1:16" hidden="1" x14ac:dyDescent="0.25">
      <c r="A1318" t="s">
        <v>1708</v>
      </c>
      <c r="B1318" t="str">
        <f>IF(COUNTIF(A:A,A1318)&gt;1,_xlfn.CONCAT(A1318," (",N1318,")"),A1318)</f>
        <v>Yìmă Xiāng</v>
      </c>
      <c r="C1318" t="str">
        <f>IF(COUNTIF(B:B,B1318)&gt;1,_xlfn.CONCAT(A1318," (",M1318,")"),B1318)</f>
        <v>Yìmă Xiāng</v>
      </c>
      <c r="D1318" t="s">
        <v>1709</v>
      </c>
      <c r="E1318" t="s">
        <v>17</v>
      </c>
      <c r="F1318" t="str">
        <f>_xlfn.CONCAT(D1318,", ",H1318,", ",I1318,", ","山西省")</f>
        <v>驿马乡, 孝义市, 吕梁市, 山西省</v>
      </c>
      <c r="G1318">
        <v>7793</v>
      </c>
      <c r="H1318" t="s">
        <v>2957</v>
      </c>
      <c r="I1318" t="s">
        <v>2946</v>
      </c>
      <c r="J1318" t="e">
        <f>VLOOKUP(F1318,[1]!china_towns_second__2[[Column1]:[Y]],3,FALSE)</f>
        <v>#N/A</v>
      </c>
      <c r="K1318" t="e">
        <f>VLOOKUP(F1318,[1]!china_towns_second__2[[Column1]:[Y]],2,FALSE)</f>
        <v>#N/A</v>
      </c>
      <c r="L1318" t="s">
        <v>4889</v>
      </c>
      <c r="M1318" t="str">
        <f>VLOOKUP(H1318,CHOOSE({1,2},Table12[Native],Table12[Name]),2,0)</f>
        <v>Xiàoyì Shì</v>
      </c>
      <c r="N1318" s="13" t="str">
        <f>VLOOKUP(I1318,CHOOSE({1,2},Table12[Native],Table12[Name]),2,0)</f>
        <v>Lǚliáng Shì</v>
      </c>
      <c r="O1318" s="13" t="str">
        <f t="shared" si="40"/>
        <v>Yima Xiang (Lǚliáng Shì)</v>
      </c>
      <c r="P1318" s="13" t="str">
        <f t="shared" si="41"/>
        <v>Yima Xiang (Lǚliáng Shì)</v>
      </c>
    </row>
    <row r="1319" spans="1:16" hidden="1" x14ac:dyDescent="0.25">
      <c r="A1319" t="s">
        <v>2468</v>
      </c>
      <c r="B1319" t="str">
        <f>IF(COUNTIF(A:A,A1319)&gt;1,_xlfn.CONCAT(A1319," (",N1319,")"),A1319)</f>
        <v>Yìmén Zhèn</v>
      </c>
      <c r="C1319" t="str">
        <f>IF(COUNTIF(B:B,B1319)&gt;1,_xlfn.CONCAT(A1319," (",M1319,")"),B1319)</f>
        <v>Yìmén Zhèn</v>
      </c>
      <c r="D1319" t="s">
        <v>2469</v>
      </c>
      <c r="E1319" t="s">
        <v>7</v>
      </c>
      <c r="F1319" t="str">
        <f>_xlfn.CONCAT(D1319,", ",H1319,", ",I1319,", ","山西省")</f>
        <v>义门镇, 保德县, 忻州市, 山西省</v>
      </c>
      <c r="G1319">
        <v>15111</v>
      </c>
      <c r="H1319" t="s">
        <v>2982</v>
      </c>
      <c r="I1319" t="s">
        <v>2981</v>
      </c>
      <c r="J1319">
        <f>VLOOKUP(F1319,[1]!china_towns_second__2[[Column1]:[Y]],3,FALSE)</f>
        <v>39.048132646812903</v>
      </c>
      <c r="K1319">
        <f>VLOOKUP(F1319,[1]!china_towns_second__2[[Column1]:[Y]],2,FALSE)</f>
        <v>111.2006935</v>
      </c>
      <c r="L1319" t="s">
        <v>4890</v>
      </c>
      <c r="M1319" t="str">
        <f>VLOOKUP(H1319,CHOOSE({1,2},Table12[Native],Table12[Name]),2,0)</f>
        <v>Băodé Xiàn</v>
      </c>
      <c r="N1319" s="13" t="str">
        <f>VLOOKUP(I1319,CHOOSE({1,2},Table12[Native],Table12[Name]),2,0)</f>
        <v>Xīnzhōu Shì</v>
      </c>
      <c r="O1319" s="13" t="str">
        <f t="shared" si="40"/>
        <v>Yimen Zhen (Xīnzhōu Shì)</v>
      </c>
      <c r="P1319" s="13" t="str">
        <f t="shared" si="41"/>
        <v>Yimen Zhen (Xīnzhōu Shì)</v>
      </c>
    </row>
    <row r="1320" spans="1:16" hidden="1" x14ac:dyDescent="0.25">
      <c r="A1320" t="s">
        <v>297</v>
      </c>
      <c r="B1320" t="str">
        <f>IF(COUNTIF(A:A,A1320)&gt;1,_xlfn.CONCAT(A1320," (",N1320,")"),A1320)</f>
        <v>Yìnchéng Zhèn</v>
      </c>
      <c r="C1320" t="str">
        <f>IF(COUNTIF(B:B,B1320)&gt;1,_xlfn.CONCAT(A1320," (",M1320,")"),B1320)</f>
        <v>Yìnchéng Zhèn</v>
      </c>
      <c r="D1320" t="s">
        <v>298</v>
      </c>
      <c r="E1320" t="s">
        <v>7</v>
      </c>
      <c r="F1320" t="str">
        <f>_xlfn.CONCAT(D1320,", ",H1320,", ",I1320,", ","山西省")</f>
        <v>荫城镇, 上党区, 长治市, 山西省</v>
      </c>
      <c r="G1320">
        <v>45437</v>
      </c>
      <c r="H1320" t="s">
        <v>2889</v>
      </c>
      <c r="I1320" t="s">
        <v>2878</v>
      </c>
      <c r="J1320">
        <f>VLOOKUP(F1320,[1]!china_towns_second__2[[Column1]:[Y]],3,FALSE)</f>
        <v>35.972307436892997</v>
      </c>
      <c r="K1320">
        <f>VLOOKUP(F1320,[1]!china_towns_second__2[[Column1]:[Y]],2,FALSE)</f>
        <v>113.1105512</v>
      </c>
      <c r="L1320" t="s">
        <v>4891</v>
      </c>
      <c r="M1320" t="str">
        <f>VLOOKUP(H1320,CHOOSE({1,2},Table12[Native],Table12[Name]),2,0)</f>
        <v>Shàngdăng Qū</v>
      </c>
      <c r="N1320" s="13" t="str">
        <f>VLOOKUP(I1320,CHOOSE({1,2},Table12[Native],Table12[Name]),2,0)</f>
        <v>Chángzhì Shì</v>
      </c>
      <c r="O1320" s="13" t="str">
        <f t="shared" si="40"/>
        <v>Yincheng Zhen (Chángzhì Shì)</v>
      </c>
      <c r="P1320" s="13" t="str">
        <f t="shared" si="41"/>
        <v>Yincheng Zhen (Chángzhì Shì)</v>
      </c>
    </row>
    <row r="1321" spans="1:16" hidden="1" x14ac:dyDescent="0.25">
      <c r="A1321" t="s">
        <v>2088</v>
      </c>
      <c r="B1321" t="str">
        <f>IF(COUNTIF(A:A,A1321)&gt;1,_xlfn.CONCAT(A1321," (",N1321,")"),A1321)</f>
        <v>Yíngpán Jiēdào</v>
      </c>
      <c r="C1321" t="str">
        <f>IF(COUNTIF(B:B,B1321)&gt;1,_xlfn.CONCAT(A1321," (",M1321,")"),B1321)</f>
        <v>Yíngpán Jiēdào</v>
      </c>
      <c r="D1321" t="s">
        <v>2089</v>
      </c>
      <c r="E1321" t="s">
        <v>31</v>
      </c>
      <c r="F1321" t="str">
        <f>_xlfn.CONCAT(D1321,", ",H1321,", ",I1321,", ","山西省")</f>
        <v>营盘街道, 小店区, 太原市, 山西省</v>
      </c>
      <c r="G1321">
        <v>136644</v>
      </c>
      <c r="H1321" t="s">
        <v>2976</v>
      </c>
      <c r="I1321" t="s">
        <v>2969</v>
      </c>
      <c r="J1321">
        <f>VLOOKUP(F1321,[1]!china_towns_second__2[[Column1]:[Y]],3,FALSE)</f>
        <v>37.830585963252801</v>
      </c>
      <c r="K1321">
        <f>VLOOKUP(F1321,[1]!china_towns_second__2[[Column1]:[Y]],2,FALSE)</f>
        <v>112.5677056</v>
      </c>
      <c r="L1321" t="s">
        <v>4892</v>
      </c>
      <c r="M1321" t="str">
        <f>VLOOKUP(H1321,CHOOSE({1,2},Table12[Native],Table12[Name]),2,0)</f>
        <v>Xiăodiàn Qū</v>
      </c>
      <c r="N1321" s="13" t="str">
        <f>VLOOKUP(I1321,CHOOSE({1,2},Table12[Native],Table12[Name]),2,0)</f>
        <v>Tàiyuán Shì</v>
      </c>
      <c r="O1321" s="13" t="str">
        <f t="shared" si="40"/>
        <v>Yingpan Jiedao (Tàiyuán Shì)</v>
      </c>
      <c r="P1321" s="13" t="str">
        <f t="shared" si="41"/>
        <v>Yingpan Jiedao (Tàiyuán Shì)</v>
      </c>
    </row>
    <row r="1322" spans="1:16" hidden="1" x14ac:dyDescent="0.25">
      <c r="A1322" t="s">
        <v>1034</v>
      </c>
      <c r="B1322" t="str">
        <f>IF(COUNTIF(A:A,A1322)&gt;1,_xlfn.CONCAT(A1322," (",N1322,")"),A1322)</f>
        <v>Yīngwŭ Xiāng</v>
      </c>
      <c r="C1322" t="str">
        <f>IF(COUNTIF(B:B,B1322)&gt;1,_xlfn.CONCAT(A1322," (",M1322,")"),B1322)</f>
        <v>Yīngwŭ Xiāng</v>
      </c>
      <c r="D1322" t="s">
        <v>1035</v>
      </c>
      <c r="E1322" t="s">
        <v>17</v>
      </c>
      <c r="F1322" t="str">
        <f>_xlfn.CONCAT(D1322,", ",H1322,", ",I1322,", ","山西省")</f>
        <v>英武乡, 灵石县, 晋中市, 山西省</v>
      </c>
      <c r="G1322">
        <v>7920</v>
      </c>
      <c r="H1322" t="s">
        <v>2917</v>
      </c>
      <c r="I1322" t="s">
        <v>2914</v>
      </c>
      <c r="J1322" t="e">
        <f>VLOOKUP(F1322,[1]!china_towns_second__2[[Column1]:[Y]],3,FALSE)</f>
        <v>#N/A</v>
      </c>
      <c r="K1322" t="e">
        <f>VLOOKUP(F1322,[1]!china_towns_second__2[[Column1]:[Y]],2,FALSE)</f>
        <v>#N/A</v>
      </c>
      <c r="L1322" t="s">
        <v>4893</v>
      </c>
      <c r="M1322" t="str">
        <f>VLOOKUP(H1322,CHOOSE({1,2},Table12[Native],Table12[Name]),2,0)</f>
        <v>Língshí Xiàn</v>
      </c>
      <c r="N1322" s="13" t="str">
        <f>VLOOKUP(I1322,CHOOSE({1,2},Table12[Native],Table12[Name]),2,0)</f>
        <v>Jìnzhōng Shì</v>
      </c>
      <c r="O1322" s="13" t="str">
        <f t="shared" si="40"/>
        <v>Yingwu Xiang (Jìnzhōng Shì)</v>
      </c>
      <c r="P1322" s="13" t="str">
        <f t="shared" si="41"/>
        <v>Yingwu Xiang (Jìnzhōng Shì)</v>
      </c>
    </row>
    <row r="1323" spans="1:16" hidden="1" x14ac:dyDescent="0.25">
      <c r="A1323" t="s">
        <v>2090</v>
      </c>
      <c r="B1323" t="str">
        <f>IF(COUNTIF(A:A,A1323)&gt;1,_xlfn.CONCAT(A1323," (",N1323,")"),A1323)</f>
        <v>Yíngxīn Jiēdào</v>
      </c>
      <c r="C1323" t="str">
        <f>IF(COUNTIF(B:B,B1323)&gt;1,_xlfn.CONCAT(A1323," (",M1323,")"),B1323)</f>
        <v>Yíngxīn Jiēdào</v>
      </c>
      <c r="D1323" t="s">
        <v>2091</v>
      </c>
      <c r="E1323" t="s">
        <v>31</v>
      </c>
      <c r="F1323" t="str">
        <f>_xlfn.CONCAT(D1323,", ",H1323,", ",I1323,", ","山西省")</f>
        <v>迎新街道, 尖草坪区, 太原市, 山西省</v>
      </c>
      <c r="G1323">
        <v>24838</v>
      </c>
      <c r="H1323" t="s">
        <v>2971</v>
      </c>
      <c r="I1323" t="s">
        <v>2969</v>
      </c>
      <c r="J1323">
        <f>VLOOKUP(F1323,[1]!china_towns_second__2[[Column1]:[Y]],3,FALSE)</f>
        <v>37.955714105212202</v>
      </c>
      <c r="K1323">
        <f>VLOOKUP(F1323,[1]!china_towns_second__2[[Column1]:[Y]],2,FALSE)</f>
        <v>112.5127844</v>
      </c>
      <c r="L1323" t="s">
        <v>4894</v>
      </c>
      <c r="M1323" t="str">
        <f>VLOOKUP(H1323,CHOOSE({1,2},Table12[Native],Table12[Name]),2,0)</f>
        <v>Jiāncăopíng Qū</v>
      </c>
      <c r="N1323" s="13" t="str">
        <f>VLOOKUP(I1323,CHOOSE({1,2},Table12[Native],Table12[Name]),2,0)</f>
        <v>Tàiyuán Shì</v>
      </c>
      <c r="O1323" s="13" t="str">
        <f t="shared" si="40"/>
        <v>Yingxin Jiedao (Tàiyuán Shì)</v>
      </c>
      <c r="P1323" s="13" t="str">
        <f t="shared" si="41"/>
        <v>Yingxin Jiedao (Tàiyuán Shì)</v>
      </c>
    </row>
    <row r="1324" spans="1:16" hidden="1" x14ac:dyDescent="0.25">
      <c r="A1324" t="s">
        <v>299</v>
      </c>
      <c r="B1324" t="str">
        <f>IF(COUNTIF(A:A,A1324)&gt;1,_xlfn.CONCAT(A1324," (",N1324,")"),A1324)</f>
        <v>Yīngxióng Nánlù Jiēdào</v>
      </c>
      <c r="C1324" t="str">
        <f>IF(COUNTIF(B:B,B1324)&gt;1,_xlfn.CONCAT(A1324," (",M1324,")"),B1324)</f>
        <v>Yīngxióng Nánlù Jiēdào</v>
      </c>
      <c r="D1324" t="s">
        <v>300</v>
      </c>
      <c r="E1324" t="s">
        <v>31</v>
      </c>
      <c r="F1324" t="str">
        <f>_xlfn.CONCAT(D1324,", ",H1324,", ",I1324,", ","山西省")</f>
        <v>英雄南路街道, 潞州区, 长治市, 山西省</v>
      </c>
      <c r="G1324">
        <v>41655</v>
      </c>
      <c r="H1324" t="s">
        <v>2885</v>
      </c>
      <c r="I1324" t="s">
        <v>2878</v>
      </c>
      <c r="J1324" t="e">
        <f>VLOOKUP(F1324,[1]!china_towns_second__2[[Column1]:[Y]],3,FALSE)</f>
        <v>#N/A</v>
      </c>
      <c r="K1324" t="e">
        <f>VLOOKUP(F1324,[1]!china_towns_second__2[[Column1]:[Y]],2,FALSE)</f>
        <v>#N/A</v>
      </c>
      <c r="L1324" t="s">
        <v>4895</v>
      </c>
      <c r="M1324" t="str">
        <f>VLOOKUP(H1324,CHOOSE({1,2},Table12[Native],Table12[Name]),2,0)</f>
        <v>Lùzhōu Qū</v>
      </c>
      <c r="N1324" s="13" t="str">
        <f>VLOOKUP(I1324,CHOOSE({1,2},Table12[Native],Table12[Name]),2,0)</f>
        <v>Chángzhì Shì</v>
      </c>
      <c r="O1324" s="13" t="str">
        <f t="shared" si="40"/>
        <v>Yingxiong Nanlu Jiedao (Chángzhì Shì)</v>
      </c>
      <c r="P1324" s="13" t="str">
        <f t="shared" si="41"/>
        <v>Yingxiong Nanlu Jiedao (Chángzhì Shì)</v>
      </c>
    </row>
    <row r="1325" spans="1:16" hidden="1" x14ac:dyDescent="0.25">
      <c r="A1325" t="s">
        <v>301</v>
      </c>
      <c r="B1325" t="str">
        <f>IF(COUNTIF(A:A,A1325)&gt;1,_xlfn.CONCAT(A1325," (",N1325,")"),A1325)</f>
        <v>Yīngxióng Zhōnglù Jiēdào</v>
      </c>
      <c r="C1325" t="str">
        <f>IF(COUNTIF(B:B,B1325)&gt;1,_xlfn.CONCAT(A1325," (",M1325,")"),B1325)</f>
        <v>Yīngxióng Zhōnglù Jiēdào</v>
      </c>
      <c r="D1325" t="s">
        <v>302</v>
      </c>
      <c r="E1325" t="s">
        <v>31</v>
      </c>
      <c r="F1325" t="str">
        <f>_xlfn.CONCAT(D1325,", ",H1325,", ",I1325,", ","山西省")</f>
        <v>英雄中路街道, 潞州区, 长治市, 山西省</v>
      </c>
      <c r="G1325">
        <v>34656</v>
      </c>
      <c r="H1325" t="s">
        <v>2885</v>
      </c>
      <c r="I1325" t="s">
        <v>2878</v>
      </c>
      <c r="J1325" t="e">
        <f>VLOOKUP(F1325,[1]!china_towns_second__2[[Column1]:[Y]],3,FALSE)</f>
        <v>#N/A</v>
      </c>
      <c r="K1325" t="e">
        <f>VLOOKUP(F1325,[1]!china_towns_second__2[[Column1]:[Y]],2,FALSE)</f>
        <v>#N/A</v>
      </c>
      <c r="L1325" t="s">
        <v>4896</v>
      </c>
      <c r="M1325" t="str">
        <f>VLOOKUP(H1325,CHOOSE({1,2},Table12[Native],Table12[Name]),2,0)</f>
        <v>Lùzhōu Qū</v>
      </c>
      <c r="N1325" s="13" t="str">
        <f>VLOOKUP(I1325,CHOOSE({1,2},Table12[Native],Table12[Name]),2,0)</f>
        <v>Chángzhì Shì</v>
      </c>
      <c r="O1325" s="13" t="str">
        <f t="shared" si="40"/>
        <v>Yingxiong Zhonglu Jiedao (Chángzhì Shì)</v>
      </c>
      <c r="P1325" s="13" t="str">
        <f t="shared" si="41"/>
        <v>Yingxiong Zhonglu Jiedao (Chángzhì Shì)</v>
      </c>
    </row>
    <row r="1326" spans="1:16" hidden="1" x14ac:dyDescent="0.25">
      <c r="A1326" t="s">
        <v>2848</v>
      </c>
      <c r="B1326" t="str">
        <f>IF(COUNTIF(A:A,A1326)&gt;1,_xlfn.CONCAT(A1326," (",N1326,")"),A1326)</f>
        <v>Yīngyán Zhèn</v>
      </c>
      <c r="C1326" t="str">
        <f>IF(COUNTIF(B:B,B1326)&gt;1,_xlfn.CONCAT(A1326," (",M1326,")"),B1326)</f>
        <v>Yīngyán Zhèn</v>
      </c>
      <c r="D1326" t="s">
        <v>2849</v>
      </c>
      <c r="E1326" t="s">
        <v>7</v>
      </c>
      <c r="F1326" t="str">
        <f>_xlfn.CONCAT(D1326,", ",H1326,", ",I1326,", ","山西省")</f>
        <v>英言镇, 垣曲县, 运城市, 山西省</v>
      </c>
      <c r="G1326">
        <v>17664</v>
      </c>
      <c r="H1326" t="s">
        <v>3016</v>
      </c>
      <c r="I1326" t="s">
        <v>3003</v>
      </c>
      <c r="J1326">
        <f>VLOOKUP(F1326,[1]!china_towns_second__2[[Column1]:[Y]],3,FALSE)</f>
        <v>35.1740612254791</v>
      </c>
      <c r="K1326">
        <f>VLOOKUP(F1326,[1]!china_towns_second__2[[Column1]:[Y]],2,FALSE)</f>
        <v>111.96495729999999</v>
      </c>
      <c r="L1326" t="s">
        <v>4897</v>
      </c>
      <c r="M1326" t="str">
        <f>VLOOKUP(H1326,CHOOSE({1,2},Table12[Native],Table12[Name]),2,0)</f>
        <v>Yuánqŭ Xiàn</v>
      </c>
      <c r="N1326" s="13" t="str">
        <f>VLOOKUP(I1326,CHOOSE({1,2},Table12[Native],Table12[Name]),2,0)</f>
        <v>Yùnchéng Shì</v>
      </c>
      <c r="O1326" s="13" t="str">
        <f t="shared" si="40"/>
        <v>Yingyan Zhen (Yùnchéng Shì)</v>
      </c>
      <c r="P1326" s="13" t="str">
        <f t="shared" si="41"/>
        <v>Yingyan Zhen (Yùnchéng Shì)</v>
      </c>
    </row>
    <row r="1327" spans="1:16" hidden="1" x14ac:dyDescent="0.25">
      <c r="A1327" t="s">
        <v>2092</v>
      </c>
      <c r="B1327" t="str">
        <f>IF(COUNTIF(A:A,A1327)&gt;1,_xlfn.CONCAT(A1327," (",N1327,")"),A1327)</f>
        <v>Yíngzé Jiēdào</v>
      </c>
      <c r="C1327" t="str">
        <f>IF(COUNTIF(B:B,B1327)&gt;1,_xlfn.CONCAT(A1327," (",M1327,")"),B1327)</f>
        <v>Yíngzé Jiēdào</v>
      </c>
      <c r="D1327" t="s">
        <v>2093</v>
      </c>
      <c r="E1327" t="s">
        <v>31</v>
      </c>
      <c r="F1327" t="str">
        <f>_xlfn.CONCAT(D1327,", ",H1327,", ",I1327,", ","山西省")</f>
        <v>迎泽街道, 迎泽区, 太原市, 山西省</v>
      </c>
      <c r="G1327">
        <v>118954</v>
      </c>
      <c r="H1327" t="s">
        <v>2979</v>
      </c>
      <c r="I1327" t="s">
        <v>2969</v>
      </c>
      <c r="J1327">
        <f>VLOOKUP(F1327,[1]!china_towns_second__2[[Column1]:[Y]],3,FALSE)</f>
        <v>37.848890094913003</v>
      </c>
      <c r="K1327">
        <f>VLOOKUP(F1327,[1]!china_towns_second__2[[Column1]:[Y]],2,FALSE)</f>
        <v>112.5558525</v>
      </c>
      <c r="L1327" t="s">
        <v>4898</v>
      </c>
      <c r="M1327" t="str">
        <f>VLOOKUP(H1327,CHOOSE({1,2},Table12[Native],Table12[Name]),2,0)</f>
        <v>Yíngzé Qū</v>
      </c>
      <c r="N1327" s="13" t="str">
        <f>VLOOKUP(I1327,CHOOSE({1,2},Table12[Native],Table12[Name]),2,0)</f>
        <v>Tàiyuán Shì</v>
      </c>
      <c r="O1327" s="13" t="str">
        <f t="shared" si="40"/>
        <v>Yingze Jiedao (Tàiyuán Shì)</v>
      </c>
      <c r="P1327" s="13" t="str">
        <f t="shared" si="41"/>
        <v>Yingze Jiedao (Tàiyuán Shì)</v>
      </c>
    </row>
    <row r="1328" spans="1:16" hidden="1" x14ac:dyDescent="0.25">
      <c r="A1328" t="s">
        <v>1036</v>
      </c>
      <c r="B1328" t="str">
        <f>IF(COUNTIF(A:A,A1328)&gt;1,_xlfn.CONCAT(A1328," (",N1328,")"),A1328)</f>
        <v>Yĭnlíngzhī Zhèn</v>
      </c>
      <c r="C1328" t="str">
        <f>IF(COUNTIF(B:B,B1328)&gt;1,_xlfn.CONCAT(A1328," (",M1328,")"),B1328)</f>
        <v>Yĭnlíngzhī Zhèn</v>
      </c>
      <c r="D1328" t="s">
        <v>1037</v>
      </c>
      <c r="E1328" t="s">
        <v>7</v>
      </c>
      <c r="F1328" t="str">
        <f>_xlfn.CONCAT(D1328,", ",H1328,", ",I1328,", ","山西省")</f>
        <v>尹灵芝镇, 寿阳县, 晋中市, 山西省</v>
      </c>
      <c r="G1328">
        <v>8915</v>
      </c>
      <c r="H1328" t="s">
        <v>2920</v>
      </c>
      <c r="I1328" t="s">
        <v>2914</v>
      </c>
      <c r="J1328">
        <f>VLOOKUP(F1328,[1]!china_towns_second__2[[Column1]:[Y]],3,FALSE)</f>
        <v>37.841161589077203</v>
      </c>
      <c r="K1328">
        <f>VLOOKUP(F1328,[1]!china_towns_second__2[[Column1]:[Y]],2,FALSE)</f>
        <v>113.31954469999999</v>
      </c>
      <c r="L1328" t="s">
        <v>4899</v>
      </c>
      <c r="M1328" t="str">
        <f>VLOOKUP(H1328,CHOOSE({1,2},Table12[Native],Table12[Name]),2,0)</f>
        <v>Shòuyáng Xiàn</v>
      </c>
      <c r="N1328" s="13" t="str">
        <f>VLOOKUP(I1328,CHOOSE({1,2},Table12[Native],Table12[Name]),2,0)</f>
        <v>Jìnzhōng Shì</v>
      </c>
      <c r="O1328" s="13" t="str">
        <f t="shared" si="40"/>
        <v>Yinlingzhi Zhen (Jìnzhōng Shì)</v>
      </c>
      <c r="P1328" s="13" t="str">
        <f t="shared" si="41"/>
        <v>Yinlingzhi Zhen (Jìnzhōng Shì)</v>
      </c>
    </row>
    <row r="1329" spans="1:16" hidden="1" x14ac:dyDescent="0.25">
      <c r="A1329" t="s">
        <v>2572</v>
      </c>
      <c r="B1329" t="str">
        <f>IF(COUNTIF(A:A,A1329)&gt;1,_xlfn.CONCAT(A1329," (",N1329,")"),A1329)</f>
        <v>Yìnyíng Zhèn</v>
      </c>
      <c r="C1329" t="str">
        <f>IF(COUNTIF(B:B,B1329)&gt;1,_xlfn.CONCAT(A1329," (",M1329,")"),B1329)</f>
        <v>Yìnyíng Zhèn</v>
      </c>
      <c r="D1329" t="s">
        <v>2573</v>
      </c>
      <c r="E1329" t="s">
        <v>7</v>
      </c>
      <c r="F1329" t="str">
        <f>_xlfn.CONCAT(D1329,", ",H1329,", ",I1329,", ","山西省")</f>
        <v>荫营镇, 郊区, 阳泉市, 山西省</v>
      </c>
      <c r="G1329">
        <v>70614</v>
      </c>
      <c r="H1329" t="s">
        <v>2998</v>
      </c>
      <c r="I1329" t="s">
        <v>2997</v>
      </c>
      <c r="J1329">
        <f>VLOOKUP(F1329,[1]!china_towns_second__2[[Column1]:[Y]],3,FALSE)</f>
        <v>37.954256828790399</v>
      </c>
      <c r="K1329">
        <f>VLOOKUP(F1329,[1]!china_towns_second__2[[Column1]:[Y]],2,FALSE)</f>
        <v>113.60541310000001</v>
      </c>
      <c r="L1329" t="s">
        <v>4900</v>
      </c>
      <c r="M1329" t="str">
        <f>VLOOKUP(H1329,CHOOSE({1,2},Table12[Native],Table12[Name]),2,0)</f>
        <v>Jiāo Qū</v>
      </c>
      <c r="N1329" s="13" t="str">
        <f>VLOOKUP(I1329,CHOOSE({1,2},Table12[Native],Table12[Name]),2,0)</f>
        <v>Yángquán Shì</v>
      </c>
      <c r="O1329" s="13" t="str">
        <f t="shared" si="40"/>
        <v>Yinying Zhen (Yángquán Shì)</v>
      </c>
      <c r="P1329" s="13" t="str">
        <f t="shared" si="41"/>
        <v>Yinying Zhen (Yángquán Shì)</v>
      </c>
    </row>
    <row r="1330" spans="1:16" hidden="1" x14ac:dyDescent="0.25">
      <c r="A1330" t="s">
        <v>1377</v>
      </c>
      <c r="B1330" t="str">
        <f>IF(COUNTIF(A:A,A1330)&gt;1,_xlfn.CONCAT(A1330," (",N1330,")"),A1330)</f>
        <v>Yīpíngyuán Xiāng</v>
      </c>
      <c r="C1330" t="str">
        <f>IF(COUNTIF(B:B,B1330)&gt;1,_xlfn.CONCAT(A1330," (",M1330,")"),B1330)</f>
        <v>Yīpíngyuán Xiāng</v>
      </c>
      <c r="D1330" t="s">
        <v>1378</v>
      </c>
      <c r="E1330" t="s">
        <v>17</v>
      </c>
      <c r="F1330" t="str">
        <f>_xlfn.CONCAT(D1330,", ",H1330,", ",I1330,", ","山西省")</f>
        <v>一平垣乡, 尧都区, 临汾市, 山西省</v>
      </c>
      <c r="G1330">
        <v>15981</v>
      </c>
      <c r="H1330" t="s">
        <v>2942</v>
      </c>
      <c r="I1330" t="s">
        <v>2927</v>
      </c>
      <c r="J1330" t="e">
        <f>VLOOKUP(F1330,[1]!china_towns_second__2[[Column1]:[Y]],3,FALSE)</f>
        <v>#N/A</v>
      </c>
      <c r="K1330" t="e">
        <f>VLOOKUP(F1330,[1]!china_towns_second__2[[Column1]:[Y]],2,FALSE)</f>
        <v>#N/A</v>
      </c>
      <c r="L1330" t="s">
        <v>4901</v>
      </c>
      <c r="M1330" t="str">
        <f>VLOOKUP(H1330,CHOOSE({1,2},Table12[Native],Table12[Name]),2,0)</f>
        <v>Yáodū Qū</v>
      </c>
      <c r="N1330" s="13" t="str">
        <f>VLOOKUP(I1330,CHOOSE({1,2},Table12[Native],Table12[Name]),2,0)</f>
        <v>Línfén Shì</v>
      </c>
      <c r="O1330" s="13" t="str">
        <f t="shared" si="40"/>
        <v>Yipingyuan Xiang (Línfén Shì)</v>
      </c>
      <c r="P1330" s="13" t="str">
        <f t="shared" si="41"/>
        <v>Yipingyuan Xiang (Línfén Shì)</v>
      </c>
    </row>
    <row r="1331" spans="1:16" hidden="1" x14ac:dyDescent="0.25">
      <c r="A1331" t="s">
        <v>2850</v>
      </c>
      <c r="B1331" t="str">
        <f>IF(COUNTIF(A:A,A1331)&gt;1,_xlfn.CONCAT(A1331," (",N1331,")"),A1331)</f>
        <v>Yīshì Zhèn</v>
      </c>
      <c r="C1331" t="str">
        <f>IF(COUNTIF(B:B,B1331)&gt;1,_xlfn.CONCAT(A1331," (",M1331,")"),B1331)</f>
        <v>Yīshì Zhèn</v>
      </c>
      <c r="D1331" t="s">
        <v>2851</v>
      </c>
      <c r="E1331" t="s">
        <v>7</v>
      </c>
      <c r="F1331" t="str">
        <f>_xlfn.CONCAT(D1331,", ",H1331,", ",I1331,", ","山西省")</f>
        <v>猗氏镇, 临猗县, 运城市, 山西省</v>
      </c>
      <c r="G1331">
        <v>102090</v>
      </c>
      <c r="H1331" t="s">
        <v>3007</v>
      </c>
      <c r="I1331" t="s">
        <v>3003</v>
      </c>
      <c r="J1331">
        <f>VLOOKUP(F1331,[1]!china_towns_second__2[[Column1]:[Y]],3,FALSE)</f>
        <v>35.1464634244237</v>
      </c>
      <c r="K1331">
        <f>VLOOKUP(F1331,[1]!china_towns_second__2[[Column1]:[Y]],2,FALSE)</f>
        <v>110.78301690000001</v>
      </c>
      <c r="L1331" t="s">
        <v>4902</v>
      </c>
      <c r="M1331" t="str">
        <f>VLOOKUP(H1331,CHOOSE({1,2},Table12[Native],Table12[Name]),2,0)</f>
        <v>Línyī Xiàn</v>
      </c>
      <c r="N1331" s="13" t="str">
        <f>VLOOKUP(I1331,CHOOSE({1,2},Table12[Native],Table12[Name]),2,0)</f>
        <v>Yùnchéng Shì</v>
      </c>
      <c r="O1331" s="13" t="str">
        <f t="shared" si="40"/>
        <v>Yishi Zhen (Yùnchéng Shì)</v>
      </c>
      <c r="P1331" s="13" t="str">
        <f t="shared" si="41"/>
        <v>Yishi Zhen (Yùnchéng Shì)</v>
      </c>
    </row>
    <row r="1332" spans="1:16" hidden="1" x14ac:dyDescent="0.25">
      <c r="A1332" t="s">
        <v>1038</v>
      </c>
      <c r="B1332" t="str">
        <f>IF(COUNTIF(A:A,A1332)&gt;1,_xlfn.CONCAT(A1332," (",N1332,")"),A1332)</f>
        <v>Yìtáng Zhèn</v>
      </c>
      <c r="C1332" t="str">
        <f>IF(COUNTIF(B:B,B1332)&gt;1,_xlfn.CONCAT(A1332," (",M1332,")"),B1332)</f>
        <v>Yìtáng Zhèn</v>
      </c>
      <c r="D1332" t="s">
        <v>1039</v>
      </c>
      <c r="E1332" t="s">
        <v>7</v>
      </c>
      <c r="F1332" t="str">
        <f>_xlfn.CONCAT(D1332,", ",H1332,", ",I1332,", ","山西省")</f>
        <v>义棠镇, 介休市, 晋中市, 山西省</v>
      </c>
      <c r="G1332">
        <v>28237</v>
      </c>
      <c r="H1332" t="s">
        <v>2916</v>
      </c>
      <c r="I1332" t="s">
        <v>2914</v>
      </c>
      <c r="J1332">
        <f>VLOOKUP(F1332,[1]!china_towns_second__2[[Column1]:[Y]],3,FALSE)</f>
        <v>37.000118298537799</v>
      </c>
      <c r="K1332">
        <f>VLOOKUP(F1332,[1]!china_towns_second__2[[Column1]:[Y]],2,FALSE)</f>
        <v>111.80969930000001</v>
      </c>
      <c r="L1332" t="s">
        <v>4903</v>
      </c>
      <c r="M1332" t="str">
        <f>VLOOKUP(H1332,CHOOSE({1,2},Table12[Native],Table12[Name]),2,0)</f>
        <v>Jièxiū Shì</v>
      </c>
      <c r="N1332" s="13" t="str">
        <f>VLOOKUP(I1332,CHOOSE({1,2},Table12[Native],Table12[Name]),2,0)</f>
        <v>Jìnzhōng Shì</v>
      </c>
      <c r="O1332" s="13" t="str">
        <f t="shared" si="40"/>
        <v>Yitang Zhen (Jìnzhōng Shì)</v>
      </c>
      <c r="P1332" s="13" t="str">
        <f t="shared" si="41"/>
        <v>Yitang Zhen (Jìnzhōng Shì)</v>
      </c>
    </row>
    <row r="1333" spans="1:16" hidden="1" x14ac:dyDescent="0.25">
      <c r="A1333" t="s">
        <v>587</v>
      </c>
      <c r="B1333" t="str">
        <f>IF(COUNTIF(A:A,A1333)&gt;1,_xlfn.CONCAT(A1333," (",N1333,")"),A1333)</f>
        <v>Yíxīng Xiāng</v>
      </c>
      <c r="C1333" t="str">
        <f>IF(COUNTIF(B:B,B1333)&gt;1,_xlfn.CONCAT(A1333," (",M1333,")"),B1333)</f>
        <v>Yíxīng Xiāng</v>
      </c>
      <c r="D1333" t="s">
        <v>588</v>
      </c>
      <c r="E1333" t="s">
        <v>17</v>
      </c>
      <c r="F1333" t="str">
        <f>_xlfn.CONCAT(D1333,", ",H1333,", ",I1333,", ","山西省")</f>
        <v>宜兴乡, 广灵县, 大同市, 山西省</v>
      </c>
      <c r="G1333">
        <v>11195</v>
      </c>
      <c r="H1333" t="s">
        <v>2895</v>
      </c>
      <c r="I1333" t="s">
        <v>2894</v>
      </c>
      <c r="J1333" t="e">
        <f>VLOOKUP(F1333,[1]!china_towns_second__2[[Column1]:[Y]],3,FALSE)</f>
        <v>#N/A</v>
      </c>
      <c r="K1333" t="e">
        <f>VLOOKUP(F1333,[1]!china_towns_second__2[[Column1]:[Y]],2,FALSE)</f>
        <v>#N/A</v>
      </c>
      <c r="L1333" t="s">
        <v>4904</v>
      </c>
      <c r="M1333" t="str">
        <f>VLOOKUP(H1333,CHOOSE({1,2},Table12[Native],Table12[Name]),2,0)</f>
        <v>Guănglíng Xiàn</v>
      </c>
      <c r="N1333" s="13" t="str">
        <f>VLOOKUP(I1333,CHOOSE({1,2},Table12[Native],Table12[Name]),2,0)</f>
        <v>Dàtóng Shì</v>
      </c>
      <c r="O1333" s="13" t="str">
        <f t="shared" si="40"/>
        <v>Yixing Xiang (Dàtóng Shì)</v>
      </c>
      <c r="P1333" s="13" t="str">
        <f t="shared" si="41"/>
        <v>Yixing Xiang (Dàtóng Shì)</v>
      </c>
    </row>
    <row r="1334" spans="1:16" hidden="1" x14ac:dyDescent="0.25">
      <c r="A1334" t="s">
        <v>1040</v>
      </c>
      <c r="B1334" t="str">
        <f>IF(COUNTIF(A:A,A1334)&gt;1,_xlfn.CONCAT(A1334," (",N1334,")"),A1334)</f>
        <v>Yìxīng Zhèn</v>
      </c>
      <c r="C1334" t="str">
        <f>IF(COUNTIF(B:B,B1334)&gt;1,_xlfn.CONCAT(A1334," (",M1334,")"),B1334)</f>
        <v>Yìxīng Zhèn</v>
      </c>
      <c r="D1334" t="s">
        <v>1041</v>
      </c>
      <c r="E1334" t="s">
        <v>7</v>
      </c>
      <c r="F1334" t="str">
        <f>_xlfn.CONCAT(D1334,", ",H1334,", ",I1334,", ","山西省")</f>
        <v>义兴镇, 和顺县, 晋中市, 山西省</v>
      </c>
      <c r="G1334">
        <v>71271</v>
      </c>
      <c r="H1334" t="s">
        <v>2915</v>
      </c>
      <c r="I1334" t="s">
        <v>2914</v>
      </c>
      <c r="J1334">
        <f>VLOOKUP(F1334,[1]!china_towns_second__2[[Column1]:[Y]],3,FALSE)</f>
        <v>37.362860095905198</v>
      </c>
      <c r="K1334">
        <f>VLOOKUP(F1334,[1]!china_towns_second__2[[Column1]:[Y]],2,FALSE)</f>
        <v>113.478849</v>
      </c>
      <c r="L1334" t="s">
        <v>4905</v>
      </c>
      <c r="M1334" t="str">
        <f>VLOOKUP(H1334,CHOOSE({1,2},Table12[Native],Table12[Name]),2,0)</f>
        <v>Héshùn Xiàn</v>
      </c>
      <c r="N1334" s="13" t="str">
        <f>VLOOKUP(I1334,CHOOSE({1,2},Table12[Native],Table12[Name]),2,0)</f>
        <v>Jìnzhōng Shì</v>
      </c>
      <c r="O1334" s="13" t="str">
        <f t="shared" si="40"/>
        <v>Yixing Zhen (Jìnzhōng Shì)</v>
      </c>
      <c r="P1334" s="13" t="str">
        <f t="shared" si="41"/>
        <v>Yixing Zhen (Jìnzhōng Shì)</v>
      </c>
    </row>
    <row r="1335" spans="1:16" hidden="1" x14ac:dyDescent="0.25">
      <c r="A1335" t="s">
        <v>589</v>
      </c>
      <c r="B1335" t="str">
        <f>IF(COUNTIF(A:A,A1335)&gt;1,_xlfn.CONCAT(A1335," (",N1335,")"),A1335)</f>
        <v>Yŏng'ān Zhèn (Dàtóng Shì)</v>
      </c>
      <c r="C1335" t="str">
        <f>IF(COUNTIF(B:B,B1335)&gt;1,_xlfn.CONCAT(A1335," (",M1335,")"),B1335)</f>
        <v>Yŏng'ān Zhèn (Dàtóng Shì)</v>
      </c>
      <c r="D1335" t="s">
        <v>590</v>
      </c>
      <c r="E1335" t="s">
        <v>7</v>
      </c>
      <c r="F1335" t="str">
        <f>_xlfn.CONCAT(D1335,", ",H1335,", ",I1335,", ","山西省")</f>
        <v>永安镇, 浑源县, 大同市, 山西省</v>
      </c>
      <c r="G1335">
        <v>122851</v>
      </c>
      <c r="H1335" t="s">
        <v>2896</v>
      </c>
      <c r="I1335" t="s">
        <v>2894</v>
      </c>
      <c r="J1335">
        <f>VLOOKUP(F1335,[1]!china_towns_second__2[[Column1]:[Y]],3,FALSE)</f>
        <v>39.709112080273897</v>
      </c>
      <c r="K1335">
        <f>VLOOKUP(F1335,[1]!china_towns_second__2[[Column1]:[Y]],2,FALSE)</f>
        <v>113.70307409999999</v>
      </c>
      <c r="L1335" t="s">
        <v>4906</v>
      </c>
      <c r="M1335" t="str">
        <f>VLOOKUP(H1335,CHOOSE({1,2},Table12[Native],Table12[Name]),2,0)</f>
        <v>Húnyuán Xiàn</v>
      </c>
      <c r="N1335" s="13" t="str">
        <f>VLOOKUP(I1335,CHOOSE({1,2},Table12[Native],Table12[Name]),2,0)</f>
        <v>Dàtóng Shì</v>
      </c>
      <c r="O1335" s="13" t="str">
        <f t="shared" si="40"/>
        <v>Yong'an Zhen (Datong Shi) (Dàtóng Shì)</v>
      </c>
      <c r="P1335" s="13" t="str">
        <f t="shared" si="41"/>
        <v>Yong'an Zhen (Datong Shi) (Dàtóng Shì)</v>
      </c>
    </row>
    <row r="1336" spans="1:16" hidden="1" x14ac:dyDescent="0.25">
      <c r="A1336" t="s">
        <v>589</v>
      </c>
      <c r="B1336" t="str">
        <f>IF(COUNTIF(A:A,A1336)&gt;1,_xlfn.CONCAT(A1336," (",N1336,")"),A1336)</f>
        <v>Yŏng'ān Zhèn (Línfén Shì)</v>
      </c>
      <c r="C1336" t="str">
        <f>IF(COUNTIF(B:B,B1336)&gt;1,_xlfn.CONCAT(A1336," (",M1336,")"),B1336)</f>
        <v>Yŏng'ān Zhèn (Línfén Shì)</v>
      </c>
      <c r="D1336" t="s">
        <v>590</v>
      </c>
      <c r="E1336" t="s">
        <v>7</v>
      </c>
      <c r="F1336" t="str">
        <f>_xlfn.CONCAT(D1336,", ",H1336,", ",I1336,", ","山西省")</f>
        <v>永安镇, 汾西县, 临汾市, 山西省</v>
      </c>
      <c r="G1336">
        <v>21125</v>
      </c>
      <c r="H1336" t="s">
        <v>2930</v>
      </c>
      <c r="I1336" t="s">
        <v>2927</v>
      </c>
      <c r="J1336">
        <f>VLOOKUP(F1336,[1]!china_towns_second__2[[Column1]:[Y]],3,FALSE)</f>
        <v>36.6755159368888</v>
      </c>
      <c r="K1336">
        <f>VLOOKUP(F1336,[1]!china_towns_second__2[[Column1]:[Y]],2,FALSE)</f>
        <v>111.53795839999999</v>
      </c>
      <c r="L1336" t="s">
        <v>4907</v>
      </c>
      <c r="M1336" t="str">
        <f>VLOOKUP(H1336,CHOOSE({1,2},Table12[Native],Table12[Name]),2,0)</f>
        <v>Fénxī Xiàn</v>
      </c>
      <c r="N1336" s="13" t="str">
        <f>VLOOKUP(I1336,CHOOSE({1,2},Table12[Native],Table12[Name]),2,0)</f>
        <v>Línfén Shì</v>
      </c>
      <c r="O1336" s="13" t="str">
        <f t="shared" si="40"/>
        <v>Yong'an Zhen (Linfen Shi) (Línfén Shì)</v>
      </c>
      <c r="P1336" s="13" t="str">
        <f t="shared" si="41"/>
        <v>Yong'an Zhen (Linfen Shi) (Línfén Shì)</v>
      </c>
    </row>
    <row r="1337" spans="1:16" hidden="1" x14ac:dyDescent="0.25">
      <c r="A1337" t="s">
        <v>591</v>
      </c>
      <c r="B1337" t="str">
        <f>IF(COUNTIF(A:A,A1337)&gt;1,_xlfn.CONCAT(A1337," (",N1337,")"),A1337)</f>
        <v>Yŏngdìngzhuāng Jiēdào</v>
      </c>
      <c r="C1337" t="str">
        <f>IF(COUNTIF(B:B,B1337)&gt;1,_xlfn.CONCAT(A1337," (",M1337,")"),B1337)</f>
        <v>Yŏngdìngzhuāng Jiēdào</v>
      </c>
      <c r="D1337" t="s">
        <v>592</v>
      </c>
      <c r="E1337" t="s">
        <v>31</v>
      </c>
      <c r="F1337" t="str">
        <f>_xlfn.CONCAT(D1337,", ",H1337,", ",I1337,", ","山西省")</f>
        <v>永定庄街道, 云冈区, 大同市, 山西省</v>
      </c>
      <c r="G1337">
        <v>7633</v>
      </c>
      <c r="H1337" t="s">
        <v>2902</v>
      </c>
      <c r="I1337" t="s">
        <v>2894</v>
      </c>
      <c r="J1337" t="e">
        <f>VLOOKUP(F1337,[1]!china_towns_second__2[[Column1]:[Y]],3,FALSE)</f>
        <v>#N/A</v>
      </c>
      <c r="K1337" t="e">
        <f>VLOOKUP(F1337,[1]!china_towns_second__2[[Column1]:[Y]],2,FALSE)</f>
        <v>#N/A</v>
      </c>
      <c r="L1337" t="s">
        <v>4908</v>
      </c>
      <c r="M1337" t="str">
        <f>VLOOKUP(H1337,CHOOSE({1,2},Table12[Native],Table12[Name]),2,0)</f>
        <v>Yúngāng Qū</v>
      </c>
      <c r="N1337" s="13" t="str">
        <f>VLOOKUP(I1337,CHOOSE({1,2},Table12[Native],Table12[Name]),2,0)</f>
        <v>Dàtóng Shì</v>
      </c>
      <c r="O1337" s="13" t="str">
        <f t="shared" si="40"/>
        <v>Yongdingzhuang Jiedao (Dàtóng Shì)</v>
      </c>
      <c r="P1337" s="13" t="str">
        <f t="shared" si="41"/>
        <v>Yongdingzhuang Jiedao (Dàtóng Shì)</v>
      </c>
    </row>
    <row r="1338" spans="1:16" hidden="1" x14ac:dyDescent="0.25">
      <c r="A1338" t="s">
        <v>1379</v>
      </c>
      <c r="B1338" t="str">
        <f>IF(COUNTIF(A:A,A1338)&gt;1,_xlfn.CONCAT(A1338," (",N1338,")"),A1338)</f>
        <v>Yŏnggù Xiāng</v>
      </c>
      <c r="C1338" t="str">
        <f>IF(COUNTIF(B:B,B1338)&gt;1,_xlfn.CONCAT(A1338," (",M1338,")"),B1338)</f>
        <v>Yŏnggù Xiāng</v>
      </c>
      <c r="D1338" t="s">
        <v>1380</v>
      </c>
      <c r="E1338" t="s">
        <v>17</v>
      </c>
      <c r="F1338" t="str">
        <f>_xlfn.CONCAT(D1338,", ",H1338,", ",I1338,", ","山西省")</f>
        <v>永固乡, 襄汾县, 临汾市, 山西省</v>
      </c>
      <c r="G1338">
        <v>15015</v>
      </c>
      <c r="H1338" t="s">
        <v>2939</v>
      </c>
      <c r="I1338" t="s">
        <v>2927</v>
      </c>
      <c r="J1338" t="e">
        <f>VLOOKUP(F1338,[1]!china_towns_second__2[[Column1]:[Y]],3,FALSE)</f>
        <v>#N/A</v>
      </c>
      <c r="K1338" t="e">
        <f>VLOOKUP(F1338,[1]!china_towns_second__2[[Column1]:[Y]],2,FALSE)</f>
        <v>#N/A</v>
      </c>
      <c r="L1338" t="s">
        <v>4909</v>
      </c>
      <c r="M1338" t="str">
        <f>VLOOKUP(H1338,CHOOSE({1,2},Table12[Native],Table12[Name]),2,0)</f>
        <v>Xiāngfén Xiàn</v>
      </c>
      <c r="N1338" s="13" t="str">
        <f>VLOOKUP(I1338,CHOOSE({1,2},Table12[Native],Table12[Name]),2,0)</f>
        <v>Línfén Shì</v>
      </c>
      <c r="O1338" s="13" t="str">
        <f t="shared" si="40"/>
        <v>Yonggu Xiang (Línfén Shì)</v>
      </c>
      <c r="P1338" s="13" t="str">
        <f t="shared" si="41"/>
        <v>Yonggu Xiang (Línfén Shì)</v>
      </c>
    </row>
    <row r="1339" spans="1:16" hidden="1" x14ac:dyDescent="0.25">
      <c r="A1339" t="s">
        <v>1381</v>
      </c>
      <c r="B1339" t="str">
        <f>IF(COUNTIF(A:A,A1339)&gt;1,_xlfn.CONCAT(A1339," (",N1339,")"),A1339)</f>
        <v>Yŏnglè Xiāng</v>
      </c>
      <c r="C1339" t="str">
        <f>IF(COUNTIF(B:B,B1339)&gt;1,_xlfn.CONCAT(A1339," (",M1339,")"),B1339)</f>
        <v>Yŏnglè Xiāng</v>
      </c>
      <c r="D1339" t="s">
        <v>1382</v>
      </c>
      <c r="E1339" t="s">
        <v>17</v>
      </c>
      <c r="F1339" t="str">
        <f>_xlfn.CONCAT(D1339,", ",H1339,", ",I1339,", ","山西省")</f>
        <v>永乐乡, 古县, 临汾市, 山西省</v>
      </c>
      <c r="G1339">
        <v>5487</v>
      </c>
      <c r="H1339" t="s">
        <v>2932</v>
      </c>
      <c r="I1339" t="s">
        <v>2927</v>
      </c>
      <c r="J1339" t="e">
        <f>VLOOKUP(F1339,[1]!china_towns_second__2[[Column1]:[Y]],3,FALSE)</f>
        <v>#N/A</v>
      </c>
      <c r="K1339" t="e">
        <f>VLOOKUP(F1339,[1]!china_towns_second__2[[Column1]:[Y]],2,FALSE)</f>
        <v>#N/A</v>
      </c>
      <c r="L1339" t="s">
        <v>4910</v>
      </c>
      <c r="M1339" t="str">
        <f>VLOOKUP(H1339,CHOOSE({1,2},Table12[Native],Table12[Name]),2,0)</f>
        <v>Gŭ Xiàn</v>
      </c>
      <c r="N1339" s="13" t="str">
        <f>VLOOKUP(I1339,CHOOSE({1,2},Table12[Native],Table12[Name]),2,0)</f>
        <v>Línfén Shì</v>
      </c>
      <c r="O1339" s="13" t="str">
        <f t="shared" si="40"/>
        <v>Yongle Xiang (Línfén Shì)</v>
      </c>
      <c r="P1339" s="13" t="str">
        <f t="shared" si="41"/>
        <v>Yongle Xiang (Línfén Shì)</v>
      </c>
    </row>
    <row r="1340" spans="1:16" hidden="1" x14ac:dyDescent="0.25">
      <c r="A1340" t="s">
        <v>2852</v>
      </c>
      <c r="B1340" t="str">
        <f>IF(COUNTIF(A:A,A1340)&gt;1,_xlfn.CONCAT(A1340," (",N1340,")"),A1340)</f>
        <v>Yŏnglè Zhèn</v>
      </c>
      <c r="C1340" t="str">
        <f>IF(COUNTIF(B:B,B1340)&gt;1,_xlfn.CONCAT(A1340," (",M1340,")"),B1340)</f>
        <v>Yŏnglè Zhèn</v>
      </c>
      <c r="D1340" t="s">
        <v>2853</v>
      </c>
      <c r="E1340" t="s">
        <v>7</v>
      </c>
      <c r="F1340" t="str">
        <f>_xlfn.CONCAT(D1340,", ",H1340,", ",I1340,", ","山西省")</f>
        <v>永乐镇, 芮城县, 运城市, 山西省</v>
      </c>
      <c r="G1340">
        <v>22205</v>
      </c>
      <c r="H1340" t="s">
        <v>3009</v>
      </c>
      <c r="I1340" t="s">
        <v>3003</v>
      </c>
      <c r="J1340">
        <f>VLOOKUP(F1340,[1]!china_towns_second__2[[Column1]:[Y]],3,FALSE)</f>
        <v>34.622959916164703</v>
      </c>
      <c r="K1340">
        <f>VLOOKUP(F1340,[1]!china_towns_second__2[[Column1]:[Y]],2,FALSE)</f>
        <v>110.52885809999999</v>
      </c>
      <c r="L1340" t="s">
        <v>4911</v>
      </c>
      <c r="M1340" t="str">
        <f>VLOOKUP(H1340,CHOOSE({1,2},Table12[Native],Table12[Name]),2,0)</f>
        <v>Ruìchéng Xiàn</v>
      </c>
      <c r="N1340" s="13" t="str">
        <f>VLOOKUP(I1340,CHOOSE({1,2},Table12[Native],Table12[Name]),2,0)</f>
        <v>Yùnchéng Shì</v>
      </c>
      <c r="O1340" s="13" t="str">
        <f t="shared" si="40"/>
        <v>Yongle Zhen (Yùnchéng Shì)</v>
      </c>
      <c r="P1340" s="13" t="str">
        <f t="shared" si="41"/>
        <v>Yongle Zhen (Yùnchéng Shì)</v>
      </c>
    </row>
    <row r="1341" spans="1:16" hidden="1" x14ac:dyDescent="0.25">
      <c r="A1341" t="s">
        <v>767</v>
      </c>
      <c r="B1341" t="str">
        <f>IF(COUNTIF(A:A,A1341)&gt;1,_xlfn.CONCAT(A1341," (",N1341,")"),A1341)</f>
        <v>Yŏnglù Xiāng</v>
      </c>
      <c r="C1341" t="str">
        <f>IF(COUNTIF(B:B,B1341)&gt;1,_xlfn.CONCAT(A1341," (",M1341,")"),B1341)</f>
        <v>Yŏnglù Xiāng</v>
      </c>
      <c r="D1341" t="s">
        <v>768</v>
      </c>
      <c r="E1341" t="s">
        <v>17</v>
      </c>
      <c r="F1341" t="str">
        <f>_xlfn.CONCAT(D1341,", ",H1341,", ",I1341,", ","山西省")</f>
        <v>永禄乡, 高平市, 晋城市, 山西省</v>
      </c>
      <c r="G1341">
        <v>11605</v>
      </c>
      <c r="H1341" t="s">
        <v>2908</v>
      </c>
      <c r="I1341" t="s">
        <v>2906</v>
      </c>
      <c r="J1341" t="e">
        <f>VLOOKUP(F1341,[1]!china_towns_second__2[[Column1]:[Y]],3,FALSE)</f>
        <v>#N/A</v>
      </c>
      <c r="K1341" t="e">
        <f>VLOOKUP(F1341,[1]!china_towns_second__2[[Column1]:[Y]],2,FALSE)</f>
        <v>#N/A</v>
      </c>
      <c r="L1341" t="s">
        <v>4912</v>
      </c>
      <c r="M1341" t="str">
        <f>VLOOKUP(H1341,CHOOSE({1,2},Table12[Native],Table12[Name]),2,0)</f>
        <v>Gāopíng Shì</v>
      </c>
      <c r="N1341" s="13" t="str">
        <f>VLOOKUP(I1341,CHOOSE({1,2},Table12[Native],Table12[Name]),2,0)</f>
        <v>Jìnchéng Shì</v>
      </c>
      <c r="O1341" s="13" t="str">
        <f t="shared" si="40"/>
        <v>Yonglu Xiang (Jìnchéng Shì)</v>
      </c>
      <c r="P1341" s="13" t="str">
        <f t="shared" si="41"/>
        <v>Yonglu Xiang (Jìnchéng Shì)</v>
      </c>
    </row>
    <row r="1342" spans="1:16" hidden="1" x14ac:dyDescent="0.25">
      <c r="A1342" t="s">
        <v>303</v>
      </c>
      <c r="B1342" t="str">
        <f>IF(COUNTIF(A:A,A1342)&gt;1,_xlfn.CONCAT(A1342," (",N1342,")"),A1342)</f>
        <v>Yŏngquán Xiāng</v>
      </c>
      <c r="C1342" t="str">
        <f>IF(COUNTIF(B:B,B1342)&gt;1,_xlfn.CONCAT(A1342," (",M1342,")"),B1342)</f>
        <v>Yŏngquán Xiāng</v>
      </c>
      <c r="D1342" t="s">
        <v>304</v>
      </c>
      <c r="E1342" t="s">
        <v>17</v>
      </c>
      <c r="F1342" t="str">
        <f>_xlfn.CONCAT(D1342,", ",H1342,", ",I1342,", ","山西省")</f>
        <v>涌泉乡, 武乡县, 长治市, 山西省</v>
      </c>
      <c r="G1342">
        <v>7603</v>
      </c>
      <c r="H1342" t="s">
        <v>2891</v>
      </c>
      <c r="I1342" t="s">
        <v>2878</v>
      </c>
      <c r="J1342" t="e">
        <f>VLOOKUP(F1342,[1]!china_towns_second__2[[Column1]:[Y]],3,FALSE)</f>
        <v>#N/A</v>
      </c>
      <c r="K1342" t="e">
        <f>VLOOKUP(F1342,[1]!china_towns_second__2[[Column1]:[Y]],2,FALSE)</f>
        <v>#N/A</v>
      </c>
      <c r="L1342" t="s">
        <v>4913</v>
      </c>
      <c r="M1342" t="str">
        <f>VLOOKUP(H1342,CHOOSE({1,2},Table12[Native],Table12[Name]),2,0)</f>
        <v>Wŭxiāng Xiàn</v>
      </c>
      <c r="N1342" s="13" t="str">
        <f>VLOOKUP(I1342,CHOOSE({1,2},Table12[Native],Table12[Name]),2,0)</f>
        <v>Chángzhì Shì</v>
      </c>
      <c r="O1342" s="13" t="str">
        <f t="shared" si="40"/>
        <v>Yongquan Xiang (Chángzhì Shì)</v>
      </c>
      <c r="P1342" s="13" t="str">
        <f t="shared" si="41"/>
        <v>Yongquan Xiang (Chángzhì Shì)</v>
      </c>
    </row>
    <row r="1343" spans="1:16" hidden="1" x14ac:dyDescent="0.25">
      <c r="A1343" t="s">
        <v>1860</v>
      </c>
      <c r="B1343" t="str">
        <f>IF(COUNTIF(A:A,A1343)&gt;1,_xlfn.CONCAT(A1343," (",N1343,")"),A1343)</f>
        <v>Yòuwèi Zhèn</v>
      </c>
      <c r="C1343" t="str">
        <f>IF(COUNTIF(B:B,B1343)&gt;1,_xlfn.CONCAT(A1343," (",M1343,")"),B1343)</f>
        <v>Yòuwèi Zhèn</v>
      </c>
      <c r="D1343" t="s">
        <v>1861</v>
      </c>
      <c r="E1343" t="s">
        <v>7</v>
      </c>
      <c r="F1343" t="str">
        <f>_xlfn.CONCAT(D1343,", ",H1343,", ",I1343,", ","山西省")</f>
        <v>右卫镇, 右玉县, 朔州市, 山西省</v>
      </c>
      <c r="G1343">
        <v>10017</v>
      </c>
      <c r="H1343" t="s">
        <v>2967</v>
      </c>
      <c r="I1343" t="s">
        <v>2961</v>
      </c>
      <c r="J1343">
        <f>VLOOKUP(F1343,[1]!china_towns_second__2[[Column1]:[Y]],3,FALSE)</f>
        <v>40.159406853843997</v>
      </c>
      <c r="K1343">
        <f>VLOOKUP(F1343,[1]!china_towns_second__2[[Column1]:[Y]],2,FALSE)</f>
        <v>112.3679618</v>
      </c>
      <c r="L1343" t="s">
        <v>4914</v>
      </c>
      <c r="M1343" t="str">
        <f>VLOOKUP(H1343,CHOOSE({1,2},Table12[Native],Table12[Name]),2,0)</f>
        <v>Yòuyù Xiàn</v>
      </c>
      <c r="N1343" s="13" t="str">
        <f>VLOOKUP(I1343,CHOOSE({1,2},Table12[Native],Table12[Name]),2,0)</f>
        <v>Shuòzhōu Shì</v>
      </c>
      <c r="O1343" s="13" t="str">
        <f t="shared" si="40"/>
        <v>Youwei Zhen (Shuòzhōu Shì)</v>
      </c>
      <c r="P1343" s="13" t="str">
        <f t="shared" si="41"/>
        <v>Youwei Zhen (Shuòzhōu Shì)</v>
      </c>
    </row>
    <row r="1344" spans="1:16" hidden="1" x14ac:dyDescent="0.25">
      <c r="A1344" t="s">
        <v>593</v>
      </c>
      <c r="B1344" t="str">
        <f>IF(COUNTIF(A:A,A1344)&gt;1,_xlfn.CONCAT(A1344," (",N1344,")"),A1344)</f>
        <v>Yŏuzăi Zhèn</v>
      </c>
      <c r="C1344" t="str">
        <f>IF(COUNTIF(B:B,B1344)&gt;1,_xlfn.CONCAT(A1344," (",M1344,")"),B1344)</f>
        <v>Yŏuzăi Zhèn</v>
      </c>
      <c r="D1344" t="s">
        <v>594</v>
      </c>
      <c r="E1344" t="s">
        <v>7</v>
      </c>
      <c r="F1344" t="str">
        <f>_xlfn.CONCAT(D1344,", ",H1344,", ",I1344,", ","山西省")</f>
        <v>友宰镇, 阳高县, 大同市, 山西省</v>
      </c>
      <c r="G1344">
        <v>9017</v>
      </c>
      <c r="H1344" t="s">
        <v>2901</v>
      </c>
      <c r="I1344" t="s">
        <v>2894</v>
      </c>
      <c r="J1344">
        <f>VLOOKUP(F1344,[1]!china_towns_second__2[[Column1]:[Y]],3,FALSE)</f>
        <v>39.906404487237097</v>
      </c>
      <c r="K1344">
        <f>VLOOKUP(F1344,[1]!china_towns_second__2[[Column1]:[Y]],2,FALSE)</f>
        <v>113.89124</v>
      </c>
      <c r="L1344" t="s">
        <v>4915</v>
      </c>
      <c r="M1344" t="str">
        <f>VLOOKUP(H1344,CHOOSE({1,2},Table12[Native],Table12[Name]),2,0)</f>
        <v>Yánggāo Xiàn</v>
      </c>
      <c r="N1344" s="13" t="str">
        <f>VLOOKUP(I1344,CHOOSE({1,2},Table12[Native],Table12[Name]),2,0)</f>
        <v>Dàtóng Shì</v>
      </c>
      <c r="O1344" s="13" t="str">
        <f t="shared" si="40"/>
        <v>Youzai Zhen (Dàtóng Shì)</v>
      </c>
      <c r="P1344" s="13" t="str">
        <f t="shared" si="41"/>
        <v>Youzai Zhen (Dàtóng Shì)</v>
      </c>
    </row>
    <row r="1345" spans="1:16" hidden="1" x14ac:dyDescent="0.25">
      <c r="A1345" t="s">
        <v>1862</v>
      </c>
      <c r="B1345" t="str">
        <f>IF(COUNTIF(A:A,A1345)&gt;1,_xlfn.CONCAT(A1345," (",N1345,")"),A1345)</f>
        <v>Yuánbăozi Zhèn</v>
      </c>
      <c r="C1345" t="str">
        <f>IF(COUNTIF(B:B,B1345)&gt;1,_xlfn.CONCAT(A1345," (",M1345,")"),B1345)</f>
        <v>Yuánbăozi Zhèn</v>
      </c>
      <c r="D1345" t="s">
        <v>1863</v>
      </c>
      <c r="E1345" t="s">
        <v>7</v>
      </c>
      <c r="F1345" t="str">
        <f>_xlfn.CONCAT(D1345,", ",H1345,", ",I1345,", ","山西省")</f>
        <v>元堡子镇, 右玉县, 朔州市, 山西省</v>
      </c>
      <c r="G1345">
        <v>11837</v>
      </c>
      <c r="H1345" t="s">
        <v>2967</v>
      </c>
      <c r="I1345" t="s">
        <v>2961</v>
      </c>
      <c r="J1345">
        <f>VLOOKUP(F1345,[1]!china_towns_second__2[[Column1]:[Y]],3,FALSE)</f>
        <v>39.805128842509802</v>
      </c>
      <c r="K1345">
        <f>VLOOKUP(F1345,[1]!china_towns_second__2[[Column1]:[Y]],2,FALSE)</f>
        <v>112.5640808</v>
      </c>
      <c r="L1345" t="s">
        <v>4916</v>
      </c>
      <c r="M1345" t="str">
        <f>VLOOKUP(H1345,CHOOSE({1,2},Table12[Native],Table12[Name]),2,0)</f>
        <v>Yòuyù Xiàn</v>
      </c>
      <c r="N1345" s="13" t="str">
        <f>VLOOKUP(I1345,CHOOSE({1,2},Table12[Native],Table12[Name]),2,0)</f>
        <v>Shuòzhōu Shì</v>
      </c>
      <c r="O1345" s="13" t="str">
        <f t="shared" si="40"/>
        <v>Yuanbaozi Zhen (Shuòzhōu Shì)</v>
      </c>
      <c r="P1345" s="13" t="str">
        <f t="shared" si="41"/>
        <v>Yuanbaozi Zhen (Shuòzhōu Shì)</v>
      </c>
    </row>
    <row r="1346" spans="1:16" hidden="1" x14ac:dyDescent="0.25">
      <c r="A1346" t="s">
        <v>769</v>
      </c>
      <c r="B1346" t="str">
        <f>IF(COUNTIF(A:A,A1346)&gt;1,_xlfn.CONCAT(A1346," (",N1346,")"),A1346)</f>
        <v>Yuáncūn Xiāng</v>
      </c>
      <c r="C1346" t="str">
        <f>IF(COUNTIF(B:B,B1346)&gt;1,_xlfn.CONCAT(A1346," (",M1346,")"),B1346)</f>
        <v>Yuáncūn Xiāng</v>
      </c>
      <c r="D1346" t="s">
        <v>770</v>
      </c>
      <c r="E1346" t="s">
        <v>17</v>
      </c>
      <c r="F1346" t="str">
        <f>_xlfn.CONCAT(D1346,", ",H1346,", ",I1346,", ","山西省")</f>
        <v>原村乡, 高平市, 晋城市, 山西省</v>
      </c>
      <c r="G1346">
        <v>19224</v>
      </c>
      <c r="H1346" t="s">
        <v>2908</v>
      </c>
      <c r="I1346" t="s">
        <v>2906</v>
      </c>
      <c r="J1346" t="e">
        <f>VLOOKUP(F1346,[1]!china_towns_second__2[[Column1]:[Y]],3,FALSE)</f>
        <v>#N/A</v>
      </c>
      <c r="K1346" t="e">
        <f>VLOOKUP(F1346,[1]!china_towns_second__2[[Column1]:[Y]],2,FALSE)</f>
        <v>#N/A</v>
      </c>
      <c r="L1346" t="s">
        <v>4917</v>
      </c>
      <c r="M1346" t="str">
        <f>VLOOKUP(H1346,CHOOSE({1,2},Table12[Native],Table12[Name]),2,0)</f>
        <v>Gāopíng Shì</v>
      </c>
      <c r="N1346" s="13" t="str">
        <f>VLOOKUP(I1346,CHOOSE({1,2},Table12[Native],Table12[Name]),2,0)</f>
        <v>Jìnchéng Shì</v>
      </c>
      <c r="O1346" s="13" t="str">
        <f t="shared" ref="O1346:O1409" si="42">_xlfn.CONCAT(L1346," (",N1346,")")</f>
        <v>Yuancun Xiang (Jìnchéng Shì)</v>
      </c>
      <c r="P1346" s="13" t="str">
        <f t="shared" ref="P1346:P1409" si="43">IF(COUNTIF(O:O,O1346)&gt;1,_xlfn.CONCAT(L1346," (",M1346,")"),O1346)</f>
        <v>Yuancun Xiang (Jìnchéng Shì)</v>
      </c>
    </row>
    <row r="1347" spans="1:16" hidden="1" x14ac:dyDescent="0.25">
      <c r="A1347" t="s">
        <v>2470</v>
      </c>
      <c r="B1347" t="str">
        <f>IF(COUNTIF(A:A,A1347)&gt;1,_xlfn.CONCAT(A1347," (",N1347,")"),A1347)</f>
        <v>Yuánpíng Nóngchăng</v>
      </c>
      <c r="C1347" t="str">
        <f>IF(COUNTIF(B:B,B1347)&gt;1,_xlfn.CONCAT(A1347," (",M1347,")"),B1347)</f>
        <v>Yuánpíng Nóngchăng</v>
      </c>
      <c r="D1347" t="s">
        <v>2471</v>
      </c>
      <c r="E1347" t="s">
        <v>35</v>
      </c>
      <c r="F1347" t="str">
        <f>_xlfn.CONCAT(D1347,", ",H1347,", ",I1347,", ","山西省")</f>
        <v>原平农场, 原平市, 忻州市, 山西省</v>
      </c>
      <c r="G1347">
        <v>2775</v>
      </c>
      <c r="H1347" t="s">
        <v>2995</v>
      </c>
      <c r="I1347" t="s">
        <v>2981</v>
      </c>
      <c r="J1347">
        <f>VLOOKUP(F1347,[1]!china_towns_second__2[[Column1]:[Y]],3,FALSE)</f>
        <v>38.767864550915903</v>
      </c>
      <c r="K1347">
        <f>VLOOKUP(F1347,[1]!china_towns_second__2[[Column1]:[Y]],2,FALSE)</f>
        <v>112.74631530000001</v>
      </c>
      <c r="L1347" t="s">
        <v>4918</v>
      </c>
      <c r="M1347" t="str">
        <f>VLOOKUP(H1347,CHOOSE({1,2},Table12[Native],Table12[Name]),2,0)</f>
        <v>Yuánpíng Shì</v>
      </c>
      <c r="N1347" s="13" t="str">
        <f>VLOOKUP(I1347,CHOOSE({1,2},Table12[Native],Table12[Name]),2,0)</f>
        <v>Xīnzhōu Shì</v>
      </c>
      <c r="O1347" s="13" t="str">
        <f t="shared" si="42"/>
        <v>Yuanping Nongchang (Xīnzhōu Shì)</v>
      </c>
      <c r="P1347" s="13" t="str">
        <f t="shared" si="43"/>
        <v>Yuanping Nongchang (Xīnzhōu Shì)</v>
      </c>
    </row>
    <row r="1348" spans="1:16" hidden="1" x14ac:dyDescent="0.25">
      <c r="A1348" t="s">
        <v>2472</v>
      </c>
      <c r="B1348" t="str">
        <f>IF(COUNTIF(A:A,A1348)&gt;1,_xlfn.CONCAT(A1348," (",N1348,")"),A1348)</f>
        <v>Yuánpíng Shì Shíbàogōu Méikuàng Gōngkuàngqū [Yuanping City Shipinggou Coal Mine Industrial and Mining Area]</v>
      </c>
      <c r="C1348" t="str">
        <f>IF(COUNTIF(B:B,B1348)&gt;1,_xlfn.CONCAT(A1348," (",M1348,")"),B1348)</f>
        <v>Yuánpíng Shì Shíbàogōu Méikuàng Gōngkuàngqū [Yuanping City Shipinggou Coal Mine Industrial and Mining Area]</v>
      </c>
      <c r="D1348" t="s">
        <v>2473</v>
      </c>
      <c r="E1348" t="s">
        <v>35</v>
      </c>
      <c r="F1348" t="str">
        <f>_xlfn.CONCAT(D1348,", ",H1348,", ",I1348,", ","山西省")</f>
        <v>原平市石豹沟煤矿工矿区, 原平市, 忻州市, 山西省</v>
      </c>
      <c r="G1348">
        <v>2432</v>
      </c>
      <c r="H1348" t="s">
        <v>2995</v>
      </c>
      <c r="I1348" t="s">
        <v>2981</v>
      </c>
      <c r="J1348" t="e">
        <f>VLOOKUP(F1348,[1]!china_towns_second__2[[Column1]:[Y]],3,FALSE)</f>
        <v>#N/A</v>
      </c>
      <c r="K1348" t="e">
        <f>VLOOKUP(F1348,[1]!china_towns_second__2[[Column1]:[Y]],2,FALSE)</f>
        <v>#N/A</v>
      </c>
      <c r="L1348" t="s">
        <v>4919</v>
      </c>
      <c r="M1348" t="str">
        <f>VLOOKUP(H1348,CHOOSE({1,2},Table12[Native],Table12[Name]),2,0)</f>
        <v>Yuánpíng Shì</v>
      </c>
      <c r="N1348" s="13" t="str">
        <f>VLOOKUP(I1348,CHOOSE({1,2},Table12[Native],Table12[Name]),2,0)</f>
        <v>Xīnzhōu Shì</v>
      </c>
      <c r="O1348" s="13" t="str">
        <f t="shared" si="42"/>
        <v>Yuanping Shi Shibaogou Meikuang Gongkuangqu [Yuanping City Shipinggou Coal Mine Industrial and Mining Area] (Xīnzhōu Shì)</v>
      </c>
      <c r="P1348" s="13" t="str">
        <f t="shared" si="43"/>
        <v>Yuanping Shi Shibaogou Meikuang Gongkuangqu [Yuanping City Shipinggou Coal Mine Industrial and Mining Area] (Xīnzhōu Shì)</v>
      </c>
    </row>
    <row r="1349" spans="1:16" hidden="1" x14ac:dyDescent="0.25">
      <c r="A1349" t="s">
        <v>2094</v>
      </c>
      <c r="B1349" t="str">
        <f>IF(COUNTIF(A:A,A1349)&gt;1,_xlfn.CONCAT(A1349," (",N1349,")"),A1349)</f>
        <v>Yuánxiāng Xiāng</v>
      </c>
      <c r="C1349" t="str">
        <f>IF(COUNTIF(B:B,B1349)&gt;1,_xlfn.CONCAT(A1349," (",M1349,")"),B1349)</f>
        <v>Yuánxiāng Xiāng</v>
      </c>
      <c r="D1349" t="s">
        <v>2095</v>
      </c>
      <c r="E1349" t="s">
        <v>17</v>
      </c>
      <c r="F1349" t="str">
        <f>_xlfn.CONCAT(D1349,", ",H1349,", ",I1349,", ","山西省")</f>
        <v>原相乡, 古交市, 太原市, 山西省</v>
      </c>
      <c r="G1349">
        <v>3779</v>
      </c>
      <c r="H1349" t="s">
        <v>2970</v>
      </c>
      <c r="I1349" t="s">
        <v>2969</v>
      </c>
      <c r="J1349" t="e">
        <f>VLOOKUP(F1349,[1]!china_towns_second__2[[Column1]:[Y]],3,FALSE)</f>
        <v>#N/A</v>
      </c>
      <c r="K1349" t="e">
        <f>VLOOKUP(F1349,[1]!china_towns_second__2[[Column1]:[Y]],2,FALSE)</f>
        <v>#N/A</v>
      </c>
      <c r="L1349" t="s">
        <v>4920</v>
      </c>
      <c r="M1349" t="str">
        <f>VLOOKUP(H1349,CHOOSE({1,2},Table12[Native],Table12[Name]),2,0)</f>
        <v>Gŭjiāo Shì</v>
      </c>
      <c r="N1349" s="13" t="str">
        <f>VLOOKUP(I1349,CHOOSE({1,2},Table12[Native],Table12[Name]),2,0)</f>
        <v>Tàiyuán Shì</v>
      </c>
      <c r="O1349" s="13" t="str">
        <f t="shared" si="42"/>
        <v>Yuanxiang Xiang (Tàiyuán Shì)</v>
      </c>
      <c r="P1349" s="13" t="str">
        <f t="shared" si="43"/>
        <v>Yuanxiang Xiang (Tàiyuán Shì)</v>
      </c>
    </row>
    <row r="1350" spans="1:16" hidden="1" x14ac:dyDescent="0.25">
      <c r="A1350" t="s">
        <v>1710</v>
      </c>
      <c r="B1350" t="str">
        <f>IF(COUNTIF(A:A,A1350)&gt;1,_xlfn.CONCAT(A1350," (",N1350,")"),A1350)</f>
        <v>Yùdàohé Zhèn</v>
      </c>
      <c r="C1350" t="str">
        <f>IF(COUNTIF(B:B,B1350)&gt;1,_xlfn.CONCAT(A1350," (",M1350,")"),B1350)</f>
        <v>Yùdàohé Zhèn</v>
      </c>
      <c r="D1350" t="s">
        <v>1711</v>
      </c>
      <c r="E1350" t="s">
        <v>7</v>
      </c>
      <c r="F1350" t="str">
        <f>_xlfn.CONCAT(D1350,", ",H1350,", ",I1350,", ","山西省")</f>
        <v>峪道河镇, 汾阳市, 吕梁市, 山西省</v>
      </c>
      <c r="G1350">
        <v>20799</v>
      </c>
      <c r="H1350" t="s">
        <v>2948</v>
      </c>
      <c r="I1350" t="s">
        <v>2946</v>
      </c>
      <c r="J1350">
        <f>VLOOKUP(F1350,[1]!china_towns_second__2[[Column1]:[Y]],3,FALSE)</f>
        <v>37.403072903887299</v>
      </c>
      <c r="K1350">
        <f>VLOOKUP(F1350,[1]!china_towns_second__2[[Column1]:[Y]],2,FALSE)</f>
        <v>111.7196328</v>
      </c>
      <c r="L1350" t="s">
        <v>4921</v>
      </c>
      <c r="M1350" t="str">
        <f>VLOOKUP(H1350,CHOOSE({1,2},Table12[Native],Table12[Name]),2,0)</f>
        <v>Fényáng Shì</v>
      </c>
      <c r="N1350" s="13" t="str">
        <f>VLOOKUP(I1350,CHOOSE({1,2},Table12[Native],Table12[Name]),2,0)</f>
        <v>Lǚliáng Shì</v>
      </c>
      <c r="O1350" s="13" t="str">
        <f t="shared" si="42"/>
        <v>Yudaohe Zhen (Lǚliáng Shì)</v>
      </c>
      <c r="P1350" s="13" t="str">
        <f t="shared" si="43"/>
        <v>Yudaohe Zhen (Lǚliáng Shì)</v>
      </c>
    </row>
    <row r="1351" spans="1:16" hidden="1" x14ac:dyDescent="0.25">
      <c r="A1351" t="s">
        <v>2854</v>
      </c>
      <c r="B1351" t="str">
        <f>IF(COUNTIF(A:A,A1351)&gt;1,_xlfn.CONCAT(A1351," (",N1351,")"),A1351)</f>
        <v>Yŭdū Jīngjì Jìshù Kāifāqū [Yudu Economic and Technological Development Zone]</v>
      </c>
      <c r="C1351" t="str">
        <f>IF(COUNTIF(B:B,B1351)&gt;1,_xlfn.CONCAT(A1351," (",M1351,")"),B1351)</f>
        <v>Yŭdū Jīngjì Jìshù Kāifāqū [Yudu Economic and Technological Development Zone]</v>
      </c>
      <c r="D1351" t="s">
        <v>2855</v>
      </c>
      <c r="E1351" t="s">
        <v>35</v>
      </c>
      <c r="F1351" t="str">
        <f>_xlfn.CONCAT(D1351,", ",H1351,", ",I1351,", ","山西省")</f>
        <v>禹都经济技术开发区, 盐湖区, 运城市, 山西省</v>
      </c>
      <c r="G1351">
        <v>11297</v>
      </c>
      <c r="H1351" t="s">
        <v>3014</v>
      </c>
      <c r="I1351" t="s">
        <v>3003</v>
      </c>
      <c r="J1351">
        <f>VLOOKUP(F1351,[1]!china_towns_second__2[[Column1]:[Y]],3,FALSE)</f>
        <v>35.075098831623997</v>
      </c>
      <c r="K1351">
        <f>VLOOKUP(F1351,[1]!china_towns_second__2[[Column1]:[Y]],2,FALSE)</f>
        <v>111.02160859999999</v>
      </c>
      <c r="L1351" t="s">
        <v>4922</v>
      </c>
      <c r="M1351" t="str">
        <f>VLOOKUP(H1351,CHOOSE({1,2},Table12[Native],Table12[Name]),2,0)</f>
        <v>Yánhú Qū</v>
      </c>
      <c r="N1351" s="13" t="str">
        <f>VLOOKUP(I1351,CHOOSE({1,2},Table12[Native],Table12[Name]),2,0)</f>
        <v>Yùnchéng Shì</v>
      </c>
      <c r="O1351" s="13" t="str">
        <f t="shared" si="42"/>
        <v>Yudu Jingji Jishu Kaifaqu [Yudu Economic and Technological Development Zone] (Yùnchéng Shì)</v>
      </c>
      <c r="P1351" s="13" t="str">
        <f t="shared" si="43"/>
        <v>Yudu Jingji Jishu Kaifaqu [Yudu Economic and Technological Development Zone] (Yùnchéng Shì)</v>
      </c>
    </row>
    <row r="1352" spans="1:16" hidden="1" x14ac:dyDescent="0.25">
      <c r="A1352" t="s">
        <v>1042</v>
      </c>
      <c r="B1352" t="str">
        <f>IF(COUNTIF(A:A,A1352)&gt;1,_xlfn.CONCAT(A1352," (",N1352,")"),A1352)</f>
        <v>Yuèbì Xiāng</v>
      </c>
      <c r="C1352" t="str">
        <f>IF(COUNTIF(B:B,B1352)&gt;1,_xlfn.CONCAT(A1352," (",M1352,")"),B1352)</f>
        <v>Yuèbì Xiāng</v>
      </c>
      <c r="D1352" t="s">
        <v>1043</v>
      </c>
      <c r="E1352" t="s">
        <v>17</v>
      </c>
      <c r="F1352" t="str">
        <f>_xlfn.CONCAT(D1352,", ",H1352,", ",I1352,", ","山西省")</f>
        <v>岳壁乡, 平遥县, 晋中市, 山西省</v>
      </c>
      <c r="G1352">
        <v>49113</v>
      </c>
      <c r="H1352" t="s">
        <v>2918</v>
      </c>
      <c r="I1352" t="s">
        <v>2914</v>
      </c>
      <c r="J1352" t="e">
        <f>VLOOKUP(F1352,[1]!china_towns_second__2[[Column1]:[Y]],3,FALSE)</f>
        <v>#N/A</v>
      </c>
      <c r="K1352" t="e">
        <f>VLOOKUP(F1352,[1]!china_towns_second__2[[Column1]:[Y]],2,FALSE)</f>
        <v>#N/A</v>
      </c>
      <c r="L1352" t="s">
        <v>4923</v>
      </c>
      <c r="M1352" t="str">
        <f>VLOOKUP(H1352,CHOOSE({1,2},Table12[Native],Table12[Name]),2,0)</f>
        <v>Píngyáo Xiàn</v>
      </c>
      <c r="N1352" s="13" t="str">
        <f>VLOOKUP(I1352,CHOOSE({1,2},Table12[Native],Table12[Name]),2,0)</f>
        <v>Jìnzhōng Shì</v>
      </c>
      <c r="O1352" s="13" t="str">
        <f t="shared" si="42"/>
        <v>Yuebi Xiang (Jìnzhōng Shì)</v>
      </c>
      <c r="P1352" s="13" t="str">
        <f t="shared" si="43"/>
        <v>Yuebi Xiang (Jìnzhōng Shì)</v>
      </c>
    </row>
    <row r="1353" spans="1:16" hidden="1" x14ac:dyDescent="0.25">
      <c r="A1353" t="s">
        <v>1383</v>
      </c>
      <c r="B1353" t="str">
        <f>IF(COUNTIF(A:A,A1353)&gt;1,_xlfn.CONCAT(A1353," (",N1353,")"),A1353)</f>
        <v>Yuèyáng Zhèn</v>
      </c>
      <c r="C1353" t="str">
        <f>IF(COUNTIF(B:B,B1353)&gt;1,_xlfn.CONCAT(A1353," (",M1353,")"),B1353)</f>
        <v>Yuèyáng Zhèn</v>
      </c>
      <c r="D1353" t="s">
        <v>1384</v>
      </c>
      <c r="E1353" t="s">
        <v>7</v>
      </c>
      <c r="F1353" t="str">
        <f>_xlfn.CONCAT(D1353,", ",H1353,", ",I1353,", ","山西省")</f>
        <v>岳阳镇, 古县, 临汾市, 山西省</v>
      </c>
      <c r="G1353">
        <v>35259</v>
      </c>
      <c r="H1353" t="s">
        <v>2932</v>
      </c>
      <c r="I1353" t="s">
        <v>2927</v>
      </c>
      <c r="J1353">
        <f>VLOOKUP(F1353,[1]!china_towns_second__2[[Column1]:[Y]],3,FALSE)</f>
        <v>36.3211030051935</v>
      </c>
      <c r="K1353">
        <f>VLOOKUP(F1353,[1]!china_towns_second__2[[Column1]:[Y]],2,FALSE)</f>
        <v>111.94028950000001</v>
      </c>
      <c r="L1353" t="s">
        <v>4924</v>
      </c>
      <c r="M1353" t="str">
        <f>VLOOKUP(H1353,CHOOSE({1,2},Table12[Native],Table12[Name]),2,0)</f>
        <v>Gŭ Xiàn</v>
      </c>
      <c r="N1353" s="13" t="str">
        <f>VLOOKUP(I1353,CHOOSE({1,2},Table12[Native],Table12[Name]),2,0)</f>
        <v>Línfén Shì</v>
      </c>
      <c r="O1353" s="13" t="str">
        <f t="shared" si="42"/>
        <v>Yueyang Zhen (Línfén Shì)</v>
      </c>
      <c r="P1353" s="13" t="str">
        <f t="shared" si="43"/>
        <v>Yueyang Zhen (Línfén Shì)</v>
      </c>
    </row>
    <row r="1354" spans="1:16" hidden="1" x14ac:dyDescent="0.25">
      <c r="A1354" t="s">
        <v>1712</v>
      </c>
      <c r="B1354" t="str">
        <f>IF(COUNTIF(A:A,A1354)&gt;1,_xlfn.CONCAT(A1354," (",N1354,")"),A1354)</f>
        <v>Yùfén Zhèn</v>
      </c>
      <c r="C1354" t="str">
        <f>IF(COUNTIF(B:B,B1354)&gt;1,_xlfn.CONCAT(A1354," (",M1354,")"),B1354)</f>
        <v>Yùfén Zhèn</v>
      </c>
      <c r="D1354" t="s">
        <v>1713</v>
      </c>
      <c r="E1354" t="s">
        <v>7</v>
      </c>
      <c r="F1354" t="str">
        <f>_xlfn.CONCAT(D1354,", ",H1354,", ",I1354,", ","山西省")</f>
        <v>蔚汾镇, 兴县, 吕梁市, 山西省</v>
      </c>
      <c r="G1354">
        <v>100615</v>
      </c>
      <c r="H1354" t="s">
        <v>2958</v>
      </c>
      <c r="I1354" t="s">
        <v>2946</v>
      </c>
      <c r="J1354">
        <f>VLOOKUP(F1354,[1]!china_towns_second__2[[Column1]:[Y]],3,FALSE)</f>
        <v>38.433118019164198</v>
      </c>
      <c r="K1354">
        <f>VLOOKUP(F1354,[1]!china_towns_second__2[[Column1]:[Y]],2,FALSE)</f>
        <v>111.1649547</v>
      </c>
      <c r="L1354" t="s">
        <v>4925</v>
      </c>
      <c r="M1354" t="str">
        <f>VLOOKUP(H1354,CHOOSE({1,2},Table12[Native],Table12[Name]),2,0)</f>
        <v>Xīng Xiàn</v>
      </c>
      <c r="N1354" s="13" t="str">
        <f>VLOOKUP(I1354,CHOOSE({1,2},Table12[Native],Table12[Name]),2,0)</f>
        <v>Lǚliáng Shì</v>
      </c>
      <c r="O1354" s="13" t="str">
        <f t="shared" si="42"/>
        <v>Yufen Zhen (Lǚliáng Shì)</v>
      </c>
      <c r="P1354" s="13" t="str">
        <f t="shared" si="43"/>
        <v>Yufen Zhen (Lǚliáng Shì)</v>
      </c>
    </row>
    <row r="1355" spans="1:16" hidden="1" x14ac:dyDescent="0.25">
      <c r="A1355" t="s">
        <v>1864</v>
      </c>
      <c r="B1355" t="str">
        <f>IF(COUNTIF(A:A,A1355)&gt;1,_xlfn.CONCAT(A1355," (",N1355,")"),A1355)</f>
        <v>Yùjĭng Zhèn</v>
      </c>
      <c r="C1355" t="str">
        <f>IF(COUNTIF(B:B,B1355)&gt;1,_xlfn.CONCAT(A1355," (",M1355,")"),B1355)</f>
        <v>Yùjĭng Zhèn</v>
      </c>
      <c r="D1355" t="s">
        <v>1865</v>
      </c>
      <c r="E1355" t="s">
        <v>7</v>
      </c>
      <c r="F1355" t="str">
        <f>_xlfn.CONCAT(D1355,", ",H1355,", ",I1355,", ","山西省")</f>
        <v>玉井镇, 山阴县, 朔州市, 山西省</v>
      </c>
      <c r="G1355">
        <v>11863</v>
      </c>
      <c r="H1355" t="s">
        <v>2964</v>
      </c>
      <c r="I1355" t="s">
        <v>2961</v>
      </c>
      <c r="J1355">
        <f>VLOOKUP(F1355,[1]!china_towns_second__2[[Column1]:[Y]],3,FALSE)</f>
        <v>39.672434971142799</v>
      </c>
      <c r="K1355">
        <f>VLOOKUP(F1355,[1]!china_towns_second__2[[Column1]:[Y]],2,FALSE)</f>
        <v>112.5869136</v>
      </c>
      <c r="L1355" t="s">
        <v>4926</v>
      </c>
      <c r="M1355" t="str">
        <f>VLOOKUP(H1355,CHOOSE({1,2},Table12[Native],Table12[Name]),2,0)</f>
        <v>Shānyīn Xiàn</v>
      </c>
      <c r="N1355" s="13" t="str">
        <f>VLOOKUP(I1355,CHOOSE({1,2},Table12[Native],Table12[Name]),2,0)</f>
        <v>Shuòzhōu Shì</v>
      </c>
      <c r="O1355" s="13" t="str">
        <f t="shared" si="42"/>
        <v>Yujing Zhen (Shuòzhōu Shì)</v>
      </c>
      <c r="P1355" s="13" t="str">
        <f t="shared" si="43"/>
        <v>Yujing Zhen (Shuòzhōu Shì)</v>
      </c>
    </row>
    <row r="1356" spans="1:16" hidden="1" x14ac:dyDescent="0.25">
      <c r="A1356" t="s">
        <v>1044</v>
      </c>
      <c r="B1356" t="str">
        <f>IF(COUNTIF(A:A,A1356)&gt;1,_xlfn.CONCAT(A1356," (",N1356,")"),A1356)</f>
        <v>Yùkŏu Xiāng (Jìnzhōng Shì)</v>
      </c>
      <c r="C1356" t="str">
        <f>IF(COUNTIF(B:B,B1356)&gt;1,_xlfn.CONCAT(A1356," (",M1356,")"),B1356)</f>
        <v>Yùkŏu Xiāng (Jìnzhōng Shì)</v>
      </c>
      <c r="D1356" t="s">
        <v>1045</v>
      </c>
      <c r="E1356" t="s">
        <v>17</v>
      </c>
      <c r="F1356" t="str">
        <f>_xlfn.CONCAT(D1356,", ",H1356,", ",I1356,", ","山西省")</f>
        <v>峪口乡, 祁县, 晋中市, 山西省</v>
      </c>
      <c r="G1356">
        <v>9311</v>
      </c>
      <c r="H1356" t="s">
        <v>2919</v>
      </c>
      <c r="I1356" t="s">
        <v>2914</v>
      </c>
      <c r="J1356" t="e">
        <f>VLOOKUP(F1356,[1]!china_towns_second__2[[Column1]:[Y]],3,FALSE)</f>
        <v>#N/A</v>
      </c>
      <c r="K1356" t="e">
        <f>VLOOKUP(F1356,[1]!china_towns_second__2[[Column1]:[Y]],2,FALSE)</f>
        <v>#N/A</v>
      </c>
      <c r="L1356" t="s">
        <v>4927</v>
      </c>
      <c r="M1356" t="str">
        <f>VLOOKUP(H1356,CHOOSE({1,2},Table12[Native],Table12[Name]),2,0)</f>
        <v>Qí Xiàn</v>
      </c>
      <c r="N1356" s="13" t="str">
        <f>VLOOKUP(I1356,CHOOSE({1,2},Table12[Native],Table12[Name]),2,0)</f>
        <v>Jìnzhōng Shì</v>
      </c>
      <c r="O1356" s="13" t="str">
        <f t="shared" si="42"/>
        <v>Yukou Xiang (Jinzhong Shi) (Jìnzhōng Shì)</v>
      </c>
      <c r="P1356" s="13" t="str">
        <f t="shared" si="43"/>
        <v>Yukou Xiang (Jinzhong Shi) (Jìnzhōng Shì)</v>
      </c>
    </row>
    <row r="1357" spans="1:16" hidden="1" x14ac:dyDescent="0.25">
      <c r="A1357" t="s">
        <v>1044</v>
      </c>
      <c r="B1357" t="str">
        <f>IF(COUNTIF(A:A,A1357)&gt;1,_xlfn.CONCAT(A1357," (",N1357,")"),A1357)</f>
        <v>Yùkŏu Xiāng (Xīnzhōu Shì)</v>
      </c>
      <c r="C1357" t="str">
        <f>IF(COUNTIF(B:B,B1357)&gt;1,_xlfn.CONCAT(A1357," (",M1357,")"),B1357)</f>
        <v>Yùkŏu Xiāng (Xīnzhōu Shì)</v>
      </c>
      <c r="D1357" t="s">
        <v>1045</v>
      </c>
      <c r="E1357" t="s">
        <v>17</v>
      </c>
      <c r="F1357" t="str">
        <f>_xlfn.CONCAT(D1357,", ",H1357,", ",I1357,", ","山西省")</f>
        <v>峪口乡, 代县, 忻州市, 山西省</v>
      </c>
      <c r="G1357">
        <v>17997</v>
      </c>
      <c r="H1357" t="s">
        <v>2983</v>
      </c>
      <c r="I1357" t="s">
        <v>2981</v>
      </c>
      <c r="J1357" t="e">
        <f>VLOOKUP(F1357,[1]!china_towns_second__2[[Column1]:[Y]],3,FALSE)</f>
        <v>#N/A</v>
      </c>
      <c r="K1357" t="e">
        <f>VLOOKUP(F1357,[1]!china_towns_second__2[[Column1]:[Y]],2,FALSE)</f>
        <v>#N/A</v>
      </c>
      <c r="L1357" t="s">
        <v>4928</v>
      </c>
      <c r="M1357" t="str">
        <f>VLOOKUP(H1357,CHOOSE({1,2},Table12[Native],Table12[Name]),2,0)</f>
        <v>Dài Xiàn</v>
      </c>
      <c r="N1357" s="13" t="str">
        <f>VLOOKUP(I1357,CHOOSE({1,2},Table12[Native],Table12[Name]),2,0)</f>
        <v>Xīnzhōu Shì</v>
      </c>
      <c r="O1357" s="13" t="str">
        <f t="shared" si="42"/>
        <v>Yukou Xiang (Xinzhou Shi) (Xīnzhōu Shì)</v>
      </c>
      <c r="P1357" s="13" t="str">
        <f t="shared" si="43"/>
        <v>Yukou Xiang (Xinzhou Shi) (Xīnzhōu Shì)</v>
      </c>
    </row>
    <row r="1358" spans="1:16" hidden="1" x14ac:dyDescent="0.25">
      <c r="A1358" t="s">
        <v>1714</v>
      </c>
      <c r="B1358" t="str">
        <f>IF(COUNTIF(A:A,A1358)&gt;1,_xlfn.CONCAT(A1358," (",N1358,")"),A1358)</f>
        <v>Yùkŏu Zhèn</v>
      </c>
      <c r="C1358" t="str">
        <f>IF(COUNTIF(B:B,B1358)&gt;1,_xlfn.CONCAT(A1358," (",M1358,")"),B1358)</f>
        <v>Yùkŏu Zhèn</v>
      </c>
      <c r="D1358" t="s">
        <v>1715</v>
      </c>
      <c r="E1358" t="s">
        <v>7</v>
      </c>
      <c r="F1358" t="str">
        <f>_xlfn.CONCAT(D1358,", ",H1358,", ",I1358,", ","山西省")</f>
        <v>峪口镇, 方山县, 吕梁市, 山西省</v>
      </c>
      <c r="G1358">
        <v>25530</v>
      </c>
      <c r="H1358" t="s">
        <v>2947</v>
      </c>
      <c r="I1358" t="s">
        <v>2946</v>
      </c>
      <c r="J1358">
        <f>VLOOKUP(F1358,[1]!china_towns_second__2[[Column1]:[Y]],3,FALSE)</f>
        <v>37.771037022604702</v>
      </c>
      <c r="K1358">
        <f>VLOOKUP(F1358,[1]!china_towns_second__2[[Column1]:[Y]],2,FALSE)</f>
        <v>111.21165360000001</v>
      </c>
      <c r="L1358" t="s">
        <v>4929</v>
      </c>
      <c r="M1358" t="str">
        <f>VLOOKUP(H1358,CHOOSE({1,2},Table12[Native],Table12[Name]),2,0)</f>
        <v>Fāngshān Xiàn</v>
      </c>
      <c r="N1358" s="13" t="str">
        <f>VLOOKUP(I1358,CHOOSE({1,2},Table12[Native],Table12[Name]),2,0)</f>
        <v>Lǚliáng Shì</v>
      </c>
      <c r="O1358" s="13" t="str">
        <f t="shared" si="42"/>
        <v>Yukou Zhen (Lǚliáng Shì)</v>
      </c>
      <c r="P1358" s="13" t="str">
        <f t="shared" si="43"/>
        <v>Yukou Zhen (Lǚliáng Shì)</v>
      </c>
    </row>
    <row r="1359" spans="1:16" hidden="1" x14ac:dyDescent="0.25">
      <c r="A1359" t="s">
        <v>1866</v>
      </c>
      <c r="B1359" t="str">
        <f>IF(COUNTIF(A:A,A1359)&gt;1,_xlfn.CONCAT(A1359," (",N1359,")"),A1359)</f>
        <v>Yúlĭng Xiāng</v>
      </c>
      <c r="C1359" t="str">
        <f>IF(COUNTIF(B:B,B1359)&gt;1,_xlfn.CONCAT(A1359," (",M1359,")"),B1359)</f>
        <v>Yúlĭng Xiāng</v>
      </c>
      <c r="D1359" t="s">
        <v>1867</v>
      </c>
      <c r="E1359" t="s">
        <v>17</v>
      </c>
      <c r="F1359" t="str">
        <f>_xlfn.CONCAT(D1359,", ",H1359,", ",I1359,", ","山西省")</f>
        <v>榆岭乡, 平鲁区, 朔州市, 山西省</v>
      </c>
      <c r="G1359">
        <v>9925</v>
      </c>
      <c r="H1359" t="s">
        <v>2963</v>
      </c>
      <c r="I1359" t="s">
        <v>2961</v>
      </c>
      <c r="J1359" t="e">
        <f>VLOOKUP(F1359,[1]!china_towns_second__2[[Column1]:[Y]],3,FALSE)</f>
        <v>#N/A</v>
      </c>
      <c r="K1359" t="e">
        <f>VLOOKUP(F1359,[1]!china_towns_second__2[[Column1]:[Y]],2,FALSE)</f>
        <v>#N/A</v>
      </c>
      <c r="L1359" t="s">
        <v>4930</v>
      </c>
      <c r="M1359" t="str">
        <f>VLOOKUP(H1359,CHOOSE({1,2},Table12[Native],Table12[Name]),2,0)</f>
        <v>Pínglŭ Qū</v>
      </c>
      <c r="N1359" s="13" t="str">
        <f>VLOOKUP(I1359,CHOOSE({1,2},Table12[Native],Table12[Name]),2,0)</f>
        <v>Shuòzhōu Shì</v>
      </c>
      <c r="O1359" s="13" t="str">
        <f t="shared" si="42"/>
        <v>Yuling Xiang (Shuòzhōu Shì)</v>
      </c>
      <c r="P1359" s="13" t="str">
        <f t="shared" si="43"/>
        <v>Yuling Xiang (Shuòzhōu Shì)</v>
      </c>
    </row>
    <row r="1360" spans="1:16" hidden="1" x14ac:dyDescent="0.25">
      <c r="A1360" t="s">
        <v>2856</v>
      </c>
      <c r="B1360" t="str">
        <f>IF(COUNTIF(A:A,A1360)&gt;1,_xlfn.CONCAT(A1360," (",N1360,")"),A1360)</f>
        <v>Yùnchéng Kōnggǎng Jīngjì Kāifāqū [Yuncheng Airport Economic Development Zone]</v>
      </c>
      <c r="C1360" t="str">
        <f>IF(COUNTIF(B:B,B1360)&gt;1,_xlfn.CONCAT(A1360," (",M1360,")"),B1360)</f>
        <v>Yùnchéng Kōnggǎng Jīngjì Kāifāqū [Yuncheng Airport Economic Development Zone]</v>
      </c>
      <c r="D1360" t="s">
        <v>2857</v>
      </c>
      <c r="E1360" t="s">
        <v>35</v>
      </c>
      <c r="F1360" t="str">
        <f>_xlfn.CONCAT(D1360,", ",H1360,", ",I1360,", ","山西省")</f>
        <v>山西运城经济开发区, 盐湖区, 运城市, 山西省</v>
      </c>
      <c r="G1360">
        <v>17309</v>
      </c>
      <c r="H1360" t="s">
        <v>3014</v>
      </c>
      <c r="I1360" t="s">
        <v>3003</v>
      </c>
      <c r="J1360" t="e">
        <f>VLOOKUP(F1360,[1]!china_towns_second__2[[Column1]:[Y]],3,FALSE)</f>
        <v>#N/A</v>
      </c>
      <c r="K1360" t="e">
        <f>VLOOKUP(F1360,[1]!china_towns_second__2[[Column1]:[Y]],2,FALSE)</f>
        <v>#N/A</v>
      </c>
      <c r="L1360" t="s">
        <v>4931</v>
      </c>
      <c r="M1360" t="str">
        <f>VLOOKUP(H1360,CHOOSE({1,2},Table12[Native],Table12[Name]),2,0)</f>
        <v>Yánhú Qū</v>
      </c>
      <c r="N1360" s="13" t="str">
        <f>VLOOKUP(I1360,CHOOSE({1,2},Table12[Native],Table12[Name]),2,0)</f>
        <v>Yùnchéng Shì</v>
      </c>
      <c r="O1360" s="13" t="str">
        <f t="shared" si="42"/>
        <v>Yuncheng Konggang Jingji Kaifaqu [Yuncheng Airport Economic Development Zone] (Yùnchéng Shì)</v>
      </c>
      <c r="P1360" s="13" t="str">
        <f t="shared" si="43"/>
        <v>Yuncheng Konggang Jingji Kaifaqu [Yuncheng Airport Economic Development Zone] (Yùnchéng Shì)</v>
      </c>
    </row>
    <row r="1361" spans="1:16" hidden="1" x14ac:dyDescent="0.25">
      <c r="A1361" t="s">
        <v>1046</v>
      </c>
      <c r="B1361" t="str">
        <f>IF(COUNTIF(A:A,A1361)&gt;1,_xlfn.CONCAT(A1361," (",N1361,")"),A1361)</f>
        <v>Yúncù Zhèn</v>
      </c>
      <c r="C1361" t="str">
        <f>IF(COUNTIF(B:B,B1361)&gt;1,_xlfn.CONCAT(A1361," (",M1361,")"),B1361)</f>
        <v>Yúncù Zhèn</v>
      </c>
      <c r="D1361" t="s">
        <v>1047</v>
      </c>
      <c r="E1361" t="s">
        <v>7</v>
      </c>
      <c r="F1361" t="str">
        <f>_xlfn.CONCAT(D1361,", ",H1361,", ",I1361,", ","山西省")</f>
        <v>云簇镇, 榆社县, 晋中市, 山西省</v>
      </c>
      <c r="G1361">
        <v>16153</v>
      </c>
      <c r="H1361" t="s">
        <v>2924</v>
      </c>
      <c r="I1361" t="s">
        <v>2914</v>
      </c>
      <c r="J1361">
        <f>VLOOKUP(F1361,[1]!china_towns_second__2[[Column1]:[Y]],3,FALSE)</f>
        <v>37.037911862262298</v>
      </c>
      <c r="K1361">
        <f>VLOOKUP(F1361,[1]!china_towns_second__2[[Column1]:[Y]],2,FALSE)</f>
        <v>112.8504071</v>
      </c>
      <c r="L1361" t="s">
        <v>4932</v>
      </c>
      <c r="M1361" t="str">
        <f>VLOOKUP(H1361,CHOOSE({1,2},Table12[Native],Table12[Name]),2,0)</f>
        <v>Yúshè Xiàn</v>
      </c>
      <c r="N1361" s="13" t="str">
        <f>VLOOKUP(I1361,CHOOSE({1,2},Table12[Native],Table12[Name]),2,0)</f>
        <v>Jìnzhōng Shì</v>
      </c>
      <c r="O1361" s="13" t="str">
        <f t="shared" si="42"/>
        <v>Yuncu Zhen (Jìnzhōng Shì)</v>
      </c>
      <c r="P1361" s="13" t="str">
        <f t="shared" si="43"/>
        <v>Yuncu Zhen (Jìnzhōng Shì)</v>
      </c>
    </row>
    <row r="1362" spans="1:16" hidden="1" x14ac:dyDescent="0.25">
      <c r="A1362" t="s">
        <v>595</v>
      </c>
      <c r="B1362" t="str">
        <f>IF(COUNTIF(A:A,A1362)&gt;1,_xlfn.CONCAT(A1362," (",N1362,")"),A1362)</f>
        <v>Yúngāng Zhèn</v>
      </c>
      <c r="C1362" t="str">
        <f>IF(COUNTIF(B:B,B1362)&gt;1,_xlfn.CONCAT(A1362," (",M1362,")"),B1362)</f>
        <v>Yúngāng Zhèn</v>
      </c>
      <c r="D1362" t="s">
        <v>596</v>
      </c>
      <c r="E1362" t="s">
        <v>7</v>
      </c>
      <c r="F1362" t="str">
        <f>_xlfn.CONCAT(D1362,", ",H1362,", ",I1362,", ","山西省")</f>
        <v>云冈镇, 云冈区, 大同市, 山西省</v>
      </c>
      <c r="G1362">
        <v>19766</v>
      </c>
      <c r="H1362" t="s">
        <v>2902</v>
      </c>
      <c r="I1362" t="s">
        <v>2894</v>
      </c>
      <c r="J1362">
        <f>VLOOKUP(F1362,[1]!china_towns_second__2[[Column1]:[Y]],3,FALSE)</f>
        <v>40.112765256122898</v>
      </c>
      <c r="K1362">
        <f>VLOOKUP(F1362,[1]!china_towns_second__2[[Column1]:[Y]],2,FALSE)</f>
        <v>113.1247039</v>
      </c>
      <c r="L1362" t="s">
        <v>4933</v>
      </c>
      <c r="M1362" t="str">
        <f>VLOOKUP(H1362,CHOOSE({1,2},Table12[Native],Table12[Name]),2,0)</f>
        <v>Yúngāng Qū</v>
      </c>
      <c r="N1362" s="13" t="str">
        <f>VLOOKUP(I1362,CHOOSE({1,2},Table12[Native],Table12[Name]),2,0)</f>
        <v>Dàtóng Shì</v>
      </c>
      <c r="O1362" s="13" t="str">
        <f t="shared" si="42"/>
        <v>Yungang Zhen (Dàtóng Shì)</v>
      </c>
      <c r="P1362" s="13" t="str">
        <f t="shared" si="43"/>
        <v>Yungang Zhen (Dàtóng Shì)</v>
      </c>
    </row>
    <row r="1363" spans="1:16" hidden="1" x14ac:dyDescent="0.25">
      <c r="A1363" t="s">
        <v>597</v>
      </c>
      <c r="B1363" t="str">
        <f>IF(COUNTIF(A:A,A1363)&gt;1,_xlfn.CONCAT(A1363," (",N1363,")"),A1363)</f>
        <v>Yúnxīng Zhèn</v>
      </c>
      <c r="C1363" t="str">
        <f>IF(COUNTIF(B:B,B1363)&gt;1,_xlfn.CONCAT(A1363," (",M1363,")"),B1363)</f>
        <v>Yúnxīng Zhèn</v>
      </c>
      <c r="D1363" t="s">
        <v>598</v>
      </c>
      <c r="E1363" t="s">
        <v>7</v>
      </c>
      <c r="F1363" t="str">
        <f>_xlfn.CONCAT(D1363,", ",H1363,", ",I1363,", ","山西省")</f>
        <v>云兴镇, 左云县, 大同市, 山西省</v>
      </c>
      <c r="G1363">
        <v>73410</v>
      </c>
      <c r="H1363" t="s">
        <v>2904</v>
      </c>
      <c r="I1363" t="s">
        <v>2894</v>
      </c>
      <c r="J1363">
        <f>VLOOKUP(F1363,[1]!china_towns_second__2[[Column1]:[Y]],3,FALSE)</f>
        <v>39.985994063810999</v>
      </c>
      <c r="K1363">
        <f>VLOOKUP(F1363,[1]!china_towns_second__2[[Column1]:[Y]],2,FALSE)</f>
        <v>112.6860077</v>
      </c>
      <c r="L1363" t="s">
        <v>4934</v>
      </c>
      <c r="M1363" t="str">
        <f>VLOOKUP(H1363,CHOOSE({1,2},Table12[Native],Table12[Name]),2,0)</f>
        <v>Zuǒyún Xiàn</v>
      </c>
      <c r="N1363" s="13" t="str">
        <f>VLOOKUP(I1363,CHOOSE({1,2},Table12[Native],Table12[Name]),2,0)</f>
        <v>Dàtóng Shì</v>
      </c>
      <c r="O1363" s="13" t="str">
        <f t="shared" si="42"/>
        <v>Yunxing Zhen (Dàtóng Shì)</v>
      </c>
      <c r="P1363" s="13" t="str">
        <f t="shared" si="43"/>
        <v>Yunxing Zhen (Dàtóng Shì)</v>
      </c>
    </row>
    <row r="1364" spans="1:16" hidden="1" x14ac:dyDescent="0.25">
      <c r="A1364" t="s">
        <v>1868</v>
      </c>
      <c r="B1364" t="str">
        <f>IF(COUNTIF(A:A,A1364)&gt;1,_xlfn.CONCAT(A1364," (",N1364,")"),A1364)</f>
        <v>Yúnzhōng Zhèn</v>
      </c>
      <c r="C1364" t="str">
        <f>IF(COUNTIF(B:B,B1364)&gt;1,_xlfn.CONCAT(A1364," (",M1364,")"),B1364)</f>
        <v>Yúnzhōng Zhèn</v>
      </c>
      <c r="D1364" t="s">
        <v>1869</v>
      </c>
      <c r="E1364" t="s">
        <v>7</v>
      </c>
      <c r="F1364" t="str">
        <f>_xlfn.CONCAT(D1364,", ",H1364,", ",I1364,", ","山西省")</f>
        <v>云中镇, 怀仁市, 朔州市, 山西省</v>
      </c>
      <c r="G1364">
        <v>169481</v>
      </c>
      <c r="H1364" t="s">
        <v>2962</v>
      </c>
      <c r="I1364" t="s">
        <v>2961</v>
      </c>
      <c r="J1364">
        <f>VLOOKUP(F1364,[1]!china_towns_second__2[[Column1]:[Y]],3,FALSE)</f>
        <v>39.864607326447398</v>
      </c>
      <c r="K1364">
        <f>VLOOKUP(F1364,[1]!china_towns_second__2[[Column1]:[Y]],2,FALSE)</f>
        <v>113.0565814</v>
      </c>
      <c r="L1364" t="s">
        <v>4935</v>
      </c>
      <c r="M1364" t="str">
        <f>VLOOKUP(H1364,CHOOSE({1,2},Table12[Native],Table12[Name]),2,0)</f>
        <v>Huáirén Shì</v>
      </c>
      <c r="N1364" s="13" t="str">
        <f>VLOOKUP(I1364,CHOOSE({1,2},Table12[Native],Table12[Name]),2,0)</f>
        <v>Shuòzhōu Shì</v>
      </c>
      <c r="O1364" s="13" t="str">
        <f t="shared" si="42"/>
        <v>Yunzhong Zhen (Shuòzhōu Shì)</v>
      </c>
      <c r="P1364" s="13" t="str">
        <f t="shared" si="43"/>
        <v>Yunzhong Zhen (Shuòzhōu Shì)</v>
      </c>
    </row>
    <row r="1365" spans="1:16" hidden="1" x14ac:dyDescent="0.25">
      <c r="A1365" t="s">
        <v>2474</v>
      </c>
      <c r="B1365" t="str">
        <f>IF(COUNTIF(A:A,A1365)&gt;1,_xlfn.CONCAT(A1365," (",N1365,")"),A1365)</f>
        <v>Yúnzhōnglù Jiēdào [Bōmíng Zhèn]</v>
      </c>
      <c r="C1365" t="str">
        <f>IF(COUNTIF(B:B,B1365)&gt;1,_xlfn.CONCAT(A1365," (",M1365,")"),B1365)</f>
        <v>Yúnzhōnglù Jiēdào [Bōmíng Zhèn]</v>
      </c>
      <c r="D1365" t="s">
        <v>2475</v>
      </c>
      <c r="E1365" t="s">
        <v>31</v>
      </c>
      <c r="F1365" t="str">
        <f>_xlfn.CONCAT(D1365,", ",H1365,", ",I1365,", ","山西省")</f>
        <v>云中路街道, 忻府区, 忻州市, 山西省</v>
      </c>
      <c r="G1365">
        <v>35870</v>
      </c>
      <c r="H1365" t="s">
        <v>2994</v>
      </c>
      <c r="I1365" t="s">
        <v>2981</v>
      </c>
      <c r="J1365" t="e">
        <f>VLOOKUP(F1365,[1]!china_towns_second__2[[Column1]:[Y]],3,FALSE)</f>
        <v>#N/A</v>
      </c>
      <c r="K1365" t="e">
        <f>VLOOKUP(F1365,[1]!china_towns_second__2[[Column1]:[Y]],2,FALSE)</f>
        <v>#N/A</v>
      </c>
      <c r="L1365" t="s">
        <v>4936</v>
      </c>
      <c r="M1365" t="str">
        <f>VLOOKUP(H1365,CHOOSE({1,2},Table12[Native],Table12[Name]),2,0)</f>
        <v>Xīnfŭ Qū</v>
      </c>
      <c r="N1365" s="13" t="str">
        <f>VLOOKUP(I1365,CHOOSE({1,2},Table12[Native],Table12[Name]),2,0)</f>
        <v>Xīnzhōu Shì</v>
      </c>
      <c r="O1365" s="13" t="str">
        <f t="shared" si="42"/>
        <v>Yunzhonglu Jiedao [Boming Zhen] (Xīnzhōu Shì)</v>
      </c>
      <c r="P1365" s="13" t="str">
        <f t="shared" si="43"/>
        <v>Yunzhonglu Jiedao [Boming Zhen] (Xīnzhōu Shì)</v>
      </c>
    </row>
    <row r="1366" spans="1:16" hidden="1" x14ac:dyDescent="0.25">
      <c r="A1366" t="s">
        <v>1716</v>
      </c>
      <c r="B1366" t="str">
        <f>IF(COUNTIF(A:A,A1366)&gt;1,_xlfn.CONCAT(A1366," (",N1366,")"),A1366)</f>
        <v>Yùpíng Xiāng</v>
      </c>
      <c r="C1366" t="str">
        <f>IF(COUNTIF(B:B,B1366)&gt;1,_xlfn.CONCAT(A1366," (",M1366,")"),B1366)</f>
        <v>Yùpíng Xiāng</v>
      </c>
      <c r="D1366" t="s">
        <v>1717</v>
      </c>
      <c r="E1366" t="s">
        <v>17</v>
      </c>
      <c r="F1366" t="str">
        <f>_xlfn.CONCAT(D1366,", ",H1366,", ",I1366,", ","山西省")</f>
        <v>玉坪乡, 临县, 吕梁市, 山西省</v>
      </c>
      <c r="G1366">
        <v>17670</v>
      </c>
      <c r="H1366" t="s">
        <v>2952</v>
      </c>
      <c r="I1366" t="s">
        <v>2946</v>
      </c>
      <c r="J1366" t="e">
        <f>VLOOKUP(F1366,[1]!china_towns_second__2[[Column1]:[Y]],3,FALSE)</f>
        <v>#N/A</v>
      </c>
      <c r="K1366" t="e">
        <f>VLOOKUP(F1366,[1]!china_towns_second__2[[Column1]:[Y]],2,FALSE)</f>
        <v>#N/A</v>
      </c>
      <c r="L1366" t="s">
        <v>4937</v>
      </c>
      <c r="M1366" t="str">
        <f>VLOOKUP(H1366,CHOOSE({1,2},Table12[Native],Table12[Name]),2,0)</f>
        <v>Lín Xiàn</v>
      </c>
      <c r="N1366" s="13" t="str">
        <f>VLOOKUP(I1366,CHOOSE({1,2},Table12[Native],Table12[Name]),2,0)</f>
        <v>Lǚliáng Shì</v>
      </c>
      <c r="O1366" s="13" t="str">
        <f t="shared" si="42"/>
        <v>Yuping Xiang (Lǚliáng Shì)</v>
      </c>
      <c r="P1366" s="13" t="str">
        <f t="shared" si="43"/>
        <v>Yuping Xiang (Lǚliáng Shì)</v>
      </c>
    </row>
    <row r="1367" spans="1:16" hidden="1" x14ac:dyDescent="0.25">
      <c r="A1367" t="s">
        <v>599</v>
      </c>
      <c r="B1367" t="str">
        <f>IF(COUNTIF(A:A,A1367)&gt;1,_xlfn.CONCAT(A1367," (",N1367,")"),A1367)</f>
        <v>Yùquán Zhèn</v>
      </c>
      <c r="C1367" t="str">
        <f>IF(COUNTIF(B:B,B1367)&gt;1,_xlfn.CONCAT(A1367," (",M1367,")"),B1367)</f>
        <v>Yùquán Zhèn</v>
      </c>
      <c r="D1367" t="s">
        <v>600</v>
      </c>
      <c r="E1367" t="s">
        <v>7</v>
      </c>
      <c r="F1367" t="str">
        <f>_xlfn.CONCAT(D1367,", ",H1367,", ",I1367,", ","山西省")</f>
        <v>玉泉镇, 天镇县, 大同市, 山西省</v>
      </c>
      <c r="G1367">
        <v>67449</v>
      </c>
      <c r="H1367" t="s">
        <v>2899</v>
      </c>
      <c r="I1367" t="s">
        <v>2894</v>
      </c>
      <c r="J1367">
        <f>VLOOKUP(F1367,[1]!china_towns_second__2[[Column1]:[Y]],3,FALSE)</f>
        <v>40.413947647466003</v>
      </c>
      <c r="K1367">
        <f>VLOOKUP(F1367,[1]!china_towns_second__2[[Column1]:[Y]],2,FALSE)</f>
        <v>114.1054599</v>
      </c>
      <c r="L1367" t="s">
        <v>4938</v>
      </c>
      <c r="M1367" t="str">
        <f>VLOOKUP(H1367,CHOOSE({1,2},Table12[Native],Table12[Name]),2,0)</f>
        <v>Tiānzhèn Xiàn</v>
      </c>
      <c r="N1367" s="13" t="str">
        <f>VLOOKUP(I1367,CHOOSE({1,2},Table12[Native],Table12[Name]),2,0)</f>
        <v>Dàtóng Shì</v>
      </c>
      <c r="O1367" s="13" t="str">
        <f t="shared" si="42"/>
        <v>Yuquan Zhen (Dàtóng Shì)</v>
      </c>
      <c r="P1367" s="13" t="str">
        <f t="shared" si="43"/>
        <v>Yuquan Zhen (Dàtóng Shì)</v>
      </c>
    </row>
    <row r="1368" spans="1:16" hidden="1" x14ac:dyDescent="0.25">
      <c r="A1368" t="s">
        <v>2858</v>
      </c>
      <c r="B1368" t="str">
        <f>IF(COUNTIF(A:A,A1368)&gt;1,_xlfn.CONCAT(A1368," (",N1368,")"),A1368)</f>
        <v>Yŭwáng Xiāng</v>
      </c>
      <c r="C1368" t="str">
        <f>IF(COUNTIF(B:B,B1368)&gt;1,_xlfn.CONCAT(A1368," (",M1368,")"),B1368)</f>
        <v>Yŭwáng Xiāng</v>
      </c>
      <c r="D1368" t="s">
        <v>2859</v>
      </c>
      <c r="E1368" t="s">
        <v>17</v>
      </c>
      <c r="F1368" t="str">
        <f>_xlfn.CONCAT(D1368,", ",H1368,", ",I1368,", ","山西省")</f>
        <v>禹王乡, 夏县, 运城市, 山西省</v>
      </c>
      <c r="G1368">
        <v>30612</v>
      </c>
      <c r="H1368" t="s">
        <v>3012</v>
      </c>
      <c r="I1368" t="s">
        <v>3003</v>
      </c>
      <c r="J1368" t="e">
        <f>VLOOKUP(F1368,[1]!china_towns_second__2[[Column1]:[Y]],3,FALSE)</f>
        <v>#N/A</v>
      </c>
      <c r="K1368" t="e">
        <f>VLOOKUP(F1368,[1]!china_towns_second__2[[Column1]:[Y]],2,FALSE)</f>
        <v>#N/A</v>
      </c>
      <c r="L1368" t="s">
        <v>4939</v>
      </c>
      <c r="M1368" t="str">
        <f>VLOOKUP(H1368,CHOOSE({1,2},Table12[Native],Table12[Name]),2,0)</f>
        <v>Xià Xiàn</v>
      </c>
      <c r="N1368" s="13" t="str">
        <f>VLOOKUP(I1368,CHOOSE({1,2},Table12[Native],Table12[Name]),2,0)</f>
        <v>Yùnchéng Shì</v>
      </c>
      <c r="O1368" s="13" t="str">
        <f t="shared" si="42"/>
        <v>Yuwang Xiang (Yùnchéng Shì)</v>
      </c>
      <c r="P1368" s="13" t="str">
        <f t="shared" si="43"/>
        <v>Yuwang Xiang (Yùnchéng Shì)</v>
      </c>
    </row>
    <row r="1369" spans="1:16" hidden="1" x14ac:dyDescent="0.25">
      <c r="A1369" t="s">
        <v>305</v>
      </c>
      <c r="B1369" t="str">
        <f>IF(COUNTIF(A:A,A1369)&gt;1,_xlfn.CONCAT(A1369," (",N1369,")"),A1369)</f>
        <v>Yúwú Zhèn</v>
      </c>
      <c r="C1369" t="str">
        <f>IF(COUNTIF(B:B,B1369)&gt;1,_xlfn.CONCAT(A1369," (",M1369,")"),B1369)</f>
        <v>Yúwú Zhèn</v>
      </c>
      <c r="D1369" t="s">
        <v>306</v>
      </c>
      <c r="E1369" t="s">
        <v>7</v>
      </c>
      <c r="F1369" t="str">
        <f>_xlfn.CONCAT(D1369,", ",H1369,", ",I1369,", ","山西省")</f>
        <v>余吾镇, 屯留区, 长治市, 山西省</v>
      </c>
      <c r="G1369">
        <v>18486</v>
      </c>
      <c r="H1369" t="s">
        <v>2890</v>
      </c>
      <c r="I1369" t="s">
        <v>2878</v>
      </c>
      <c r="J1369">
        <f>VLOOKUP(F1369,[1]!china_towns_second__2[[Column1]:[Y]],3,FALSE)</f>
        <v>36.375286225046104</v>
      </c>
      <c r="K1369">
        <f>VLOOKUP(F1369,[1]!china_towns_second__2[[Column1]:[Y]],2,FALSE)</f>
        <v>112.830927</v>
      </c>
      <c r="L1369" t="s">
        <v>4940</v>
      </c>
      <c r="M1369" t="str">
        <f>VLOOKUP(H1369,CHOOSE({1,2},Table12[Native],Table12[Name]),2,0)</f>
        <v>Túnliú Qū</v>
      </c>
      <c r="N1369" s="13" t="str">
        <f>VLOOKUP(I1369,CHOOSE({1,2},Table12[Native],Table12[Name]),2,0)</f>
        <v>Chángzhì Shì</v>
      </c>
      <c r="O1369" s="13" t="str">
        <f t="shared" si="42"/>
        <v>Yuwu Zhen (Chángzhì Shì)</v>
      </c>
      <c r="P1369" s="13" t="str">
        <f t="shared" si="43"/>
        <v>Yuwu Zhen (Chángzhì Shì)</v>
      </c>
    </row>
    <row r="1370" spans="1:16" hidden="1" x14ac:dyDescent="0.25">
      <c r="A1370" t="s">
        <v>2860</v>
      </c>
      <c r="B1370" t="str">
        <f>IF(COUNTIF(A:A,A1370)&gt;1,_xlfn.CONCAT(A1370," (",N1370,")"),A1370)</f>
        <v>Yúxiāng Nóngchăng</v>
      </c>
      <c r="C1370" t="str">
        <f>IF(COUNTIF(B:B,B1370)&gt;1,_xlfn.CONCAT(A1370," (",M1370,")"),B1370)</f>
        <v>Yúxiāng Nóngchăng</v>
      </c>
      <c r="D1370" t="s">
        <v>2861</v>
      </c>
      <c r="E1370" t="s">
        <v>35</v>
      </c>
      <c r="F1370" t="str">
        <f>_xlfn.CONCAT(D1370,", ",H1370,", ",I1370,", ","山西省")</f>
        <v>虞乡农场, 永济市, 运城市, 山西省</v>
      </c>
      <c r="G1370">
        <v>941</v>
      </c>
      <c r="H1370" t="s">
        <v>3015</v>
      </c>
      <c r="I1370" t="s">
        <v>3003</v>
      </c>
      <c r="J1370" t="e">
        <f>VLOOKUP(F1370,[1]!china_towns_second__2[[Column1]:[Y]],3,FALSE)</f>
        <v>#N/A</v>
      </c>
      <c r="K1370" t="e">
        <f>VLOOKUP(F1370,[1]!china_towns_second__2[[Column1]:[Y]],2,FALSE)</f>
        <v>#N/A</v>
      </c>
      <c r="L1370" t="s">
        <v>4941</v>
      </c>
      <c r="M1370" t="str">
        <f>VLOOKUP(H1370,CHOOSE({1,2},Table12[Native],Table12[Name]),2,0)</f>
        <v>Yŏngjì Shì</v>
      </c>
      <c r="N1370" s="13" t="str">
        <f>VLOOKUP(I1370,CHOOSE({1,2},Table12[Native],Table12[Name]),2,0)</f>
        <v>Yùnchéng Shì</v>
      </c>
      <c r="O1370" s="13" t="str">
        <f t="shared" si="42"/>
        <v>Yuxiang Nongchang (Yùnchéng Shì)</v>
      </c>
      <c r="P1370" s="13" t="str">
        <f t="shared" si="43"/>
        <v>Yuxiang Nongchang (Yùnchéng Shì)</v>
      </c>
    </row>
    <row r="1371" spans="1:16" hidden="1" x14ac:dyDescent="0.25">
      <c r="A1371" t="s">
        <v>2862</v>
      </c>
      <c r="B1371" t="str">
        <f>IF(COUNTIF(A:A,A1371)&gt;1,_xlfn.CONCAT(A1371," (",N1371,")"),A1371)</f>
        <v>Yúxiāng Zhèn</v>
      </c>
      <c r="C1371" t="str">
        <f>IF(COUNTIF(B:B,B1371)&gt;1,_xlfn.CONCAT(A1371," (",M1371,")"),B1371)</f>
        <v>Yúxiāng Zhèn</v>
      </c>
      <c r="D1371" t="s">
        <v>2863</v>
      </c>
      <c r="E1371" t="s">
        <v>7</v>
      </c>
      <c r="F1371" t="str">
        <f>_xlfn.CONCAT(D1371,", ",H1371,", ",I1371,", ","山西省")</f>
        <v>虞乡镇, 永济市, 运城市, 山西省</v>
      </c>
      <c r="G1371">
        <v>43186</v>
      </c>
      <c r="H1371" t="s">
        <v>3015</v>
      </c>
      <c r="I1371" t="s">
        <v>3003</v>
      </c>
      <c r="J1371">
        <f>VLOOKUP(F1371,[1]!china_towns_second__2[[Column1]:[Y]],3,FALSE)</f>
        <v>34.843457120782702</v>
      </c>
      <c r="K1371">
        <f>VLOOKUP(F1371,[1]!china_towns_second__2[[Column1]:[Y]],2,FALSE)</f>
        <v>110.6535896</v>
      </c>
      <c r="L1371" t="s">
        <v>4942</v>
      </c>
      <c r="M1371" t="str">
        <f>VLOOKUP(H1371,CHOOSE({1,2},Table12[Native],Table12[Name]),2,0)</f>
        <v>Yŏngjì Shì</v>
      </c>
      <c r="N1371" s="13" t="str">
        <f>VLOOKUP(I1371,CHOOSE({1,2},Table12[Native],Table12[Name]),2,0)</f>
        <v>Yùnchéng Shì</v>
      </c>
      <c r="O1371" s="13" t="str">
        <f t="shared" si="42"/>
        <v>Yuxiang Zhen (Yùnchéng Shì)</v>
      </c>
      <c r="P1371" s="13" t="str">
        <f t="shared" si="43"/>
        <v>Yuxiang Zhen (Yùnchéng Shì)</v>
      </c>
    </row>
    <row r="1372" spans="1:16" hidden="1" x14ac:dyDescent="0.25">
      <c r="A1372" t="s">
        <v>307</v>
      </c>
      <c r="B1372" t="str">
        <f>IF(COUNTIF(A:A,A1372)&gt;1,_xlfn.CONCAT(A1372," (",N1372,")"),A1372)</f>
        <v>Yúzé Zhèn</v>
      </c>
      <c r="C1372" t="str">
        <f>IF(COUNTIF(B:B,B1372)&gt;1,_xlfn.CONCAT(A1372," (",M1372,")"),B1372)</f>
        <v>Yúzé Zhèn</v>
      </c>
      <c r="D1372" t="s">
        <v>308</v>
      </c>
      <c r="E1372" t="s">
        <v>7</v>
      </c>
      <c r="F1372" t="str">
        <f>_xlfn.CONCAT(D1372,", ",H1372,", ",I1372,", ","山西省")</f>
        <v>渔泽镇, 屯留区, 长治市, 山西省</v>
      </c>
      <c r="G1372">
        <v>25992</v>
      </c>
      <c r="H1372" t="s">
        <v>2890</v>
      </c>
      <c r="I1372" t="s">
        <v>2878</v>
      </c>
      <c r="J1372">
        <f>VLOOKUP(F1372,[1]!china_towns_second__2[[Column1]:[Y]],3,FALSE)</f>
        <v>36.355169105540199</v>
      </c>
      <c r="K1372">
        <f>VLOOKUP(F1372,[1]!china_towns_second__2[[Column1]:[Y]],2,FALSE)</f>
        <v>113.0071746</v>
      </c>
      <c r="L1372" t="s">
        <v>4943</v>
      </c>
      <c r="M1372" t="str">
        <f>VLOOKUP(H1372,CHOOSE({1,2},Table12[Native],Table12[Name]),2,0)</f>
        <v>Túnliú Qū</v>
      </c>
      <c r="N1372" s="13" t="str">
        <f>VLOOKUP(I1372,CHOOSE({1,2},Table12[Native],Table12[Name]),2,0)</f>
        <v>Chángzhì Shì</v>
      </c>
      <c r="O1372" s="13" t="str">
        <f t="shared" si="42"/>
        <v>Yuze Zhen (Chángzhì Shì)</v>
      </c>
      <c r="P1372" s="13" t="str">
        <f t="shared" si="43"/>
        <v>Yuze Zhen (Chángzhì Shì)</v>
      </c>
    </row>
    <row r="1373" spans="1:16" hidden="1" x14ac:dyDescent="0.25">
      <c r="A1373" t="s">
        <v>2476</v>
      </c>
      <c r="B1373" t="str">
        <f>IF(COUNTIF(A:A,A1373)&gt;1,_xlfn.CONCAT(A1373," (",N1373,")"),A1373)</f>
        <v>Yúzhuāng Xiāng</v>
      </c>
      <c r="C1373" t="str">
        <f>IF(COUNTIF(B:B,B1373)&gt;1,_xlfn.CONCAT(A1373," (",M1373,")"),B1373)</f>
        <v>Yúzhuāng Xiāng</v>
      </c>
      <c r="D1373" t="s">
        <v>2477</v>
      </c>
      <c r="E1373" t="s">
        <v>17</v>
      </c>
      <c r="F1373" t="str">
        <f>_xlfn.CONCAT(D1373,", ",H1373,", ",I1373,", ","山西省")</f>
        <v>余庄乡, 宁武县, 忻州市, 山西省</v>
      </c>
      <c r="G1373">
        <v>7935</v>
      </c>
      <c r="H1373" t="s">
        <v>2989</v>
      </c>
      <c r="I1373" t="s">
        <v>2981</v>
      </c>
      <c r="J1373" t="e">
        <f>VLOOKUP(F1373,[1]!china_towns_second__2[[Column1]:[Y]],3,FALSE)</f>
        <v>#N/A</v>
      </c>
      <c r="K1373" t="e">
        <f>VLOOKUP(F1373,[1]!china_towns_second__2[[Column1]:[Y]],2,FALSE)</f>
        <v>#N/A</v>
      </c>
      <c r="L1373" t="s">
        <v>4944</v>
      </c>
      <c r="M1373" t="str">
        <f>VLOOKUP(H1373,CHOOSE({1,2},Table12[Native],Table12[Name]),2,0)</f>
        <v>Níngwŭ Xiàn</v>
      </c>
      <c r="N1373" s="13" t="str">
        <f>VLOOKUP(I1373,CHOOSE({1,2},Table12[Native],Table12[Name]),2,0)</f>
        <v>Xīnzhōu Shì</v>
      </c>
      <c r="O1373" s="13" t="str">
        <f t="shared" si="42"/>
        <v>Yuzhuang Xiang (Xīnzhōu Shì)</v>
      </c>
      <c r="P1373" s="13" t="str">
        <f t="shared" si="43"/>
        <v>Yuzhuang Xiang (Xīnzhōu Shì)</v>
      </c>
    </row>
    <row r="1374" spans="1:16" hidden="1" x14ac:dyDescent="0.25">
      <c r="A1374" t="s">
        <v>1870</v>
      </c>
      <c r="B1374" t="str">
        <f>IF(COUNTIF(A:A,A1374)&gt;1,_xlfn.CONCAT(A1374," (",N1374,")"),A1374)</f>
        <v>Zàngzhài Xiāng</v>
      </c>
      <c r="C1374" t="str">
        <f>IF(COUNTIF(B:B,B1374)&gt;1,_xlfn.CONCAT(A1374," (",M1374,")"),B1374)</f>
        <v>Zàngzhài Xiāng</v>
      </c>
      <c r="D1374" t="s">
        <v>1871</v>
      </c>
      <c r="E1374" t="s">
        <v>17</v>
      </c>
      <c r="F1374" t="str">
        <f>_xlfn.CONCAT(D1374,", ",H1374,", ",I1374,", ","山西省")</f>
        <v>臧寨乡, 应县, 朔州市, 山西省</v>
      </c>
      <c r="G1374">
        <v>26009</v>
      </c>
      <c r="H1374" t="s">
        <v>2966</v>
      </c>
      <c r="I1374" t="s">
        <v>2961</v>
      </c>
      <c r="J1374" t="e">
        <f>VLOOKUP(F1374,[1]!china_towns_second__2[[Column1]:[Y]],3,FALSE)</f>
        <v>#N/A</v>
      </c>
      <c r="K1374" t="e">
        <f>VLOOKUP(F1374,[1]!china_towns_second__2[[Column1]:[Y]],2,FALSE)</f>
        <v>#N/A</v>
      </c>
      <c r="L1374" t="s">
        <v>4945</v>
      </c>
      <c r="M1374" t="str">
        <f>VLOOKUP(H1374,CHOOSE({1,2},Table12[Native],Table12[Name]),2,0)</f>
        <v>Yīng Xiàn</v>
      </c>
      <c r="N1374" s="13" t="str">
        <f>VLOOKUP(I1374,CHOOSE({1,2},Table12[Native],Table12[Name]),2,0)</f>
        <v>Shuòzhōu Shì</v>
      </c>
      <c r="O1374" s="13" t="str">
        <f t="shared" si="42"/>
        <v>Zangzhai Xiang (Shuòzhōu Shì)</v>
      </c>
      <c r="P1374" s="13" t="str">
        <f t="shared" si="43"/>
        <v>Zangzhai Xiang (Shuòzhōu Shì)</v>
      </c>
    </row>
    <row r="1375" spans="1:16" hidden="1" x14ac:dyDescent="0.25">
      <c r="A1375" t="s">
        <v>1718</v>
      </c>
      <c r="B1375" t="str">
        <f>IF(COUNTIF(A:A,A1375)&gt;1,_xlfn.CONCAT(A1375," (",N1375,")"),A1375)</f>
        <v>Zăolín Xiāng</v>
      </c>
      <c r="C1375" t="str">
        <f>IF(COUNTIF(B:B,B1375)&gt;1,_xlfn.CONCAT(A1375," (",M1375,")"),B1375)</f>
        <v>Zăolín Xiāng</v>
      </c>
      <c r="D1375" t="s">
        <v>1719</v>
      </c>
      <c r="E1375" t="s">
        <v>17</v>
      </c>
      <c r="F1375" t="str">
        <f>_xlfn.CONCAT(D1375,", ",H1375,", ",I1375,", ","山西省")</f>
        <v>枣林乡, 离石区, 吕梁市, 山西省</v>
      </c>
      <c r="G1375">
        <v>7774</v>
      </c>
      <c r="H1375" t="s">
        <v>2953</v>
      </c>
      <c r="I1375" t="s">
        <v>2946</v>
      </c>
      <c r="J1375" t="e">
        <f>VLOOKUP(F1375,[1]!china_towns_second__2[[Column1]:[Y]],3,FALSE)</f>
        <v>#N/A</v>
      </c>
      <c r="K1375" t="e">
        <f>VLOOKUP(F1375,[1]!china_towns_second__2[[Column1]:[Y]],2,FALSE)</f>
        <v>#N/A</v>
      </c>
      <c r="L1375" t="s">
        <v>4946</v>
      </c>
      <c r="M1375" t="str">
        <f>VLOOKUP(H1375,CHOOSE({1,2},Table12[Native],Table12[Name]),2,0)</f>
        <v>Líshí Qū</v>
      </c>
      <c r="N1375" s="13" t="str">
        <f>VLOOKUP(I1375,CHOOSE({1,2},Table12[Native],Table12[Name]),2,0)</f>
        <v>Lǚliáng Shì</v>
      </c>
      <c r="O1375" s="13" t="str">
        <f t="shared" si="42"/>
        <v>Zaolin Xiang (Lǚliáng Shì)</v>
      </c>
      <c r="P1375" s="13" t="str">
        <f t="shared" si="43"/>
        <v>Zaolin Xiang (Lǚliáng Shì)</v>
      </c>
    </row>
    <row r="1376" spans="1:16" hidden="1" x14ac:dyDescent="0.25">
      <c r="A1376" t="s">
        <v>2478</v>
      </c>
      <c r="B1376" t="str">
        <f>IF(COUNTIF(A:A,A1376)&gt;1,_xlfn.CONCAT(A1376," (",N1376,")"),A1376)</f>
        <v>Zăolín Zhèn</v>
      </c>
      <c r="C1376" t="str">
        <f>IF(COUNTIF(B:B,B1376)&gt;1,_xlfn.CONCAT(A1376," (",M1376,")"),B1376)</f>
        <v>Zăolín Zhèn</v>
      </c>
      <c r="D1376" t="s">
        <v>2479</v>
      </c>
      <c r="E1376" t="s">
        <v>7</v>
      </c>
      <c r="F1376" t="str">
        <f>_xlfn.CONCAT(D1376,", ",H1376,", ",I1376,", ","山西省")</f>
        <v>枣林镇, 代县, 忻州市, 山西省</v>
      </c>
      <c r="G1376">
        <v>18537</v>
      </c>
      <c r="H1376" t="s">
        <v>2983</v>
      </c>
      <c r="I1376" t="s">
        <v>2981</v>
      </c>
      <c r="J1376">
        <f>VLOOKUP(F1376,[1]!china_towns_second__2[[Column1]:[Y]],3,FALSE)</f>
        <v>39.180460781808797</v>
      </c>
      <c r="K1376">
        <f>VLOOKUP(F1376,[1]!china_towns_second__2[[Column1]:[Y]],2,FALSE)</f>
        <v>113.1052287</v>
      </c>
      <c r="L1376" t="s">
        <v>4947</v>
      </c>
      <c r="M1376" t="str">
        <f>VLOOKUP(H1376,CHOOSE({1,2},Table12[Native],Table12[Name]),2,0)</f>
        <v>Dài Xiàn</v>
      </c>
      <c r="N1376" s="13" t="str">
        <f>VLOOKUP(I1376,CHOOSE({1,2},Table12[Native],Table12[Name]),2,0)</f>
        <v>Xīnzhōu Shì</v>
      </c>
      <c r="O1376" s="13" t="str">
        <f t="shared" si="42"/>
        <v>Zaolin Zhen (Xīnzhōu Shì)</v>
      </c>
      <c r="P1376" s="13" t="str">
        <f t="shared" si="43"/>
        <v>Zaolin Zhen (Xīnzhōu Shì)</v>
      </c>
    </row>
    <row r="1377" spans="1:16" hidden="1" x14ac:dyDescent="0.25">
      <c r="A1377" t="s">
        <v>1385</v>
      </c>
      <c r="B1377" t="str">
        <f>IF(COUNTIF(A:A,A1377)&gt;1,_xlfn.CONCAT(A1377," (",N1377,")"),A1377)</f>
        <v>Zăolĭng Xiāng</v>
      </c>
      <c r="C1377" t="str">
        <f>IF(COUNTIF(B:B,B1377)&gt;1,_xlfn.CONCAT(A1377," (",M1377,")"),B1377)</f>
        <v>Zăolĭng Xiāng</v>
      </c>
      <c r="D1377" t="s">
        <v>1386</v>
      </c>
      <c r="E1377" t="s">
        <v>17</v>
      </c>
      <c r="F1377" t="str">
        <f>_xlfn.CONCAT(D1377,", ",H1377,", ",I1377,", ","山西省")</f>
        <v>枣岭乡, 乡宁县, 临汾市, 山西省</v>
      </c>
      <c r="G1377">
        <v>25304</v>
      </c>
      <c r="H1377" t="s">
        <v>2940</v>
      </c>
      <c r="I1377" t="s">
        <v>2927</v>
      </c>
      <c r="J1377" t="e">
        <f>VLOOKUP(F1377,[1]!china_towns_second__2[[Column1]:[Y]],3,FALSE)</f>
        <v>#N/A</v>
      </c>
      <c r="K1377" t="e">
        <f>VLOOKUP(F1377,[1]!china_towns_second__2[[Column1]:[Y]],2,FALSE)</f>
        <v>#N/A</v>
      </c>
      <c r="L1377" t="s">
        <v>4948</v>
      </c>
      <c r="M1377" t="str">
        <f>VLOOKUP(H1377,CHOOSE({1,2},Table12[Native],Table12[Name]),2,0)</f>
        <v>Xiāngníng Xiàn</v>
      </c>
      <c r="N1377" s="13" t="str">
        <f>VLOOKUP(I1377,CHOOSE({1,2},Table12[Native],Table12[Name]),2,0)</f>
        <v>Línfén Shì</v>
      </c>
      <c r="O1377" s="13" t="str">
        <f t="shared" si="42"/>
        <v>Zaoling Xiang (Línfén Shì)</v>
      </c>
      <c r="P1377" s="13" t="str">
        <f t="shared" si="43"/>
        <v>Zaoling Xiang (Línfén Shì)</v>
      </c>
    </row>
    <row r="1378" spans="1:16" hidden="1" x14ac:dyDescent="0.25">
      <c r="A1378" t="s">
        <v>2864</v>
      </c>
      <c r="B1378" t="str">
        <f>IF(COUNTIF(A:A,A1378)&gt;1,_xlfn.CONCAT(A1378," (",N1378,")"),A1378)</f>
        <v>Zézhăng Zhèn</v>
      </c>
      <c r="C1378" t="str">
        <f>IF(COUNTIF(B:B,B1378)&gt;1,_xlfn.CONCAT(A1378," (",M1378,")"),B1378)</f>
        <v>Zézhăng Zhèn</v>
      </c>
      <c r="D1378" t="s">
        <v>2865</v>
      </c>
      <c r="E1378" t="s">
        <v>7</v>
      </c>
      <c r="F1378" t="str">
        <f>_xlfn.CONCAT(D1378,", ",H1378,", ",I1378,", ","山西省")</f>
        <v>泽掌镇, 新绛县, 运城市, 山西省</v>
      </c>
      <c r="G1378">
        <v>27773</v>
      </c>
      <c r="H1378" t="s">
        <v>3013</v>
      </c>
      <c r="I1378" t="s">
        <v>3003</v>
      </c>
      <c r="J1378">
        <f>VLOOKUP(F1378,[1]!china_towns_second__2[[Column1]:[Y]],3,FALSE)</f>
        <v>35.759331650772502</v>
      </c>
      <c r="K1378">
        <f>VLOOKUP(F1378,[1]!china_towns_second__2[[Column1]:[Y]],2,FALSE)</f>
        <v>111.1349113</v>
      </c>
      <c r="L1378" t="s">
        <v>4949</v>
      </c>
      <c r="M1378" t="str">
        <f>VLOOKUP(H1378,CHOOSE({1,2},Table12[Native],Table12[Name]),2,0)</f>
        <v>Xīnjiàng Xiàn</v>
      </c>
      <c r="N1378" s="13" t="str">
        <f>VLOOKUP(I1378,CHOOSE({1,2},Table12[Native],Table12[Name]),2,0)</f>
        <v>Yùnchéng Shì</v>
      </c>
      <c r="O1378" s="13" t="str">
        <f t="shared" si="42"/>
        <v>Zezhang Zhen (Yùnchéng Shì)</v>
      </c>
      <c r="P1378" s="13" t="str">
        <f t="shared" si="43"/>
        <v>Zezhang Zhen (Yùnchéng Shì)</v>
      </c>
    </row>
    <row r="1379" spans="1:16" hidden="1" x14ac:dyDescent="0.25">
      <c r="A1379" t="s">
        <v>309</v>
      </c>
      <c r="B1379" t="str">
        <f>IF(COUNTIF(A:A,A1379)&gt;1,_xlfn.CONCAT(A1379," (",N1379,")"),A1379)</f>
        <v>Zháidiàn Zhèn (Chángzhì Shì)</v>
      </c>
      <c r="C1379" t="str">
        <f>IF(COUNTIF(B:B,B1379)&gt;1,_xlfn.CONCAT(A1379," (",M1379,")"),B1379)</f>
        <v>Zháidiàn Zhèn (Chángzhì Shì)</v>
      </c>
      <c r="D1379" t="s">
        <v>310</v>
      </c>
      <c r="E1379" t="s">
        <v>7</v>
      </c>
      <c r="F1379" t="str">
        <f>_xlfn.CONCAT(D1379,", ",H1379,", ",I1379,", ","山西省")</f>
        <v>翟店镇, 潞城区, 长治市, 山西省</v>
      </c>
      <c r="G1379">
        <v>21817</v>
      </c>
      <c r="H1379" t="s">
        <v>2884</v>
      </c>
      <c r="I1379" t="s">
        <v>2878</v>
      </c>
      <c r="J1379">
        <f>VLOOKUP(F1379,[1]!china_towns_second__2[[Column1]:[Y]],3,FALSE)</f>
        <v>36.289589701638597</v>
      </c>
      <c r="K1379">
        <f>VLOOKUP(F1379,[1]!china_towns_second__2[[Column1]:[Y]],2,FALSE)</f>
        <v>113.1601852</v>
      </c>
      <c r="L1379" t="s">
        <v>4950</v>
      </c>
      <c r="M1379" t="str">
        <f>VLOOKUP(H1379,CHOOSE({1,2},Table12[Native],Table12[Name]),2,0)</f>
        <v>Lùchéng Qū</v>
      </c>
      <c r="N1379" s="13" t="str">
        <f>VLOOKUP(I1379,CHOOSE({1,2},Table12[Native],Table12[Name]),2,0)</f>
        <v>Chángzhì Shì</v>
      </c>
      <c r="O1379" s="13" t="str">
        <f t="shared" si="42"/>
        <v>Zhaidian Zhen (Changzhi Shi) (Chángzhì Shì)</v>
      </c>
      <c r="P1379" s="13" t="str">
        <f t="shared" si="43"/>
        <v>Zhaidian Zhen (Changzhi Shi) (Chángzhì Shì)</v>
      </c>
    </row>
    <row r="1380" spans="1:16" hidden="1" x14ac:dyDescent="0.25">
      <c r="A1380" t="s">
        <v>309</v>
      </c>
      <c r="B1380" t="str">
        <f>IF(COUNTIF(A:A,A1380)&gt;1,_xlfn.CONCAT(A1380," (",N1380,")"),A1380)</f>
        <v>Zháidiàn Zhèn (Yùnchéng Shì)</v>
      </c>
      <c r="C1380" t="str">
        <f>IF(COUNTIF(B:B,B1380)&gt;1,_xlfn.CONCAT(A1380," (",M1380,")"),B1380)</f>
        <v>Zháidiàn Zhèn (Yùnchéng Shì)</v>
      </c>
      <c r="D1380" t="s">
        <v>310</v>
      </c>
      <c r="E1380" t="s">
        <v>7</v>
      </c>
      <c r="F1380" t="str">
        <f>_xlfn.CONCAT(D1380,", ",H1380,", ",I1380,", ","山西省")</f>
        <v>翟店镇, 稷山县, 运城市, 山西省</v>
      </c>
      <c r="G1380">
        <v>37439</v>
      </c>
      <c r="H1380" t="s">
        <v>3006</v>
      </c>
      <c r="I1380" t="s">
        <v>3003</v>
      </c>
      <c r="J1380">
        <f>VLOOKUP(F1380,[1]!china_towns_second__2[[Column1]:[Y]],3,FALSE)</f>
        <v>35.489780888713597</v>
      </c>
      <c r="K1380">
        <f>VLOOKUP(F1380,[1]!china_towns_second__2[[Column1]:[Y]],2,FALSE)</f>
        <v>110.89223440000001</v>
      </c>
      <c r="L1380" t="s">
        <v>4951</v>
      </c>
      <c r="M1380" t="str">
        <f>VLOOKUP(H1380,CHOOSE({1,2},Table12[Native],Table12[Name]),2,0)</f>
        <v>Jìshān Xiàn</v>
      </c>
      <c r="N1380" s="13" t="str">
        <f>VLOOKUP(I1380,CHOOSE({1,2},Table12[Native],Table12[Name]),2,0)</f>
        <v>Yùnchéng Shì</v>
      </c>
      <c r="O1380" s="13" t="str">
        <f t="shared" si="42"/>
        <v>Zhaidian Zhen (Yuncheng Shi) (Yùnchéng Shì)</v>
      </c>
      <c r="P1380" s="13" t="str">
        <f t="shared" si="43"/>
        <v>Zhaidian Zhen (Yuncheng Shi) (Yùnchéng Shì)</v>
      </c>
    </row>
    <row r="1381" spans="1:16" hidden="1" x14ac:dyDescent="0.25">
      <c r="A1381" t="s">
        <v>1387</v>
      </c>
      <c r="B1381" t="str">
        <f>IF(COUNTIF(A:A,A1381)&gt;1,_xlfn.CONCAT(A1381," (",N1381,")"),A1381)</f>
        <v>Zhàigētă Xiāng</v>
      </c>
      <c r="C1381" t="str">
        <f>IF(COUNTIF(B:B,B1381)&gt;1,_xlfn.CONCAT(A1381," (",M1381,")"),B1381)</f>
        <v>Zhàigētă Xiāng</v>
      </c>
      <c r="D1381" t="s">
        <v>1388</v>
      </c>
      <c r="E1381" t="s">
        <v>17</v>
      </c>
      <c r="F1381" t="str">
        <f>_xlfn.CONCAT(D1381,", ",H1381,", ",I1381,", ","山西省")</f>
        <v>寨圪塔乡, 浮山县, 临汾市, 山西省</v>
      </c>
      <c r="G1381">
        <v>4732</v>
      </c>
      <c r="H1381" t="s">
        <v>2931</v>
      </c>
      <c r="I1381" t="s">
        <v>2927</v>
      </c>
      <c r="J1381" t="e">
        <f>VLOOKUP(F1381,[1]!china_towns_second__2[[Column1]:[Y]],3,FALSE)</f>
        <v>#N/A</v>
      </c>
      <c r="K1381" t="e">
        <f>VLOOKUP(F1381,[1]!china_towns_second__2[[Column1]:[Y]],2,FALSE)</f>
        <v>#N/A</v>
      </c>
      <c r="L1381" t="s">
        <v>4952</v>
      </c>
      <c r="M1381" t="str">
        <f>VLOOKUP(H1381,CHOOSE({1,2},Table12[Native],Table12[Name]),2,0)</f>
        <v>Fúshān Xiàn</v>
      </c>
      <c r="N1381" s="13" t="str">
        <f>VLOOKUP(I1381,CHOOSE({1,2},Table12[Native],Table12[Name]),2,0)</f>
        <v>Línfén Shì</v>
      </c>
      <c r="O1381" s="13" t="str">
        <f t="shared" si="42"/>
        <v>Zhaigeta Xiang (Línfén Shì)</v>
      </c>
      <c r="P1381" s="13" t="str">
        <f t="shared" si="43"/>
        <v>Zhaigeta Xiang (Línfén Shì)</v>
      </c>
    </row>
    <row r="1382" spans="1:16" hidden="1" x14ac:dyDescent="0.25">
      <c r="A1382" t="s">
        <v>1389</v>
      </c>
      <c r="B1382" t="str">
        <f>IF(COUNTIF(A:A,A1382)&gt;1,_xlfn.CONCAT(A1382," (",N1382,")"),A1382)</f>
        <v>Zhàizi Xiāng</v>
      </c>
      <c r="C1382" t="str">
        <f>IF(COUNTIF(B:B,B1382)&gt;1,_xlfn.CONCAT(A1382," (",M1382,")"),B1382)</f>
        <v>Zhàizi Xiāng</v>
      </c>
      <c r="D1382" t="s">
        <v>1390</v>
      </c>
      <c r="E1382" t="s">
        <v>17</v>
      </c>
      <c r="F1382" t="str">
        <f>_xlfn.CONCAT(D1382,", ",H1382,", ",I1382,", ","山西省")</f>
        <v>寨子乡, 隰县, 临汾市, 山西省</v>
      </c>
      <c r="G1382">
        <v>6396</v>
      </c>
      <c r="H1382" t="s">
        <v>2941</v>
      </c>
      <c r="I1382" t="s">
        <v>2927</v>
      </c>
      <c r="J1382" t="e">
        <f>VLOOKUP(F1382,[1]!china_towns_second__2[[Column1]:[Y]],3,FALSE)</f>
        <v>#N/A</v>
      </c>
      <c r="K1382" t="e">
        <f>VLOOKUP(F1382,[1]!china_towns_second__2[[Column1]:[Y]],2,FALSE)</f>
        <v>#N/A</v>
      </c>
      <c r="L1382" t="s">
        <v>4953</v>
      </c>
      <c r="M1382" t="str">
        <f>VLOOKUP(H1382,CHOOSE({1,2},Table12[Native],Table12[Name]),2,0)</f>
        <v>Xí Xiàn</v>
      </c>
      <c r="N1382" s="13" t="str">
        <f>VLOOKUP(I1382,CHOOSE({1,2},Table12[Native],Table12[Name]),2,0)</f>
        <v>Línfén Shì</v>
      </c>
      <c r="O1382" s="13" t="str">
        <f t="shared" si="42"/>
        <v>Zhaizi Xiang (Línfén Shì)</v>
      </c>
      <c r="P1382" s="13" t="str">
        <f t="shared" si="43"/>
        <v>Zhaizi Xiang (Línfén Shì)</v>
      </c>
    </row>
    <row r="1383" spans="1:16" hidden="1" x14ac:dyDescent="0.25">
      <c r="A1383" t="s">
        <v>1872</v>
      </c>
      <c r="B1383" t="str">
        <f>IF(COUNTIF(A:A,A1383)&gt;1,_xlfn.CONCAT(A1383," (",N1383,")"),A1383)</f>
        <v>Zhāngcàizhuāng Xiāng</v>
      </c>
      <c r="C1383" t="str">
        <f>IF(COUNTIF(B:B,B1383)&gt;1,_xlfn.CONCAT(A1383," (",M1383,")"),B1383)</f>
        <v>Zhāngcàizhuāng Xiāng</v>
      </c>
      <c r="D1383" t="s">
        <v>1873</v>
      </c>
      <c r="E1383" t="s">
        <v>17</v>
      </c>
      <c r="F1383" t="str">
        <f>_xlfn.CONCAT(D1383,", ",H1383,", ",I1383,", ","山西省")</f>
        <v>张蔡庄乡, 朔城区, 朔州市, 山西省</v>
      </c>
      <c r="G1383">
        <v>9108</v>
      </c>
      <c r="H1383" t="s">
        <v>2965</v>
      </c>
      <c r="I1383" t="s">
        <v>2961</v>
      </c>
      <c r="J1383" t="e">
        <f>VLOOKUP(F1383,[1]!china_towns_second__2[[Column1]:[Y]],3,FALSE)</f>
        <v>#N/A</v>
      </c>
      <c r="K1383" t="e">
        <f>VLOOKUP(F1383,[1]!china_towns_second__2[[Column1]:[Y]],2,FALSE)</f>
        <v>#N/A</v>
      </c>
      <c r="L1383" t="s">
        <v>4954</v>
      </c>
      <c r="M1383" t="str">
        <f>VLOOKUP(H1383,CHOOSE({1,2},Table12[Native],Table12[Name]),2,0)</f>
        <v>Shuòchéng Qū</v>
      </c>
      <c r="N1383" s="13" t="str">
        <f>VLOOKUP(I1383,CHOOSE({1,2},Table12[Native],Table12[Name]),2,0)</f>
        <v>Shuòzhōu Shì</v>
      </c>
      <c r="O1383" s="13" t="str">
        <f t="shared" si="42"/>
        <v>Zhangcaizhuang Xiang (Shuòzhōu Shì)</v>
      </c>
      <c r="P1383" s="13" t="str">
        <f t="shared" si="43"/>
        <v>Zhangcaizhuang Xiang (Shuòzhōu Shì)</v>
      </c>
    </row>
    <row r="1384" spans="1:16" hidden="1" x14ac:dyDescent="0.25">
      <c r="A1384" t="s">
        <v>1391</v>
      </c>
      <c r="B1384" t="str">
        <f>IF(COUNTIF(A:A,A1384)&gt;1,_xlfn.CONCAT(A1384," (",N1384,")"),A1384)</f>
        <v>Zhāngcūn Jiēdào</v>
      </c>
      <c r="C1384" t="str">
        <f>IF(COUNTIF(B:B,B1384)&gt;1,_xlfn.CONCAT(A1384," (",M1384,")"),B1384)</f>
        <v>Zhāngcūn Jiēdào</v>
      </c>
      <c r="D1384" t="s">
        <v>1392</v>
      </c>
      <c r="E1384" t="s">
        <v>31</v>
      </c>
      <c r="F1384" t="str">
        <f>_xlfn.CONCAT(D1384,", ",H1384,", ",I1384,", ","山西省")</f>
        <v>张村街道, 侯马市, 临汾市, 山西省</v>
      </c>
      <c r="G1384">
        <v>25122</v>
      </c>
      <c r="H1384" t="s">
        <v>2934</v>
      </c>
      <c r="I1384" t="s">
        <v>2927</v>
      </c>
      <c r="J1384">
        <f>VLOOKUP(F1384,[1]!china_towns_second__2[[Column1]:[Y]],3,FALSE)</f>
        <v>35.6657817984497</v>
      </c>
      <c r="K1384">
        <f>VLOOKUP(F1384,[1]!china_towns_second__2[[Column1]:[Y]],2,FALSE)</f>
        <v>111.3495479</v>
      </c>
      <c r="L1384" t="s">
        <v>4955</v>
      </c>
      <c r="M1384" t="str">
        <f>VLOOKUP(H1384,CHOOSE({1,2},Table12[Native],Table12[Name]),2,0)</f>
        <v>Hòumă Shì</v>
      </c>
      <c r="N1384" s="13" t="str">
        <f>VLOOKUP(I1384,CHOOSE({1,2},Table12[Native],Table12[Name]),2,0)</f>
        <v>Línfén Shì</v>
      </c>
      <c r="O1384" s="13" t="str">
        <f t="shared" si="42"/>
        <v>Zhangcun Jiedao (Línfén Shì)</v>
      </c>
      <c r="P1384" s="13" t="str">
        <f t="shared" si="43"/>
        <v>Zhangcun Jiedao (Línfén Shì)</v>
      </c>
    </row>
    <row r="1385" spans="1:16" hidden="1" x14ac:dyDescent="0.25">
      <c r="A1385" t="s">
        <v>771</v>
      </c>
      <c r="B1385" t="str">
        <f>IF(COUNTIF(A:A,A1385)&gt;1,_xlfn.CONCAT(A1385," (",N1385,")"),A1385)</f>
        <v>Zhāngcūn Xiāng</v>
      </c>
      <c r="C1385" t="str">
        <f>IF(COUNTIF(B:B,B1385)&gt;1,_xlfn.CONCAT(A1385," (",M1385,")"),B1385)</f>
        <v>Zhāngcūn Xiāng</v>
      </c>
      <c r="D1385" t="s">
        <v>772</v>
      </c>
      <c r="E1385" t="s">
        <v>17</v>
      </c>
      <c r="F1385" t="str">
        <f>_xlfn.CONCAT(D1385,", ",H1385,", ",I1385,", ","山西省")</f>
        <v>张村乡, 沁水县, 晋城市, 山西省</v>
      </c>
      <c r="G1385">
        <v>3825</v>
      </c>
      <c r="H1385" t="s">
        <v>2910</v>
      </c>
      <c r="I1385" t="s">
        <v>2906</v>
      </c>
      <c r="J1385" t="e">
        <f>VLOOKUP(F1385,[1]!china_towns_second__2[[Column1]:[Y]],3,FALSE)</f>
        <v>#N/A</v>
      </c>
      <c r="K1385" t="e">
        <f>VLOOKUP(F1385,[1]!china_towns_second__2[[Column1]:[Y]],2,FALSE)</f>
        <v>#N/A</v>
      </c>
      <c r="L1385" t="s">
        <v>4956</v>
      </c>
      <c r="M1385" t="str">
        <f>VLOOKUP(H1385,CHOOSE({1,2},Table12[Native],Table12[Name]),2,0)</f>
        <v>Qìnshuǐ Xiàn</v>
      </c>
      <c r="N1385" s="13" t="str">
        <f>VLOOKUP(I1385,CHOOSE({1,2},Table12[Native],Table12[Name]),2,0)</f>
        <v>Jìnchéng Shì</v>
      </c>
      <c r="O1385" s="13" t="str">
        <f t="shared" si="42"/>
        <v>Zhangcun Xiang (Jìnchéng Shì)</v>
      </c>
      <c r="P1385" s="13" t="str">
        <f t="shared" si="43"/>
        <v>Zhangcun Xiang (Jìnchéng Shì)</v>
      </c>
    </row>
    <row r="1386" spans="1:16" hidden="1" x14ac:dyDescent="0.25">
      <c r="A1386" t="s">
        <v>2866</v>
      </c>
      <c r="B1386" t="str">
        <f>IF(COUNTIF(A:A,A1386)&gt;1,_xlfn.CONCAT(A1386," (",N1386,")"),A1386)</f>
        <v>Zhāngcūn Zhèn</v>
      </c>
      <c r="C1386" t="str">
        <f>IF(COUNTIF(B:B,B1386)&gt;1,_xlfn.CONCAT(A1386," (",M1386,")"),B1386)</f>
        <v>Zhāngcūn Zhèn</v>
      </c>
      <c r="D1386" t="s">
        <v>2867</v>
      </c>
      <c r="E1386" t="s">
        <v>7</v>
      </c>
      <c r="F1386" t="str">
        <f>_xlfn.CONCAT(D1386,", ",H1386,", ",I1386,", ","山西省")</f>
        <v>张村镇, 平陆县, 运城市, 山西省</v>
      </c>
      <c r="G1386">
        <v>26063</v>
      </c>
      <c r="H1386" t="s">
        <v>3008</v>
      </c>
      <c r="I1386" t="s">
        <v>3003</v>
      </c>
      <c r="J1386">
        <f>VLOOKUP(F1386,[1]!china_towns_second__2[[Column1]:[Y]],3,FALSE)</f>
        <v>34.824976301962302</v>
      </c>
      <c r="K1386">
        <f>VLOOKUP(F1386,[1]!china_towns_second__2[[Column1]:[Y]],2,FALSE)</f>
        <v>111.0759716</v>
      </c>
      <c r="L1386" t="s">
        <v>4957</v>
      </c>
      <c r="M1386" t="str">
        <f>VLOOKUP(H1386,CHOOSE({1,2},Table12[Native],Table12[Name]),2,0)</f>
        <v>Pínglù Xiàn</v>
      </c>
      <c r="N1386" s="13" t="str">
        <f>VLOOKUP(I1386,CHOOSE({1,2},Table12[Native],Table12[Name]),2,0)</f>
        <v>Yùnchéng Shì</v>
      </c>
      <c r="O1386" s="13" t="str">
        <f t="shared" si="42"/>
        <v>Zhangcun Zhen (Yùnchéng Shì)</v>
      </c>
      <c r="P1386" s="13" t="str">
        <f t="shared" si="43"/>
        <v>Zhangcun Zhen (Yùnchéng Shì)</v>
      </c>
    </row>
    <row r="1387" spans="1:16" hidden="1" x14ac:dyDescent="0.25">
      <c r="A1387" t="s">
        <v>311</v>
      </c>
      <c r="B1387" t="str">
        <f>IF(COUNTIF(A:A,A1387)&gt;1,_xlfn.CONCAT(A1387," (",N1387,")"),A1387)</f>
        <v>Zhāngdiàn Zhèn (Chángzhì Shì)</v>
      </c>
      <c r="C1387" t="str">
        <f>IF(COUNTIF(B:B,B1387)&gt;1,_xlfn.CONCAT(A1387," (",M1387,")"),B1387)</f>
        <v>Zhāngdiàn Zhèn (Chángzhì Shì)</v>
      </c>
      <c r="D1387" t="s">
        <v>312</v>
      </c>
      <c r="E1387" t="s">
        <v>7</v>
      </c>
      <c r="F1387" t="str">
        <f>_xlfn.CONCAT(D1387,", ",H1387,", ",I1387,", ","山西省")</f>
        <v>张店镇, 屯留区, 长治市, 山西省</v>
      </c>
      <c r="G1387">
        <v>21041</v>
      </c>
      <c r="H1387" t="s">
        <v>2890</v>
      </c>
      <c r="I1387" t="s">
        <v>2878</v>
      </c>
      <c r="J1387">
        <f>VLOOKUP(F1387,[1]!china_towns_second__2[[Column1]:[Y]],3,FALSE)</f>
        <v>36.3452214742276</v>
      </c>
      <c r="K1387">
        <f>VLOOKUP(F1387,[1]!china_towns_second__2[[Column1]:[Y]],2,FALSE)</f>
        <v>112.56127770000001</v>
      </c>
      <c r="L1387" t="s">
        <v>4958</v>
      </c>
      <c r="M1387" t="str">
        <f>VLOOKUP(H1387,CHOOSE({1,2},Table12[Native],Table12[Name]),2,0)</f>
        <v>Túnliú Qū</v>
      </c>
      <c r="N1387" s="13" t="str">
        <f>VLOOKUP(I1387,CHOOSE({1,2},Table12[Native],Table12[Name]),2,0)</f>
        <v>Chángzhì Shì</v>
      </c>
      <c r="O1387" s="13" t="str">
        <f t="shared" si="42"/>
        <v>Zhangdian Zhen (Changzhi Shi) (Chángzhì Shì)</v>
      </c>
      <c r="P1387" s="13" t="str">
        <f t="shared" si="43"/>
        <v>Zhangdian Zhen (Changzhi Shi) (Chángzhì Shì)</v>
      </c>
    </row>
    <row r="1388" spans="1:16" hidden="1" x14ac:dyDescent="0.25">
      <c r="A1388" t="s">
        <v>311</v>
      </c>
      <c r="B1388" t="str">
        <f>IF(COUNTIF(A:A,A1388)&gt;1,_xlfn.CONCAT(A1388," (",N1388,")"),A1388)</f>
        <v>Zhāngdiàn Zhèn (Yùnchéng Shì)</v>
      </c>
      <c r="C1388" t="str">
        <f>IF(COUNTIF(B:B,B1388)&gt;1,_xlfn.CONCAT(A1388," (",M1388,")"),B1388)</f>
        <v>Zhāngdiàn Zhèn (Yùnchéng Shì)</v>
      </c>
      <c r="D1388" t="s">
        <v>312</v>
      </c>
      <c r="E1388" t="s">
        <v>7</v>
      </c>
      <c r="F1388" t="str">
        <f>_xlfn.CONCAT(D1388,", ",H1388,", ",I1388,", ","山西省")</f>
        <v>张店镇, 平陆县, 运城市, 山西省</v>
      </c>
      <c r="G1388">
        <v>18339</v>
      </c>
      <c r="H1388" t="s">
        <v>3008</v>
      </c>
      <c r="I1388" t="s">
        <v>3003</v>
      </c>
      <c r="J1388">
        <f>VLOOKUP(F1388,[1]!china_towns_second__2[[Column1]:[Y]],3,FALSE)</f>
        <v>34.9747753992974</v>
      </c>
      <c r="K1388">
        <f>VLOOKUP(F1388,[1]!china_towns_second__2[[Column1]:[Y]],2,FALSE)</f>
        <v>111.2003441</v>
      </c>
      <c r="L1388" t="s">
        <v>4959</v>
      </c>
      <c r="M1388" t="str">
        <f>VLOOKUP(H1388,CHOOSE({1,2},Table12[Native],Table12[Name]),2,0)</f>
        <v>Pínglù Xiàn</v>
      </c>
      <c r="N1388" s="13" t="str">
        <f>VLOOKUP(I1388,CHOOSE({1,2},Table12[Native],Table12[Name]),2,0)</f>
        <v>Yùnchéng Shì</v>
      </c>
      <c r="O1388" s="13" t="str">
        <f t="shared" si="42"/>
        <v>Zhangdian Zhen (Yuncheng Shi) (Yùnchéng Shì)</v>
      </c>
      <c r="P1388" s="13" t="str">
        <f t="shared" si="43"/>
        <v>Zhangdian Zhen (Yuncheng Shi) (Yùnchéng Shì)</v>
      </c>
    </row>
    <row r="1389" spans="1:16" hidden="1" x14ac:dyDescent="0.25">
      <c r="A1389" t="s">
        <v>601</v>
      </c>
      <c r="B1389" t="str">
        <f>IF(COUNTIF(A:A,A1389)&gt;1,_xlfn.CONCAT(A1389," (",N1389,")"),A1389)</f>
        <v>Zhāngjiāchăng Xiāng</v>
      </c>
      <c r="C1389" t="str">
        <f>IF(COUNTIF(B:B,B1389)&gt;1,_xlfn.CONCAT(A1389," (",M1389,")"),B1389)</f>
        <v>Zhāngjiāchăng Xiāng</v>
      </c>
      <c r="D1389" t="s">
        <v>602</v>
      </c>
      <c r="E1389" t="s">
        <v>17</v>
      </c>
      <c r="F1389" t="str">
        <f>_xlfn.CONCAT(D1389,", ",H1389,", ",I1389,", ","山西省")</f>
        <v>张家场乡, 左云县, 大同市, 山西省</v>
      </c>
      <c r="G1389">
        <v>12122</v>
      </c>
      <c r="H1389" t="s">
        <v>2904</v>
      </c>
      <c r="I1389" t="s">
        <v>2894</v>
      </c>
      <c r="J1389" t="e">
        <f>VLOOKUP(F1389,[1]!china_towns_second__2[[Column1]:[Y]],3,FALSE)</f>
        <v>#N/A</v>
      </c>
      <c r="K1389" t="e">
        <f>VLOOKUP(F1389,[1]!china_towns_second__2[[Column1]:[Y]],2,FALSE)</f>
        <v>#N/A</v>
      </c>
      <c r="L1389" t="s">
        <v>4960</v>
      </c>
      <c r="M1389" t="str">
        <f>VLOOKUP(H1389,CHOOSE({1,2},Table12[Native],Table12[Name]),2,0)</f>
        <v>Zuǒyún Xiàn</v>
      </c>
      <c r="N1389" s="13" t="str">
        <f>VLOOKUP(I1389,CHOOSE({1,2},Table12[Native],Table12[Name]),2,0)</f>
        <v>Dàtóng Shì</v>
      </c>
      <c r="O1389" s="13" t="str">
        <f t="shared" si="42"/>
        <v>Zhangjiachang Xiang (Dàtóng Shì)</v>
      </c>
      <c r="P1389" s="13" t="str">
        <f t="shared" si="43"/>
        <v>Zhangjiachang Xiang (Dàtóng Shì)</v>
      </c>
    </row>
    <row r="1390" spans="1:16" hidden="1" x14ac:dyDescent="0.25">
      <c r="A1390" t="s">
        <v>1874</v>
      </c>
      <c r="B1390" t="str">
        <f>IF(COUNTIF(A:A,A1390)&gt;1,_xlfn.CONCAT(A1390," (",N1390,")"),A1390)</f>
        <v>Zhāngjiāzhuāng Xiāng</v>
      </c>
      <c r="C1390" t="str">
        <f>IF(COUNTIF(B:B,B1390)&gt;1,_xlfn.CONCAT(A1390," (",M1390,")"),B1390)</f>
        <v>Zhāngjiāzhuāng Xiāng</v>
      </c>
      <c r="D1390" t="s">
        <v>1875</v>
      </c>
      <c r="E1390" t="s">
        <v>17</v>
      </c>
      <c r="F1390" t="str">
        <f>_xlfn.CONCAT(D1390,", ",H1390,", ",I1390,", ","山西省")</f>
        <v>张家庄乡, 山阴县, 朔州市, 山西省</v>
      </c>
      <c r="G1390">
        <v>6512</v>
      </c>
      <c r="H1390" t="s">
        <v>2964</v>
      </c>
      <c r="I1390" t="s">
        <v>2961</v>
      </c>
      <c r="J1390" t="e">
        <f>VLOOKUP(F1390,[1]!china_towns_second__2[[Column1]:[Y]],3,FALSE)</f>
        <v>#N/A</v>
      </c>
      <c r="K1390" t="e">
        <f>VLOOKUP(F1390,[1]!china_towns_second__2[[Column1]:[Y]],2,FALSE)</f>
        <v>#N/A</v>
      </c>
      <c r="L1390" t="s">
        <v>4961</v>
      </c>
      <c r="M1390" t="str">
        <f>VLOOKUP(H1390,CHOOSE({1,2},Table12[Native],Table12[Name]),2,0)</f>
        <v>Shānyīn Xiàn</v>
      </c>
      <c r="N1390" s="13" t="str">
        <f>VLOOKUP(I1390,CHOOSE({1,2},Table12[Native],Table12[Name]),2,0)</f>
        <v>Shuòzhōu Shì</v>
      </c>
      <c r="O1390" s="13" t="str">
        <f t="shared" si="42"/>
        <v>Zhangjiazhuang Xiang (Shuòzhōu Shì)</v>
      </c>
      <c r="P1390" s="13" t="str">
        <f t="shared" si="43"/>
        <v>Zhangjiazhuang Xiang (Shuòzhōu Shì)</v>
      </c>
    </row>
    <row r="1391" spans="1:16" hidden="1" x14ac:dyDescent="0.25">
      <c r="A1391" t="s">
        <v>1048</v>
      </c>
      <c r="B1391" t="str">
        <f>IF(COUNTIF(A:A,A1391)&gt;1,_xlfn.CONCAT(A1391," (",N1391,")"),A1391)</f>
        <v>Zhānglán Zhèn</v>
      </c>
      <c r="C1391" t="str">
        <f>IF(COUNTIF(B:B,B1391)&gt;1,_xlfn.CONCAT(A1391," (",M1391,")"),B1391)</f>
        <v>Zhānglán Zhèn</v>
      </c>
      <c r="D1391" t="s">
        <v>1049</v>
      </c>
      <c r="E1391" t="s">
        <v>7</v>
      </c>
      <c r="F1391" t="str">
        <f>_xlfn.CONCAT(D1391,", ",H1391,", ",I1391,", ","山西省")</f>
        <v>张兰镇, 介休市, 晋中市, 山西省</v>
      </c>
      <c r="G1391">
        <v>43151</v>
      </c>
      <c r="H1391" t="s">
        <v>2916</v>
      </c>
      <c r="I1391" t="s">
        <v>2914</v>
      </c>
      <c r="J1391">
        <f>VLOOKUP(F1391,[1]!china_towns_second__2[[Column1]:[Y]],3,FALSE)</f>
        <v>37.0903239322801</v>
      </c>
      <c r="K1391">
        <f>VLOOKUP(F1391,[1]!china_towns_second__2[[Column1]:[Y]],2,FALSE)</f>
        <v>112.105904</v>
      </c>
      <c r="L1391" t="s">
        <v>4962</v>
      </c>
      <c r="M1391" t="str">
        <f>VLOOKUP(H1391,CHOOSE({1,2},Table12[Native],Table12[Name]),2,0)</f>
        <v>Jièxiū Shì</v>
      </c>
      <c r="N1391" s="13" t="str">
        <f>VLOOKUP(I1391,CHOOSE({1,2},Table12[Native],Table12[Name]),2,0)</f>
        <v>Jìnzhōng Shì</v>
      </c>
      <c r="O1391" s="13" t="str">
        <f t="shared" si="42"/>
        <v>Zhanglan Zhen (Jìnzhōng Shì)</v>
      </c>
      <c r="P1391" s="13" t="str">
        <f t="shared" si="43"/>
        <v>Zhanglan Zhen (Jìnzhōng Shì)</v>
      </c>
    </row>
    <row r="1392" spans="1:16" hidden="1" x14ac:dyDescent="0.25">
      <c r="A1392" t="s">
        <v>1050</v>
      </c>
      <c r="B1392" t="str">
        <f>IF(COUNTIF(A:A,A1392)&gt;1,_xlfn.CONCAT(A1392," (",N1392,")"),A1392)</f>
        <v>Zhāngqìng Xiāng</v>
      </c>
      <c r="C1392" t="str">
        <f>IF(COUNTIF(B:B,B1392)&gt;1,_xlfn.CONCAT(A1392," (",M1392,")"),B1392)</f>
        <v>Zhāngqìng Xiāng</v>
      </c>
      <c r="D1392" t="s">
        <v>1051</v>
      </c>
      <c r="E1392" t="s">
        <v>17</v>
      </c>
      <c r="F1392" t="str">
        <f>_xlfn.CONCAT(D1392,", ",H1392,", ",I1392,", ","山西省")</f>
        <v>张庆乡, 榆次区, 晋中市, 山西省</v>
      </c>
      <c r="G1392">
        <v>38595</v>
      </c>
      <c r="H1392" t="s">
        <v>2923</v>
      </c>
      <c r="I1392" t="s">
        <v>2914</v>
      </c>
      <c r="J1392" t="e">
        <f>VLOOKUP(F1392,[1]!china_towns_second__2[[Column1]:[Y]],3,FALSE)</f>
        <v>#N/A</v>
      </c>
      <c r="K1392" t="e">
        <f>VLOOKUP(F1392,[1]!china_towns_second__2[[Column1]:[Y]],2,FALSE)</f>
        <v>#N/A</v>
      </c>
      <c r="L1392" t="s">
        <v>4963</v>
      </c>
      <c r="M1392" t="str">
        <f>VLOOKUP(H1392,CHOOSE({1,2},Table12[Native],Table12[Name]),2,0)</f>
        <v>Yúcì Qū</v>
      </c>
      <c r="N1392" s="13" t="str">
        <f>VLOOKUP(I1392,CHOOSE({1,2},Table12[Native],Table12[Name]),2,0)</f>
        <v>Jìnzhōng Shì</v>
      </c>
      <c r="O1392" s="13" t="str">
        <f t="shared" si="42"/>
        <v>Zhangqing Xiang (Jìnzhōng Shì)</v>
      </c>
      <c r="P1392" s="13" t="str">
        <f t="shared" si="43"/>
        <v>Zhangqing Xiang (Jìnzhōng Shì)</v>
      </c>
    </row>
    <row r="1393" spans="1:16" hidden="1" x14ac:dyDescent="0.25">
      <c r="A1393" t="s">
        <v>603</v>
      </c>
      <c r="B1393" t="str">
        <f>IF(COUNTIF(A:A,A1393)&gt;1,_xlfn.CONCAT(A1393," (",N1393,")"),A1393)</f>
        <v>Zhāngxīhé Xiāng</v>
      </c>
      <c r="C1393" t="str">
        <f>IF(COUNTIF(B:B,B1393)&gt;1,_xlfn.CONCAT(A1393," (",M1393,")"),B1393)</f>
        <v>Zhāngxīhé Xiāng</v>
      </c>
      <c r="D1393" t="s">
        <v>604</v>
      </c>
      <c r="E1393" t="s">
        <v>17</v>
      </c>
      <c r="F1393" t="str">
        <f>_xlfn.CONCAT(D1393,", ",H1393,", ",I1393,", ","山西省")</f>
        <v>张西河乡, 天镇县, 大同市, 山西省</v>
      </c>
      <c r="G1393">
        <v>11706</v>
      </c>
      <c r="H1393" t="s">
        <v>2899</v>
      </c>
      <c r="I1393" t="s">
        <v>2894</v>
      </c>
      <c r="J1393" t="e">
        <f>VLOOKUP(F1393,[1]!china_towns_second__2[[Column1]:[Y]],3,FALSE)</f>
        <v>#N/A</v>
      </c>
      <c r="K1393" t="e">
        <f>VLOOKUP(F1393,[1]!china_towns_second__2[[Column1]:[Y]],2,FALSE)</f>
        <v>#N/A</v>
      </c>
      <c r="L1393" t="s">
        <v>4964</v>
      </c>
      <c r="M1393" t="str">
        <f>VLOOKUP(H1393,CHOOSE({1,2},Table12[Native],Table12[Name]),2,0)</f>
        <v>Tiānzhèn Xiàn</v>
      </c>
      <c r="N1393" s="13" t="str">
        <f>VLOOKUP(I1393,CHOOSE({1,2},Table12[Native],Table12[Name]),2,0)</f>
        <v>Dàtóng Shì</v>
      </c>
      <c r="O1393" s="13" t="str">
        <f t="shared" si="42"/>
        <v>Zhangxihe Xiang (Dàtóng Shì)</v>
      </c>
      <c r="P1393" s="13" t="str">
        <f t="shared" si="43"/>
        <v>Zhangxihe Xiang (Dàtóng Shì)</v>
      </c>
    </row>
    <row r="1394" spans="1:16" hidden="1" x14ac:dyDescent="0.25">
      <c r="A1394" t="s">
        <v>2868</v>
      </c>
      <c r="B1394" t="str">
        <f>IF(COUNTIF(A:A,A1394)&gt;1,_xlfn.CONCAT(A1394," (",N1394,")"),A1394)</f>
        <v>Zhāngyíng Zhèn</v>
      </c>
      <c r="C1394" t="str">
        <f>IF(COUNTIF(B:B,B1394)&gt;1,_xlfn.CONCAT(A1394," (",M1394,")"),B1394)</f>
        <v>Zhāngyíng Zhèn</v>
      </c>
      <c r="D1394" t="s">
        <v>2869</v>
      </c>
      <c r="E1394" t="s">
        <v>7</v>
      </c>
      <c r="F1394" t="str">
        <f>_xlfn.CONCAT(D1394,", ",H1394,", ",I1394,", ","山西省")</f>
        <v>张营镇, 永济市, 运城市, 山西省</v>
      </c>
      <c r="G1394">
        <v>30721</v>
      </c>
      <c r="H1394" t="s">
        <v>3015</v>
      </c>
      <c r="I1394" t="s">
        <v>3003</v>
      </c>
      <c r="J1394">
        <f>VLOOKUP(F1394,[1]!china_towns_second__2[[Column1]:[Y]],3,FALSE)</f>
        <v>35.008883248260503</v>
      </c>
      <c r="K1394">
        <f>VLOOKUP(F1394,[1]!china_towns_second__2[[Column1]:[Y]],2,FALSE)</f>
        <v>110.36698579999999</v>
      </c>
      <c r="L1394" t="s">
        <v>4965</v>
      </c>
      <c r="M1394" t="str">
        <f>VLOOKUP(H1394,CHOOSE({1,2},Table12[Native],Table12[Name]),2,0)</f>
        <v>Yŏngjì Shì</v>
      </c>
      <c r="N1394" s="13" t="str">
        <f>VLOOKUP(I1394,CHOOSE({1,2},Table12[Native],Table12[Name]),2,0)</f>
        <v>Yùnchéng Shì</v>
      </c>
      <c r="O1394" s="13" t="str">
        <f t="shared" si="42"/>
        <v>Zhangying Zhen (Yùnchéng Shì)</v>
      </c>
      <c r="P1394" s="13" t="str">
        <f t="shared" si="43"/>
        <v>Zhangying Zhen (Yùnchéng Shì)</v>
      </c>
    </row>
    <row r="1395" spans="1:16" hidden="1" x14ac:dyDescent="0.25">
      <c r="A1395" t="s">
        <v>313</v>
      </c>
      <c r="B1395" t="str">
        <f>IF(COUNTIF(A:A,A1395)&gt;1,_xlfn.CONCAT(A1395," (",N1395,")"),A1395)</f>
        <v>Zhāngyuán Zhèn</v>
      </c>
      <c r="C1395" t="str">
        <f>IF(COUNTIF(B:B,B1395)&gt;1,_xlfn.CONCAT(A1395," (",M1395,")"),B1395)</f>
        <v>Zhāngyuán Zhèn</v>
      </c>
      <c r="D1395" t="s">
        <v>314</v>
      </c>
      <c r="E1395" t="s">
        <v>7</v>
      </c>
      <c r="F1395" t="str">
        <f>_xlfn.CONCAT(D1395,", ",H1395,", ",I1395,", ","山西省")</f>
        <v>漳源镇, 沁县, 长治市, 山西省</v>
      </c>
      <c r="G1395">
        <v>13367</v>
      </c>
      <c r="H1395" t="s">
        <v>2887</v>
      </c>
      <c r="I1395" t="s">
        <v>2878</v>
      </c>
      <c r="J1395">
        <f>VLOOKUP(F1395,[1]!china_towns_second__2[[Column1]:[Y]],3,FALSE)</f>
        <v>36.8444522017192</v>
      </c>
      <c r="K1395">
        <f>VLOOKUP(F1395,[1]!china_towns_second__2[[Column1]:[Y]],2,FALSE)</f>
        <v>112.6026438</v>
      </c>
      <c r="L1395" t="s">
        <v>4966</v>
      </c>
      <c r="M1395" t="str">
        <f>VLOOKUP(H1395,CHOOSE({1,2},Table12[Native],Table12[Name]),2,0)</f>
        <v>Qìn Xiàn</v>
      </c>
      <c r="N1395" s="13" t="str">
        <f>VLOOKUP(I1395,CHOOSE({1,2},Table12[Native],Table12[Name]),2,0)</f>
        <v>Chángzhì Shì</v>
      </c>
      <c r="O1395" s="13" t="str">
        <f t="shared" si="42"/>
        <v>Zhangyuan Zhen (Chángzhì Shì)</v>
      </c>
      <c r="P1395" s="13" t="str">
        <f t="shared" si="43"/>
        <v>Zhangyuan Zhen (Chángzhì Shì)</v>
      </c>
    </row>
    <row r="1396" spans="1:16" hidden="1" x14ac:dyDescent="0.25">
      <c r="A1396" t="s">
        <v>1393</v>
      </c>
      <c r="B1396" t="str">
        <f>IF(COUNTIF(A:A,A1396)&gt;1,_xlfn.CONCAT(A1396," (",N1396,")"),A1396)</f>
        <v>Zhāngzhuāng Xiāng</v>
      </c>
      <c r="C1396" t="str">
        <f>IF(COUNTIF(B:B,B1396)&gt;1,_xlfn.CONCAT(A1396," (",M1396,")"),B1396)</f>
        <v>Zhāngzhuāng Xiāng</v>
      </c>
      <c r="D1396" t="s">
        <v>1394</v>
      </c>
      <c r="E1396" t="s">
        <v>17</v>
      </c>
      <c r="F1396" t="str">
        <f>_xlfn.CONCAT(D1396,", ",H1396,", ",I1396,", ","山西省")</f>
        <v>张庄乡, 浮山县, 临汾市, 山西省</v>
      </c>
      <c r="G1396">
        <v>17436</v>
      </c>
      <c r="H1396" t="s">
        <v>2931</v>
      </c>
      <c r="I1396" t="s">
        <v>2927</v>
      </c>
      <c r="J1396" t="e">
        <f>VLOOKUP(F1396,[1]!china_towns_second__2[[Column1]:[Y]],3,FALSE)</f>
        <v>#N/A</v>
      </c>
      <c r="K1396" t="e">
        <f>VLOOKUP(F1396,[1]!china_towns_second__2[[Column1]:[Y]],2,FALSE)</f>
        <v>#N/A</v>
      </c>
      <c r="L1396" t="s">
        <v>4967</v>
      </c>
      <c r="M1396" t="str">
        <f>VLOOKUP(H1396,CHOOSE({1,2},Table12[Native],Table12[Name]),2,0)</f>
        <v>Fúshān Xiàn</v>
      </c>
      <c r="N1396" s="13" t="str">
        <f>VLOOKUP(I1396,CHOOSE({1,2},Table12[Native],Table12[Name]),2,0)</f>
        <v>Línfén Shì</v>
      </c>
      <c r="O1396" s="13" t="str">
        <f t="shared" si="42"/>
        <v>Zhangzhuang Xiang (Línfén Shì)</v>
      </c>
      <c r="P1396" s="13" t="str">
        <f t="shared" si="43"/>
        <v>Zhangzhuang Xiang (Línfén Shì)</v>
      </c>
    </row>
    <row r="1397" spans="1:16" hidden="1" x14ac:dyDescent="0.25">
      <c r="A1397" t="s">
        <v>2574</v>
      </c>
      <c r="B1397" t="str">
        <f>IF(COUNTIF(A:A,A1397)&gt;1,_xlfn.CONCAT(A1397," (",N1397,")"),A1397)</f>
        <v>Zhāngzhuāng Zhèn</v>
      </c>
      <c r="C1397" t="str">
        <f>IF(COUNTIF(B:B,B1397)&gt;1,_xlfn.CONCAT(A1397," (",M1397,")"),B1397)</f>
        <v>Zhāngzhuāng Zhèn</v>
      </c>
      <c r="D1397" t="s">
        <v>2575</v>
      </c>
      <c r="E1397" t="s">
        <v>7</v>
      </c>
      <c r="F1397" t="str">
        <f>_xlfn.CONCAT(D1397,", ",H1397,", ",I1397,", ","山西省")</f>
        <v>张庄镇, 平定县, 阳泉市, 山西省</v>
      </c>
      <c r="G1397">
        <v>39012</v>
      </c>
      <c r="H1397" t="s">
        <v>3000</v>
      </c>
      <c r="I1397" t="s">
        <v>2997</v>
      </c>
      <c r="J1397">
        <f>VLOOKUP(F1397,[1]!china_towns_second__2[[Column1]:[Y]],3,FALSE)</f>
        <v>37.703733540525199</v>
      </c>
      <c r="K1397">
        <f>VLOOKUP(F1397,[1]!china_towns_second__2[[Column1]:[Y]],2,FALSE)</f>
        <v>113.6904182</v>
      </c>
      <c r="L1397" t="s">
        <v>4968</v>
      </c>
      <c r="M1397" t="str">
        <f>VLOOKUP(H1397,CHOOSE({1,2},Table12[Native],Table12[Name]),2,0)</f>
        <v>Píngdìng Xiàn</v>
      </c>
      <c r="N1397" s="13" t="str">
        <f>VLOOKUP(I1397,CHOOSE({1,2},Table12[Native],Table12[Name]),2,0)</f>
        <v>Yángquán Shì</v>
      </c>
      <c r="O1397" s="13" t="str">
        <f t="shared" si="42"/>
        <v>Zhangzhuang Zhen (Yángquán Shì)</v>
      </c>
      <c r="P1397" s="13" t="str">
        <f t="shared" si="43"/>
        <v>Zhangzhuang Zhen (Yángquán Shì)</v>
      </c>
    </row>
    <row r="1398" spans="1:16" hidden="1" x14ac:dyDescent="0.25">
      <c r="A1398" t="s">
        <v>1052</v>
      </c>
      <c r="B1398" t="str">
        <f>IF(COUNTIF(A:A,A1398)&gt;1,_xlfn.CONCAT(A1398," (",N1398,")"),A1398)</f>
        <v>Zhānshàng Zhèn</v>
      </c>
      <c r="C1398" t="str">
        <f>IF(COUNTIF(B:B,B1398)&gt;1,_xlfn.CONCAT(A1398," (",M1398,")"),B1398)</f>
        <v>Zhānshàng Zhèn</v>
      </c>
      <c r="D1398" t="s">
        <v>1053</v>
      </c>
      <c r="E1398" t="s">
        <v>7</v>
      </c>
      <c r="F1398" t="str">
        <f>_xlfn.CONCAT(D1398,", ",H1398,", ",I1398,", ","山西省")</f>
        <v>沾尚镇, 昔阳县, 晋中市, 山西省</v>
      </c>
      <c r="G1398">
        <v>7808</v>
      </c>
      <c r="H1398" t="s">
        <v>2922</v>
      </c>
      <c r="I1398" t="s">
        <v>2914</v>
      </c>
      <c r="J1398">
        <f>VLOOKUP(F1398,[1]!china_towns_second__2[[Column1]:[Y]],3,FALSE)</f>
        <v>37.634907861042201</v>
      </c>
      <c r="K1398">
        <f>VLOOKUP(F1398,[1]!china_towns_second__2[[Column1]:[Y]],2,FALSE)</f>
        <v>113.4304491</v>
      </c>
      <c r="L1398" t="s">
        <v>4969</v>
      </c>
      <c r="M1398" t="str">
        <f>VLOOKUP(H1398,CHOOSE({1,2},Table12[Native],Table12[Name]),2,0)</f>
        <v>Xīyáng Xiàn</v>
      </c>
      <c r="N1398" s="13" t="str">
        <f>VLOOKUP(I1398,CHOOSE({1,2},Table12[Native],Table12[Name]),2,0)</f>
        <v>Jìnzhōng Shì</v>
      </c>
      <c r="O1398" s="13" t="str">
        <f t="shared" si="42"/>
        <v>Zhanshang Zhen (Jìnzhōng Shì)</v>
      </c>
      <c r="P1398" s="13" t="str">
        <f t="shared" si="43"/>
        <v>Zhanshang Zhen (Jìnzhōng Shì)</v>
      </c>
    </row>
    <row r="1399" spans="1:16" hidden="1" x14ac:dyDescent="0.25">
      <c r="A1399" t="s">
        <v>605</v>
      </c>
      <c r="B1399" t="str">
        <f>IF(COUNTIF(A:A,A1399)&gt;1,_xlfn.CONCAT(A1399," (",N1399,")"),A1399)</f>
        <v>Zhàobĕi Xiāng</v>
      </c>
      <c r="C1399" t="str">
        <f>IF(COUNTIF(B:B,B1399)&gt;1,_xlfn.CONCAT(A1399," (",M1399,")"),B1399)</f>
        <v>Zhàobĕi Xiāng</v>
      </c>
      <c r="D1399" t="s">
        <v>606</v>
      </c>
      <c r="E1399" t="s">
        <v>17</v>
      </c>
      <c r="F1399" t="str">
        <f>_xlfn.CONCAT(D1399,", ",H1399,", ",I1399,", ","山西省")</f>
        <v>赵北乡, 灵丘县, 大同市, 山西省</v>
      </c>
      <c r="G1399">
        <v>11005</v>
      </c>
      <c r="H1399" t="s">
        <v>2897</v>
      </c>
      <c r="I1399" t="s">
        <v>2894</v>
      </c>
      <c r="J1399" t="e">
        <f>VLOOKUP(F1399,[1]!china_towns_second__2[[Column1]:[Y]],3,FALSE)</f>
        <v>#N/A</v>
      </c>
      <c r="K1399" t="e">
        <f>VLOOKUP(F1399,[1]!china_towns_second__2[[Column1]:[Y]],2,FALSE)</f>
        <v>#N/A</v>
      </c>
      <c r="L1399" t="s">
        <v>4970</v>
      </c>
      <c r="M1399" t="str">
        <f>VLOOKUP(H1399,CHOOSE({1,2},Table12[Native],Table12[Name]),2,0)</f>
        <v>Língqiū Xiàn</v>
      </c>
      <c r="N1399" s="13" t="str">
        <f>VLOOKUP(I1399,CHOOSE({1,2},Table12[Native],Table12[Name]),2,0)</f>
        <v>Dàtóng Shì</v>
      </c>
      <c r="O1399" s="13" t="str">
        <f t="shared" si="42"/>
        <v>Zhaobei Xiang (Dàtóng Shì)</v>
      </c>
      <c r="P1399" s="13" t="str">
        <f t="shared" si="43"/>
        <v>Zhaobei Xiang (Dàtóng Shì)</v>
      </c>
    </row>
    <row r="1400" spans="1:16" hidden="1" x14ac:dyDescent="0.25">
      <c r="A1400" t="s">
        <v>1054</v>
      </c>
      <c r="B1400" t="str">
        <f>IF(COUNTIF(A:A,A1400)&gt;1,_xlfn.CONCAT(A1400," (",N1400,")"),A1400)</f>
        <v>Zhàobì Xiāng</v>
      </c>
      <c r="C1400" t="str">
        <f>IF(COUNTIF(B:B,B1400)&gt;1,_xlfn.CONCAT(A1400," (",M1400,")"),B1400)</f>
        <v>Zhàobì Xiāng</v>
      </c>
      <c r="D1400" t="s">
        <v>1055</v>
      </c>
      <c r="E1400" t="s">
        <v>17</v>
      </c>
      <c r="F1400" t="str">
        <f>_xlfn.CONCAT(D1400,", ",H1400,", ",I1400,", ","山西省")</f>
        <v>赵壁乡, 昔阳县, 晋中市, 山西省</v>
      </c>
      <c r="G1400">
        <v>16859</v>
      </c>
      <c r="H1400" t="s">
        <v>2922</v>
      </c>
      <c r="I1400" t="s">
        <v>2914</v>
      </c>
      <c r="J1400" t="e">
        <f>VLOOKUP(F1400,[1]!china_towns_second__2[[Column1]:[Y]],3,FALSE)</f>
        <v>#N/A</v>
      </c>
      <c r="K1400" t="e">
        <f>VLOOKUP(F1400,[1]!china_towns_second__2[[Column1]:[Y]],2,FALSE)</f>
        <v>#N/A</v>
      </c>
      <c r="L1400" t="s">
        <v>4971</v>
      </c>
      <c r="M1400" t="str">
        <f>VLOOKUP(H1400,CHOOSE({1,2},Table12[Native],Table12[Name]),2,0)</f>
        <v>Xīyáng Xiàn</v>
      </c>
      <c r="N1400" s="13" t="str">
        <f>VLOOKUP(I1400,CHOOSE({1,2},Table12[Native],Table12[Name]),2,0)</f>
        <v>Jìnzhōng Shì</v>
      </c>
      <c r="O1400" s="13" t="str">
        <f t="shared" si="42"/>
        <v>Zhaobi Xiang (Jìnzhōng Shì)</v>
      </c>
      <c r="P1400" s="13" t="str">
        <f t="shared" si="43"/>
        <v>Zhaobi Xiang (Jìnzhōng Shì)</v>
      </c>
    </row>
    <row r="1401" spans="1:16" hidden="1" x14ac:dyDescent="0.25">
      <c r="A1401" t="s">
        <v>1395</v>
      </c>
      <c r="B1401" t="str">
        <f>IF(COUNTIF(A:A,A1401)&gt;1,_xlfn.CONCAT(A1401," (",N1401,")"),A1401)</f>
        <v>Zhàochéng Zhèn</v>
      </c>
      <c r="C1401" t="str">
        <f>IF(COUNTIF(B:B,B1401)&gt;1,_xlfn.CONCAT(A1401," (",M1401,")"),B1401)</f>
        <v>Zhàochéng Zhèn</v>
      </c>
      <c r="D1401" t="s">
        <v>1396</v>
      </c>
      <c r="E1401" t="s">
        <v>7</v>
      </c>
      <c r="F1401" t="str">
        <f>_xlfn.CONCAT(D1401,", ",H1401,", ",I1401,", ","山西省")</f>
        <v>赵城镇, 洪洞县, 临汾市, 山西省</v>
      </c>
      <c r="G1401">
        <v>78065</v>
      </c>
      <c r="H1401" t="s">
        <v>2933</v>
      </c>
      <c r="I1401" t="s">
        <v>2927</v>
      </c>
      <c r="J1401">
        <f>VLOOKUP(F1401,[1]!china_towns_second__2[[Column1]:[Y]],3,FALSE)</f>
        <v>36.403109667762202</v>
      </c>
      <c r="K1401">
        <f>VLOOKUP(F1401,[1]!china_towns_second__2[[Column1]:[Y]],2,FALSE)</f>
        <v>111.6966903</v>
      </c>
      <c r="L1401" t="s">
        <v>4972</v>
      </c>
      <c r="M1401" t="str">
        <f>VLOOKUP(H1401,CHOOSE({1,2},Table12[Native],Table12[Name]),2,0)</f>
        <v>Hóngdòng Xiàn</v>
      </c>
      <c r="N1401" s="13" t="str">
        <f>VLOOKUP(I1401,CHOOSE({1,2},Table12[Native],Table12[Name]),2,0)</f>
        <v>Línfén Shì</v>
      </c>
      <c r="O1401" s="13" t="str">
        <f t="shared" si="42"/>
        <v>Zhaocheng Zhen (Línfén Shì)</v>
      </c>
      <c r="P1401" s="13" t="str">
        <f t="shared" si="43"/>
        <v>Zhaocheng Zhen (Línfén Shì)</v>
      </c>
    </row>
    <row r="1402" spans="1:16" hidden="1" x14ac:dyDescent="0.25">
      <c r="A1402" t="s">
        <v>607</v>
      </c>
      <c r="B1402" t="str">
        <f>IF(COUNTIF(A:A,A1402)&gt;1,_xlfn.CONCAT(A1402," (",N1402,")"),A1402)</f>
        <v>Zhàojiāgōu Xiāng (Dàtóng Shì)</v>
      </c>
      <c r="C1402" t="str">
        <f>IF(COUNTIF(B:B,B1402)&gt;1,_xlfn.CONCAT(A1402," (",M1402,")"),B1402)</f>
        <v>Zhàojiāgōu Xiāng (Dàtóng Shì)</v>
      </c>
      <c r="D1402" t="s">
        <v>608</v>
      </c>
      <c r="E1402" t="s">
        <v>17</v>
      </c>
      <c r="F1402" t="str">
        <f>_xlfn.CONCAT(D1402,", ",H1402,", ",I1402,", ","山西省")</f>
        <v>赵家沟乡, 天镇县, 大同市, 山西省</v>
      </c>
      <c r="G1402">
        <v>5963</v>
      </c>
      <c r="H1402" t="s">
        <v>2899</v>
      </c>
      <c r="I1402" t="s">
        <v>2894</v>
      </c>
      <c r="J1402" t="e">
        <f>VLOOKUP(F1402,[1]!china_towns_second__2[[Column1]:[Y]],3,FALSE)</f>
        <v>#N/A</v>
      </c>
      <c r="K1402" t="e">
        <f>VLOOKUP(F1402,[1]!china_towns_second__2[[Column1]:[Y]],2,FALSE)</f>
        <v>#N/A</v>
      </c>
      <c r="L1402" t="s">
        <v>4973</v>
      </c>
      <c r="M1402" t="str">
        <f>VLOOKUP(H1402,CHOOSE({1,2},Table12[Native],Table12[Name]),2,0)</f>
        <v>Tiānzhèn Xiàn</v>
      </c>
      <c r="N1402" s="13" t="str">
        <f>VLOOKUP(I1402,CHOOSE({1,2},Table12[Native],Table12[Name]),2,0)</f>
        <v>Dàtóng Shì</v>
      </c>
      <c r="O1402" s="13" t="str">
        <f t="shared" si="42"/>
        <v>Zhaojiagou Xiang (Datong Shi) (Dàtóng Shì)</v>
      </c>
      <c r="P1402" s="13" t="str">
        <f t="shared" si="43"/>
        <v>Zhaojiagou Xiang (Datong Shi) (Dàtóng Shì)</v>
      </c>
    </row>
    <row r="1403" spans="1:16" hidden="1" x14ac:dyDescent="0.25">
      <c r="A1403" t="s">
        <v>607</v>
      </c>
      <c r="B1403" t="str">
        <f>IF(COUNTIF(A:A,A1403)&gt;1,_xlfn.CONCAT(A1403," (",N1403,")"),A1403)</f>
        <v>Zhàojiāgōu Xiāng (Xīnzhōu Shì)</v>
      </c>
      <c r="C1403" t="str">
        <f>IF(COUNTIF(B:B,B1403)&gt;1,_xlfn.CONCAT(A1403," (",M1403,")"),B1403)</f>
        <v>Zhàojiāgōu Xiāng (Xīnzhōu Shì)</v>
      </c>
      <c r="D1403" t="s">
        <v>608</v>
      </c>
      <c r="E1403" t="s">
        <v>17</v>
      </c>
      <c r="F1403" t="str">
        <f>_xlfn.CONCAT(D1403,", ",H1403,", ",I1403,", ","山西省")</f>
        <v>赵家沟乡, 河曲县, 忻州市, 山西省</v>
      </c>
      <c r="G1403">
        <v>1657</v>
      </c>
      <c r="H1403" t="s">
        <v>2986</v>
      </c>
      <c r="I1403" t="s">
        <v>2981</v>
      </c>
      <c r="J1403" t="e">
        <f>VLOOKUP(F1403,[1]!china_towns_second__2[[Column1]:[Y]],3,FALSE)</f>
        <v>#N/A</v>
      </c>
      <c r="K1403" t="e">
        <f>VLOOKUP(F1403,[1]!china_towns_second__2[[Column1]:[Y]],2,FALSE)</f>
        <v>#N/A</v>
      </c>
      <c r="L1403" t="s">
        <v>4974</v>
      </c>
      <c r="M1403" t="str">
        <f>VLOOKUP(H1403,CHOOSE({1,2},Table12[Native],Table12[Name]),2,0)</f>
        <v>Héqŭ Xiàn</v>
      </c>
      <c r="N1403" s="13" t="str">
        <f>VLOOKUP(I1403,CHOOSE({1,2},Table12[Native],Table12[Name]),2,0)</f>
        <v>Xīnzhōu Shì</v>
      </c>
      <c r="O1403" s="13" t="str">
        <f t="shared" si="42"/>
        <v>Zhaojiagou Xiang (Xinzhou Shi) (Xīnzhōu Shì)</v>
      </c>
      <c r="P1403" s="13" t="str">
        <f t="shared" si="43"/>
        <v>Zhaojiagou Xiang (Xinzhou Shi) (Xīnzhōu Shì)</v>
      </c>
    </row>
    <row r="1404" spans="1:16" hidden="1" x14ac:dyDescent="0.25">
      <c r="A1404" t="s">
        <v>1720</v>
      </c>
      <c r="B1404" t="str">
        <f>IF(COUNTIF(A:A,A1404)&gt;1,_xlfn.CONCAT(A1404," (",N1404,")"),A1404)</f>
        <v>Zhàojiāpíng Xiāng</v>
      </c>
      <c r="C1404" t="str">
        <f>IF(COUNTIF(B:B,B1404)&gt;1,_xlfn.CONCAT(A1404," (",M1404,")"),B1404)</f>
        <v>Zhàojiāpíng Xiāng</v>
      </c>
      <c r="D1404" t="s">
        <v>1721</v>
      </c>
      <c r="E1404" t="s">
        <v>17</v>
      </c>
      <c r="F1404" t="str">
        <f>_xlfn.CONCAT(D1404,", ",H1404,", ",I1404,", ","山西省")</f>
        <v>赵家坪乡, 兴县, 吕梁市, 山西省</v>
      </c>
      <c r="G1404">
        <v>4139</v>
      </c>
      <c r="H1404" t="s">
        <v>2958</v>
      </c>
      <c r="I1404" t="s">
        <v>2946</v>
      </c>
      <c r="J1404" t="e">
        <f>VLOOKUP(F1404,[1]!china_towns_second__2[[Column1]:[Y]],3,FALSE)</f>
        <v>#N/A</v>
      </c>
      <c r="K1404" t="e">
        <f>VLOOKUP(F1404,[1]!china_towns_second__2[[Column1]:[Y]],2,FALSE)</f>
        <v>#N/A</v>
      </c>
      <c r="L1404" t="s">
        <v>4975</v>
      </c>
      <c r="M1404" t="str">
        <f>VLOOKUP(H1404,CHOOSE({1,2},Table12[Native],Table12[Name]),2,0)</f>
        <v>Xīng Xiàn</v>
      </c>
      <c r="N1404" s="13" t="str">
        <f>VLOOKUP(I1404,CHOOSE({1,2},Table12[Native],Table12[Name]),2,0)</f>
        <v>Lǚliáng Shì</v>
      </c>
      <c r="O1404" s="13" t="str">
        <f t="shared" si="42"/>
        <v>Zhaojiaping Xiang (Lǚliáng Shì)</v>
      </c>
      <c r="P1404" s="13" t="str">
        <f t="shared" si="43"/>
        <v>Zhaojiaping Xiang (Lǚliáng Shì)</v>
      </c>
    </row>
    <row r="1405" spans="1:16" hidden="1" x14ac:dyDescent="0.25">
      <c r="A1405" t="s">
        <v>2870</v>
      </c>
      <c r="B1405" t="str">
        <f>IF(COUNTIF(A:A,A1405)&gt;1,_xlfn.CONCAT(A1405," (",N1405,")"),A1405)</f>
        <v>Zhàojiāzhuāng Xiāng</v>
      </c>
      <c r="C1405" t="str">
        <f>IF(COUNTIF(B:B,B1405)&gt;1,_xlfn.CONCAT(A1405," (",M1405,")"),B1405)</f>
        <v>Zhàojiāzhuāng Xiāng</v>
      </c>
      <c r="D1405" t="s">
        <v>2871</v>
      </c>
      <c r="E1405" t="s">
        <v>17</v>
      </c>
      <c r="F1405" t="str">
        <f>_xlfn.CONCAT(D1405,", ",H1405,", ",I1405,", ","山西省")</f>
        <v>赵家庄乡, 河津市, 运城市, 山西省</v>
      </c>
      <c r="G1405">
        <v>31775</v>
      </c>
      <c r="H1405" t="s">
        <v>3004</v>
      </c>
      <c r="I1405" t="s">
        <v>3003</v>
      </c>
      <c r="J1405" t="e">
        <f>VLOOKUP(F1405,[1]!china_towns_second__2[[Column1]:[Y]],3,FALSE)</f>
        <v>#N/A</v>
      </c>
      <c r="K1405" t="e">
        <f>VLOOKUP(F1405,[1]!china_towns_second__2[[Column1]:[Y]],2,FALSE)</f>
        <v>#N/A</v>
      </c>
      <c r="L1405" t="s">
        <v>4976</v>
      </c>
      <c r="M1405" t="str">
        <f>VLOOKUP(H1405,CHOOSE({1,2},Table12[Native],Table12[Name]),2,0)</f>
        <v>Héjīn Shì</v>
      </c>
      <c r="N1405" s="13" t="str">
        <f>VLOOKUP(I1405,CHOOSE({1,2},Table12[Native],Table12[Name]),2,0)</f>
        <v>Yùnchéng Shì</v>
      </c>
      <c r="O1405" s="13" t="str">
        <f t="shared" si="42"/>
        <v>Zhaojiazhuang Xiang (Yùnchéng Shì)</v>
      </c>
      <c r="P1405" s="13" t="str">
        <f t="shared" si="43"/>
        <v>Zhaojiazhuang Xiang (Yùnchéng Shì)</v>
      </c>
    </row>
    <row r="1406" spans="1:16" hidden="1" x14ac:dyDescent="0.25">
      <c r="A1406" t="s">
        <v>1397</v>
      </c>
      <c r="B1406" t="str">
        <f>IF(COUNTIF(A:A,A1406)&gt;1,_xlfn.CONCAT(A1406," (",N1406,")"),A1406)</f>
        <v>Zhàokāng Zhèn</v>
      </c>
      <c r="C1406" t="str">
        <f>IF(COUNTIF(B:B,B1406)&gt;1,_xlfn.CONCAT(A1406," (",M1406,")"),B1406)</f>
        <v>Zhàokāng Zhèn</v>
      </c>
      <c r="D1406" t="s">
        <v>1398</v>
      </c>
      <c r="E1406" t="s">
        <v>7</v>
      </c>
      <c r="F1406" t="str">
        <f>_xlfn.CONCAT(D1406,", ",H1406,", ",I1406,", ","山西省")</f>
        <v>赵康镇, 襄汾县, 临汾市, 山西省</v>
      </c>
      <c r="G1406">
        <v>27716</v>
      </c>
      <c r="H1406" t="s">
        <v>2939</v>
      </c>
      <c r="I1406" t="s">
        <v>2927</v>
      </c>
      <c r="J1406">
        <f>VLOOKUP(F1406,[1]!china_towns_second__2[[Column1]:[Y]],3,FALSE)</f>
        <v>35.737000036204797</v>
      </c>
      <c r="K1406">
        <f>VLOOKUP(F1406,[1]!china_towns_second__2[[Column1]:[Y]],2,FALSE)</f>
        <v>111.2387147</v>
      </c>
      <c r="L1406" t="s">
        <v>4977</v>
      </c>
      <c r="M1406" t="str">
        <f>VLOOKUP(H1406,CHOOSE({1,2},Table12[Native],Table12[Name]),2,0)</f>
        <v>Xiāngfén Xiàn</v>
      </c>
      <c r="N1406" s="13" t="str">
        <f>VLOOKUP(I1406,CHOOSE({1,2},Table12[Native],Table12[Name]),2,0)</f>
        <v>Línfén Shì</v>
      </c>
      <c r="O1406" s="13" t="str">
        <f t="shared" si="42"/>
        <v>Zhaokang Zhen (Línfén Shì)</v>
      </c>
      <c r="P1406" s="13" t="str">
        <f t="shared" si="43"/>
        <v>Zhaokang Zhen (Línfén Shì)</v>
      </c>
    </row>
    <row r="1407" spans="1:16" hidden="1" x14ac:dyDescent="0.25">
      <c r="A1407" t="s">
        <v>1722</v>
      </c>
      <c r="B1407" t="str">
        <f>IF(COUNTIF(A:A,A1407)&gt;1,_xlfn.CONCAT(A1407," (",N1407,")"),A1407)</f>
        <v>Zhāoxián Zhèn</v>
      </c>
      <c r="C1407" t="str">
        <f>IF(COUNTIF(B:B,B1407)&gt;1,_xlfn.CONCAT(A1407," (",M1407,")"),B1407)</f>
        <v>Zhāoxián Zhèn</v>
      </c>
      <c r="D1407" t="s">
        <v>1723</v>
      </c>
      <c r="E1407" t="s">
        <v>7</v>
      </c>
      <c r="F1407" t="str">
        <f>_xlfn.CONCAT(D1407,", ",H1407,", ",I1407,", ","山西省")</f>
        <v>招贤镇, 临县, 吕梁市, 山西省</v>
      </c>
      <c r="G1407">
        <v>14342</v>
      </c>
      <c r="H1407" t="s">
        <v>2952</v>
      </c>
      <c r="I1407" t="s">
        <v>2946</v>
      </c>
      <c r="J1407">
        <f>VLOOKUP(F1407,[1]!china_towns_second__2[[Column1]:[Y]],3,FALSE)</f>
        <v>37.672528920760897</v>
      </c>
      <c r="K1407">
        <f>VLOOKUP(F1407,[1]!china_towns_second__2[[Column1]:[Y]],2,FALSE)</f>
        <v>110.9437016</v>
      </c>
      <c r="L1407" t="s">
        <v>4978</v>
      </c>
      <c r="M1407" t="str">
        <f>VLOOKUP(H1407,CHOOSE({1,2},Table12[Native],Table12[Name]),2,0)</f>
        <v>Lín Xiàn</v>
      </c>
      <c r="N1407" s="13" t="str">
        <f>VLOOKUP(I1407,CHOOSE({1,2},Table12[Native],Table12[Name]),2,0)</f>
        <v>Lǚliáng Shì</v>
      </c>
      <c r="O1407" s="13" t="str">
        <f t="shared" si="42"/>
        <v>Zhaoxian Zhen (Lǚliáng Shì)</v>
      </c>
      <c r="P1407" s="13" t="str">
        <f t="shared" si="43"/>
        <v>Zhaoxian Zhen (Lǚliáng Shì)</v>
      </c>
    </row>
    <row r="1408" spans="1:16" hidden="1" x14ac:dyDescent="0.25">
      <c r="A1408" t="s">
        <v>1056</v>
      </c>
      <c r="B1408" t="str">
        <f>IF(COUNTIF(A:A,A1408)&gt;1,_xlfn.CONCAT(A1408," (",N1408,")"),A1408)</f>
        <v>Zhāoyú Zhèn</v>
      </c>
      <c r="C1408" t="str">
        <f>IF(COUNTIF(B:B,B1408)&gt;1,_xlfn.CONCAT(A1408," (",M1408,")"),B1408)</f>
        <v>Zhāoyú Zhèn</v>
      </c>
      <c r="D1408" t="s">
        <v>1057</v>
      </c>
      <c r="E1408" t="s">
        <v>7</v>
      </c>
      <c r="F1408" t="str">
        <f>_xlfn.CONCAT(D1408,", ",H1408,", ",I1408,", ","山西省")</f>
        <v>昭馀镇, 祁县, 晋中市, 山西省</v>
      </c>
      <c r="G1408">
        <v>31685</v>
      </c>
      <c r="H1408" t="s">
        <v>2919</v>
      </c>
      <c r="I1408" t="s">
        <v>2914</v>
      </c>
      <c r="J1408">
        <f>VLOOKUP(F1408,[1]!china_towns_second__2[[Column1]:[Y]],3,FALSE)</f>
        <v>37.360478066186502</v>
      </c>
      <c r="K1408">
        <f>VLOOKUP(F1408,[1]!china_towns_second__2[[Column1]:[Y]],2,FALSE)</f>
        <v>112.31930060000001</v>
      </c>
      <c r="L1408" t="s">
        <v>4979</v>
      </c>
      <c r="M1408" t="str">
        <f>VLOOKUP(H1408,CHOOSE({1,2},Table12[Native],Table12[Name]),2,0)</f>
        <v>Qí Xiàn</v>
      </c>
      <c r="N1408" s="13" t="str">
        <f>VLOOKUP(I1408,CHOOSE({1,2},Table12[Native],Table12[Name]),2,0)</f>
        <v>Jìnzhōng Shì</v>
      </c>
      <c r="O1408" s="13" t="str">
        <f t="shared" si="42"/>
        <v>Zhaoyu Zhen (Jìnzhōng Shì)</v>
      </c>
      <c r="P1408" s="13" t="str">
        <f t="shared" si="43"/>
        <v>Zhaoyu Zhen (Jìnzhōng Shì)</v>
      </c>
    </row>
    <row r="1409" spans="1:16" hidden="1" x14ac:dyDescent="0.25">
      <c r="A1409" t="s">
        <v>2096</v>
      </c>
      <c r="B1409" t="str">
        <f>IF(COUNTIF(A:A,A1409)&gt;1,_xlfn.CONCAT(A1409," (",N1409,")"),A1409)</f>
        <v>Zhènchéngdĭ Zhèn</v>
      </c>
      <c r="C1409" t="str">
        <f>IF(COUNTIF(B:B,B1409)&gt;1,_xlfn.CONCAT(A1409," (",M1409,")"),B1409)</f>
        <v>Zhènchéngdĭ Zhèn</v>
      </c>
      <c r="D1409" t="s">
        <v>2097</v>
      </c>
      <c r="E1409" t="s">
        <v>7</v>
      </c>
      <c r="F1409" t="str">
        <f>_xlfn.CONCAT(D1409,", ",H1409,", ",I1409,", ","山西省")</f>
        <v>镇城底镇, 古交市, 太原市, 山西省</v>
      </c>
      <c r="G1409">
        <v>9022</v>
      </c>
      <c r="H1409" t="s">
        <v>2970</v>
      </c>
      <c r="I1409" t="s">
        <v>2969</v>
      </c>
      <c r="J1409">
        <f>VLOOKUP(F1409,[1]!china_towns_second__2[[Column1]:[Y]],3,FALSE)</f>
        <v>37.927433871529502</v>
      </c>
      <c r="K1409">
        <f>VLOOKUP(F1409,[1]!china_towns_second__2[[Column1]:[Y]],2,FALSE)</f>
        <v>112.0350351</v>
      </c>
      <c r="L1409" t="s">
        <v>4980</v>
      </c>
      <c r="M1409" t="str">
        <f>VLOOKUP(H1409,CHOOSE({1,2},Table12[Native],Table12[Name]),2,0)</f>
        <v>Gŭjiāo Shì</v>
      </c>
      <c r="N1409" s="13" t="str">
        <f>VLOOKUP(I1409,CHOOSE({1,2},Table12[Native],Table12[Name]),2,0)</f>
        <v>Tàiyuán Shì</v>
      </c>
      <c r="O1409" s="13" t="str">
        <f t="shared" si="42"/>
        <v>Zhenchengdi Zhen (Tàiyuán Shì)</v>
      </c>
      <c r="P1409" s="13" t="str">
        <f t="shared" si="43"/>
        <v>Zhenchengdi Zhen (Tàiyuán Shì)</v>
      </c>
    </row>
    <row r="1410" spans="1:16" hidden="1" x14ac:dyDescent="0.25">
      <c r="A1410" t="s">
        <v>773</v>
      </c>
      <c r="B1410" t="str">
        <f>IF(COUNTIF(A:A,A1410)&gt;1,_xlfn.CONCAT(A1410," (",N1410,")"),A1410)</f>
        <v>Zhèngcūn Zhèn</v>
      </c>
      <c r="C1410" t="str">
        <f>IF(COUNTIF(B:B,B1410)&gt;1,_xlfn.CONCAT(A1410," (",M1410,")"),B1410)</f>
        <v>Zhèngcūn Zhèn</v>
      </c>
      <c r="D1410" t="s">
        <v>774</v>
      </c>
      <c r="E1410" t="s">
        <v>7</v>
      </c>
      <c r="F1410" t="str">
        <f>_xlfn.CONCAT(D1410,", ",H1410,", ",I1410,", ","山西省")</f>
        <v>郑村镇, 沁水县, 晋城市, 山西省</v>
      </c>
      <c r="G1410">
        <v>15992</v>
      </c>
      <c r="H1410" t="s">
        <v>2910</v>
      </c>
      <c r="I1410" t="s">
        <v>2906</v>
      </c>
      <c r="J1410">
        <f>VLOOKUP(F1410,[1]!china_towns_second__2[[Column1]:[Y]],3,FALSE)</f>
        <v>35.610215761479097</v>
      </c>
      <c r="K1410">
        <f>VLOOKUP(F1410,[1]!china_towns_second__2[[Column1]:[Y]],2,FALSE)</f>
        <v>112.6001617</v>
      </c>
      <c r="L1410" t="s">
        <v>4981</v>
      </c>
      <c r="M1410" t="str">
        <f>VLOOKUP(H1410,CHOOSE({1,2},Table12[Native],Table12[Name]),2,0)</f>
        <v>Qìnshuǐ Xiàn</v>
      </c>
      <c r="N1410" s="13" t="str">
        <f>VLOOKUP(I1410,CHOOSE({1,2},Table12[Native],Table12[Name]),2,0)</f>
        <v>Jìnchéng Shì</v>
      </c>
      <c r="O1410" s="13" t="str">
        <f t="shared" ref="O1410:O1473" si="44">_xlfn.CONCAT(L1410," (",N1410,")")</f>
        <v>Zhengcun Zhen (Jìnchéng Shì)</v>
      </c>
      <c r="P1410" s="13" t="str">
        <f t="shared" ref="P1410:P1473" si="45">IF(COUNTIF(O:O,O1410)&gt;1,_xlfn.CONCAT(L1410," (",M1410,")"),O1410)</f>
        <v>Zhengcun Zhen (Jìnchéng Shì)</v>
      </c>
    </row>
    <row r="1411" spans="1:16" hidden="1" x14ac:dyDescent="0.25">
      <c r="A1411" t="s">
        <v>775</v>
      </c>
      <c r="B1411" t="str">
        <f>IF(COUNTIF(A:A,A1411)&gt;1,_xlfn.CONCAT(A1411," (",N1411,")"),A1411)</f>
        <v>Zhèngzhuāng Zhèn</v>
      </c>
      <c r="C1411" t="str">
        <f>IF(COUNTIF(B:B,B1411)&gt;1,_xlfn.CONCAT(A1411," (",M1411,")"),B1411)</f>
        <v>Zhèngzhuāng Zhèn</v>
      </c>
      <c r="D1411" t="s">
        <v>776</v>
      </c>
      <c r="E1411" t="s">
        <v>7</v>
      </c>
      <c r="F1411" t="str">
        <f>_xlfn.CONCAT(D1411,", ",H1411,", ",I1411,", ","山西省")</f>
        <v>郑庄镇, 沁水县, 晋城市, 山西省</v>
      </c>
      <c r="G1411">
        <v>14392</v>
      </c>
      <c r="H1411" t="s">
        <v>2910</v>
      </c>
      <c r="I1411" t="s">
        <v>2906</v>
      </c>
      <c r="J1411">
        <f>VLOOKUP(F1411,[1]!china_towns_second__2[[Column1]:[Y]],3,FALSE)</f>
        <v>35.791350809306898</v>
      </c>
      <c r="K1411">
        <f>VLOOKUP(F1411,[1]!china_towns_second__2[[Column1]:[Y]],2,FALSE)</f>
        <v>112.32185080000001</v>
      </c>
      <c r="L1411" t="s">
        <v>4982</v>
      </c>
      <c r="M1411" t="str">
        <f>VLOOKUP(H1411,CHOOSE({1,2},Table12[Native],Table12[Name]),2,0)</f>
        <v>Qìnshuǐ Xiàn</v>
      </c>
      <c r="N1411" s="13" t="str">
        <f>VLOOKUP(I1411,CHOOSE({1,2},Table12[Native],Table12[Name]),2,0)</f>
        <v>Jìnchéng Shì</v>
      </c>
      <c r="O1411" s="13" t="str">
        <f t="shared" si="44"/>
        <v>Zhengzhuang Zhen (Jìnchéng Shì)</v>
      </c>
      <c r="P1411" s="13" t="str">
        <f t="shared" si="45"/>
        <v>Zhengzhuang Zhen (Jìnchéng Shì)</v>
      </c>
    </row>
    <row r="1412" spans="1:16" hidden="1" x14ac:dyDescent="0.25">
      <c r="A1412" t="s">
        <v>609</v>
      </c>
      <c r="B1412" t="str">
        <f>IF(COUNTIF(A:A,A1412)&gt;1,_xlfn.CONCAT(A1412," (",N1412,")"),A1412)</f>
        <v>Zhènhuá Nánjiē Jiēdào</v>
      </c>
      <c r="C1412" t="str">
        <f>IF(COUNTIF(B:B,B1412)&gt;1,_xlfn.CONCAT(A1412," (",M1412,")"),B1412)</f>
        <v>Zhènhuá Nánjiē Jiēdào</v>
      </c>
      <c r="D1412" t="s">
        <v>610</v>
      </c>
      <c r="E1412" t="s">
        <v>31</v>
      </c>
      <c r="F1412" t="str">
        <f>_xlfn.CONCAT(D1412,", ",H1412,", ",I1412,", ","山西省")</f>
        <v>振华南街街道, 平城区, 大同市, 山西省</v>
      </c>
      <c r="G1412">
        <v>74689</v>
      </c>
      <c r="H1412" t="s">
        <v>2898</v>
      </c>
      <c r="I1412" t="s">
        <v>2894</v>
      </c>
      <c r="J1412" t="e">
        <f>VLOOKUP(F1412,[1]!china_towns_second__2[[Column1]:[Y]],3,FALSE)</f>
        <v>#N/A</v>
      </c>
      <c r="K1412" t="e">
        <f>VLOOKUP(F1412,[1]!china_towns_second__2[[Column1]:[Y]],2,FALSE)</f>
        <v>#N/A</v>
      </c>
      <c r="L1412" t="s">
        <v>4983</v>
      </c>
      <c r="M1412" t="str">
        <f>VLOOKUP(H1412,CHOOSE({1,2},Table12[Native],Table12[Name]),2,0)</f>
        <v>Píngchéng Qū</v>
      </c>
      <c r="N1412" s="13" t="str">
        <f>VLOOKUP(I1412,CHOOSE({1,2},Table12[Native],Table12[Name]),2,0)</f>
        <v>Dàtóng Shì</v>
      </c>
      <c r="O1412" s="13" t="str">
        <f t="shared" si="44"/>
        <v>Zhenhua Nanjie Jiedao (Dàtóng Shì)</v>
      </c>
      <c r="P1412" s="13" t="str">
        <f t="shared" si="45"/>
        <v>Zhenhua Nanjie Jiedao (Dàtóng Shì)</v>
      </c>
    </row>
    <row r="1413" spans="1:16" hidden="1" x14ac:dyDescent="0.25">
      <c r="A1413" t="s">
        <v>1399</v>
      </c>
      <c r="B1413" t="str">
        <f>IF(COUNTIF(A:A,A1413)&gt;1,_xlfn.CONCAT(A1413," (",N1413,")"),A1413)</f>
        <v>Zhĕntóu Xiāng</v>
      </c>
      <c r="C1413" t="str">
        <f>IF(COUNTIF(B:B,B1413)&gt;1,_xlfn.CONCAT(A1413," (",M1413,")"),B1413)</f>
        <v>Zhĕntóu Xiāng</v>
      </c>
      <c r="D1413" t="s">
        <v>1400</v>
      </c>
      <c r="E1413" t="s">
        <v>17</v>
      </c>
      <c r="F1413" t="str">
        <f>_xlfn.CONCAT(D1413,", ",H1413,", ",I1413,", ","山西省")</f>
        <v>枕头乡, 尧都区, 临汾市, 山西省</v>
      </c>
      <c r="G1413">
        <v>19114</v>
      </c>
      <c r="H1413" t="s">
        <v>2942</v>
      </c>
      <c r="I1413" t="s">
        <v>2927</v>
      </c>
      <c r="J1413" t="e">
        <f>VLOOKUP(F1413,[1]!china_towns_second__2[[Column1]:[Y]],3,FALSE)</f>
        <v>#N/A</v>
      </c>
      <c r="K1413" t="e">
        <f>VLOOKUP(F1413,[1]!china_towns_second__2[[Column1]:[Y]],2,FALSE)</f>
        <v>#N/A</v>
      </c>
      <c r="L1413" t="s">
        <v>4984</v>
      </c>
      <c r="M1413" t="str">
        <f>VLOOKUP(H1413,CHOOSE({1,2},Table12[Native],Table12[Name]),2,0)</f>
        <v>Yáodū Qū</v>
      </c>
      <c r="N1413" s="13" t="str">
        <f>VLOOKUP(I1413,CHOOSE({1,2},Table12[Native],Table12[Name]),2,0)</f>
        <v>Línfén Shì</v>
      </c>
      <c r="O1413" s="13" t="str">
        <f t="shared" si="44"/>
        <v>Zhentou Xiang (Línfén Shì)</v>
      </c>
      <c r="P1413" s="13" t="str">
        <f t="shared" si="45"/>
        <v>Zhentou Xiang (Línfén Shì)</v>
      </c>
    </row>
    <row r="1414" spans="1:16" hidden="1" x14ac:dyDescent="0.25">
      <c r="A1414" t="s">
        <v>1724</v>
      </c>
      <c r="B1414" t="str">
        <f>IF(COUNTIF(A:A,A1414)&gt;1,_xlfn.CONCAT(A1414," (",N1414,")"),A1414)</f>
        <v>Zhènxīng Jiēdào</v>
      </c>
      <c r="C1414" t="str">
        <f>IF(COUNTIF(B:B,B1414)&gt;1,_xlfn.CONCAT(A1414," (",M1414,")"),B1414)</f>
        <v>Zhènxīng Jiēdào</v>
      </c>
      <c r="D1414" t="s">
        <v>1725</v>
      </c>
      <c r="E1414" t="s">
        <v>31</v>
      </c>
      <c r="F1414" t="str">
        <f>_xlfn.CONCAT(D1414,", ",H1414,", ",I1414,", ","山西省")</f>
        <v>振兴街道, 孝义市, 吕梁市, 山西省</v>
      </c>
      <c r="G1414">
        <v>14809</v>
      </c>
      <c r="H1414" t="s">
        <v>2957</v>
      </c>
      <c r="I1414" t="s">
        <v>2946</v>
      </c>
      <c r="J1414">
        <f>VLOOKUP(F1414,[1]!china_towns_second__2[[Column1]:[Y]],3,FALSE)</f>
        <v>37.1577990968511</v>
      </c>
      <c r="K1414">
        <f>VLOOKUP(F1414,[1]!china_towns_second__2[[Column1]:[Y]],2,FALSE)</f>
        <v>111.84380779999999</v>
      </c>
      <c r="L1414" t="s">
        <v>4985</v>
      </c>
      <c r="M1414" t="str">
        <f>VLOOKUP(H1414,CHOOSE({1,2},Table12[Native],Table12[Name]),2,0)</f>
        <v>Xiàoyì Shì</v>
      </c>
      <c r="N1414" s="13" t="str">
        <f>VLOOKUP(I1414,CHOOSE({1,2},Table12[Native],Table12[Name]),2,0)</f>
        <v>Lǚliáng Shì</v>
      </c>
      <c r="O1414" s="13" t="str">
        <f t="shared" si="44"/>
        <v>Zhenxing Jiedao (Lǚliáng Shì)</v>
      </c>
      <c r="P1414" s="13" t="str">
        <f t="shared" si="45"/>
        <v>Zhenxing Jiedao (Lǚliáng Shì)</v>
      </c>
    </row>
    <row r="1415" spans="1:16" hidden="1" x14ac:dyDescent="0.25">
      <c r="A1415" t="s">
        <v>1876</v>
      </c>
      <c r="B1415" t="str">
        <f>IF(COUNTIF(A:A,A1415)&gt;1,_xlfn.CONCAT(A1415," (",N1415,")"),A1415)</f>
        <v>Zhènziliáng Xiāng</v>
      </c>
      <c r="C1415" t="str">
        <f>IF(COUNTIF(B:B,B1415)&gt;1,_xlfn.CONCAT(A1415," (",M1415,")"),B1415)</f>
        <v>Zhènziliáng Xiāng</v>
      </c>
      <c r="D1415" t="s">
        <v>1877</v>
      </c>
      <c r="E1415" t="s">
        <v>17</v>
      </c>
      <c r="F1415" t="str">
        <f>_xlfn.CONCAT(D1415,", ",H1415,", ",I1415,", ","山西省")</f>
        <v>镇子梁乡, 应县, 朔州市, 山西省</v>
      </c>
      <c r="G1415">
        <v>18504</v>
      </c>
      <c r="H1415" t="s">
        <v>2966</v>
      </c>
      <c r="I1415" t="s">
        <v>2961</v>
      </c>
      <c r="J1415" t="e">
        <f>VLOOKUP(F1415,[1]!china_towns_second__2[[Column1]:[Y]],3,FALSE)</f>
        <v>#N/A</v>
      </c>
      <c r="K1415" t="e">
        <f>VLOOKUP(F1415,[1]!china_towns_second__2[[Column1]:[Y]],2,FALSE)</f>
        <v>#N/A</v>
      </c>
      <c r="L1415" t="s">
        <v>4986</v>
      </c>
      <c r="M1415" t="str">
        <f>VLOOKUP(H1415,CHOOSE({1,2},Table12[Native],Table12[Name]),2,0)</f>
        <v>Yīng Xiàn</v>
      </c>
      <c r="N1415" s="13" t="str">
        <f>VLOOKUP(I1415,CHOOSE({1,2},Table12[Native],Table12[Name]),2,0)</f>
        <v>Shuòzhōu Shì</v>
      </c>
      <c r="O1415" s="13" t="str">
        <f t="shared" si="44"/>
        <v>Zhenziliang Xiang (Shuòzhōu Shì)</v>
      </c>
      <c r="P1415" s="13" t="str">
        <f t="shared" si="45"/>
        <v>Zhenziliang Xiang (Shuòzhōu Shì)</v>
      </c>
    </row>
    <row r="1416" spans="1:16" hidden="1" x14ac:dyDescent="0.25">
      <c r="A1416" t="s">
        <v>2098</v>
      </c>
      <c r="B1416" t="str">
        <f>IF(COUNTIF(A:A,A1416)&gt;1,_xlfn.CONCAT(A1416," (",N1416,")"),A1416)</f>
        <v>Zhígōng Xīnjiē Jiēdào</v>
      </c>
      <c r="C1416" t="str">
        <f>IF(COUNTIF(B:B,B1416)&gt;1,_xlfn.CONCAT(A1416," (",M1416,")"),B1416)</f>
        <v>Zhígōng Xīnjiē Jiēdào</v>
      </c>
      <c r="D1416" t="s">
        <v>2099</v>
      </c>
      <c r="E1416" t="s">
        <v>31</v>
      </c>
      <c r="F1416" t="str">
        <f>_xlfn.CONCAT(D1416,", ",H1416,", ",I1416,", ","山西省")</f>
        <v>职工新街街道, 杏花岭区, 太原市, 山西省</v>
      </c>
      <c r="G1416">
        <v>48807</v>
      </c>
      <c r="H1416" t="s">
        <v>2977</v>
      </c>
      <c r="I1416" t="s">
        <v>2969</v>
      </c>
      <c r="J1416">
        <f>VLOOKUP(F1416,[1]!china_towns_second__2[[Column1]:[Y]],3,FALSE)</f>
        <v>37.881872934258801</v>
      </c>
      <c r="K1416">
        <f>VLOOKUP(F1416,[1]!china_towns_second__2[[Column1]:[Y]],2,FALSE)</f>
        <v>112.6003655</v>
      </c>
      <c r="L1416" t="s">
        <v>4987</v>
      </c>
      <c r="M1416" t="str">
        <f>VLOOKUP(H1416,CHOOSE({1,2},Table12[Native],Table12[Name]),2,0)</f>
        <v>Xìnghuālĭng Qū</v>
      </c>
      <c r="N1416" s="13" t="str">
        <f>VLOOKUP(I1416,CHOOSE({1,2},Table12[Native],Table12[Name]),2,0)</f>
        <v>Tàiyuán Shì</v>
      </c>
      <c r="O1416" s="13" t="str">
        <f t="shared" si="44"/>
        <v>Zhigong Xinjie Jiedao (Tàiyuán Shì)</v>
      </c>
      <c r="P1416" s="13" t="str">
        <f t="shared" si="45"/>
        <v>Zhigong Xinjie Jiedao (Tàiyuán Shì)</v>
      </c>
    </row>
    <row r="1417" spans="1:16" hidden="1" x14ac:dyDescent="0.25">
      <c r="A1417" t="s">
        <v>1401</v>
      </c>
      <c r="B1417" t="str">
        <f>IF(COUNTIF(A:A,A1417)&gt;1,_xlfn.CONCAT(A1417," (",N1417,")"),A1417)</f>
        <v>Zhīhé Zhèn</v>
      </c>
      <c r="C1417" t="str">
        <f>IF(COUNTIF(B:B,B1417)&gt;1,_xlfn.CONCAT(A1417," (",M1417,")"),B1417)</f>
        <v>Zhīhé Zhèn</v>
      </c>
      <c r="D1417" t="s">
        <v>1402</v>
      </c>
      <c r="E1417" t="s">
        <v>7</v>
      </c>
      <c r="F1417" t="str">
        <f>_xlfn.CONCAT(D1417,", ",H1417,", ",I1417,", ","山西省")</f>
        <v>芝河镇, 永和县, 临汾市, 山西省</v>
      </c>
      <c r="G1417">
        <v>26218</v>
      </c>
      <c r="H1417" t="s">
        <v>2944</v>
      </c>
      <c r="I1417" t="s">
        <v>2927</v>
      </c>
      <c r="J1417">
        <f>VLOOKUP(F1417,[1]!china_towns_second__2[[Column1]:[Y]],3,FALSE)</f>
        <v>36.761609826302703</v>
      </c>
      <c r="K1417">
        <f>VLOOKUP(F1417,[1]!china_towns_second__2[[Column1]:[Y]],2,FALSE)</f>
        <v>110.6132534</v>
      </c>
      <c r="L1417" t="s">
        <v>4988</v>
      </c>
      <c r="M1417" t="str">
        <f>VLOOKUP(H1417,CHOOSE({1,2},Table12[Native],Table12[Name]),2,0)</f>
        <v>Yŏnghé Xiàn</v>
      </c>
      <c r="N1417" s="13" t="str">
        <f>VLOOKUP(I1417,CHOOSE({1,2},Table12[Native],Table12[Name]),2,0)</f>
        <v>Línfén Shì</v>
      </c>
      <c r="O1417" s="13" t="str">
        <f t="shared" si="44"/>
        <v>Zhihe Zhen (Línfén Shì)</v>
      </c>
      <c r="P1417" s="13" t="str">
        <f t="shared" si="45"/>
        <v>Zhihe Zhen (Línfén Shì)</v>
      </c>
    </row>
    <row r="1418" spans="1:16" hidden="1" x14ac:dyDescent="0.25">
      <c r="A1418" t="s">
        <v>1726</v>
      </c>
      <c r="B1418" t="str">
        <f>IF(COUNTIF(A:A,A1418)&gt;1,_xlfn.CONCAT(A1418," (",N1418,")"),A1418)</f>
        <v>Zhīkē Zhèn</v>
      </c>
      <c r="C1418" t="str">
        <f>IF(COUNTIF(B:B,B1418)&gt;1,_xlfn.CONCAT(A1418," (",M1418,")"),B1418)</f>
        <v>Zhīkē Zhèn</v>
      </c>
      <c r="D1418" t="s">
        <v>1727</v>
      </c>
      <c r="E1418" t="s">
        <v>7</v>
      </c>
      <c r="F1418" t="str">
        <f>_xlfn.CONCAT(D1418,", ",H1418,", ",I1418,", ","山西省")</f>
        <v>枝柯镇, 中阳县, 吕梁市, 山西省</v>
      </c>
      <c r="G1418">
        <v>6861</v>
      </c>
      <c r="H1418" t="s">
        <v>2959</v>
      </c>
      <c r="I1418" t="s">
        <v>2946</v>
      </c>
      <c r="J1418">
        <f>VLOOKUP(F1418,[1]!china_towns_second__2[[Column1]:[Y]],3,FALSE)</f>
        <v>37.303973938522397</v>
      </c>
      <c r="K1418">
        <f>VLOOKUP(F1418,[1]!china_towns_second__2[[Column1]:[Y]],2,FALSE)</f>
        <v>111.3522282</v>
      </c>
      <c r="L1418" t="s">
        <v>4989</v>
      </c>
      <c r="M1418" t="str">
        <f>VLOOKUP(H1418,CHOOSE({1,2},Table12[Native],Table12[Name]),2,0)</f>
        <v>Zhōngyáng Xiàn</v>
      </c>
      <c r="N1418" s="13" t="str">
        <f>VLOOKUP(I1418,CHOOSE({1,2},Table12[Native],Table12[Name]),2,0)</f>
        <v>Lǚliáng Shì</v>
      </c>
      <c r="O1418" s="13" t="str">
        <f t="shared" si="44"/>
        <v>Zhike Zhen (Lǚliáng Shì)</v>
      </c>
      <c r="P1418" s="13" t="str">
        <f t="shared" si="45"/>
        <v>Zhike Zhen (Lǚliáng Shì)</v>
      </c>
    </row>
    <row r="1419" spans="1:16" hidden="1" x14ac:dyDescent="0.25">
      <c r="A1419" t="s">
        <v>315</v>
      </c>
      <c r="B1419" t="str">
        <f>IF(COUNTIF(A:A,A1419)&gt;1,_xlfn.CONCAT(A1419," (",N1419,")"),A1419)</f>
        <v>Zhìtíng Zhèn</v>
      </c>
      <c r="C1419" t="str">
        <f>IF(COUNTIF(B:B,B1419)&gt;1,_xlfn.CONCAT(A1419," (",M1419,")"),B1419)</f>
        <v>Zhìtíng Zhèn</v>
      </c>
      <c r="D1419" t="s">
        <v>316</v>
      </c>
      <c r="E1419" t="s">
        <v>7</v>
      </c>
      <c r="F1419" t="str">
        <f>_xlfn.CONCAT(D1419,", ",H1419,", ",I1419,", ","山西省")</f>
        <v>虒亭镇, 襄垣县, 长治市, 山西省</v>
      </c>
      <c r="G1419">
        <v>15147</v>
      </c>
      <c r="H1419" t="s">
        <v>2892</v>
      </c>
      <c r="I1419" t="s">
        <v>2878</v>
      </c>
      <c r="J1419">
        <f>VLOOKUP(F1419,[1]!china_towns_second__2[[Column1]:[Y]],3,FALSE)</f>
        <v>36.602140471033799</v>
      </c>
      <c r="K1419">
        <f>VLOOKUP(F1419,[1]!china_towns_second__2[[Column1]:[Y]],2,FALSE)</f>
        <v>112.8232476</v>
      </c>
      <c r="L1419" t="s">
        <v>4990</v>
      </c>
      <c r="M1419" t="str">
        <f>VLOOKUP(H1419,CHOOSE({1,2},Table12[Native],Table12[Name]),2,0)</f>
        <v>Xiāngyuán Xiàn</v>
      </c>
      <c r="N1419" s="13" t="str">
        <f>VLOOKUP(I1419,CHOOSE({1,2},Table12[Native],Table12[Name]),2,0)</f>
        <v>Chángzhì Shì</v>
      </c>
      <c r="O1419" s="13" t="str">
        <f t="shared" si="44"/>
        <v>Zhiting Zhen (Chángzhì Shì)</v>
      </c>
      <c r="P1419" s="13" t="str">
        <f t="shared" si="45"/>
        <v>Zhiting Zhen (Chángzhì Shì)</v>
      </c>
    </row>
    <row r="1420" spans="1:16" hidden="1" x14ac:dyDescent="0.25">
      <c r="A1420" t="s">
        <v>2872</v>
      </c>
      <c r="B1420" t="str">
        <f>IF(COUNTIF(A:A,A1420)&gt;1,_xlfn.CONCAT(A1420," (",N1420,")"),A1420)</f>
        <v>Zhōngchéng Jiēdào</v>
      </c>
      <c r="C1420" t="str">
        <f>IF(COUNTIF(B:B,B1420)&gt;1,_xlfn.CONCAT(A1420," (",M1420,")"),B1420)</f>
        <v>Zhōngchéng Jiēdào</v>
      </c>
      <c r="D1420" t="s">
        <v>2873</v>
      </c>
      <c r="E1420" t="s">
        <v>31</v>
      </c>
      <c r="F1420" t="str">
        <f>_xlfn.CONCAT(D1420,", ",H1420,", ",I1420,", ","山西省")</f>
        <v>中城街道, 盐湖区, 运城市, 山西省</v>
      </c>
      <c r="G1420">
        <v>20976</v>
      </c>
      <c r="H1420" t="s">
        <v>3014</v>
      </c>
      <c r="I1420" t="s">
        <v>3003</v>
      </c>
      <c r="J1420">
        <f>VLOOKUP(F1420,[1]!china_towns_second__2[[Column1]:[Y]],3,FALSE)</f>
        <v>35.024128876244603</v>
      </c>
      <c r="K1420">
        <f>VLOOKUP(F1420,[1]!china_towns_second__2[[Column1]:[Y]],2,FALSE)</f>
        <v>110.98871389999999</v>
      </c>
      <c r="L1420" t="s">
        <v>4991</v>
      </c>
      <c r="M1420" t="str">
        <f>VLOOKUP(H1420,CHOOSE({1,2},Table12[Native],Table12[Name]),2,0)</f>
        <v>Yánhú Qū</v>
      </c>
      <c r="N1420" s="13" t="str">
        <f>VLOOKUP(I1420,CHOOSE({1,2},Table12[Native],Table12[Name]),2,0)</f>
        <v>Yùnchéng Shì</v>
      </c>
      <c r="O1420" s="13" t="str">
        <f t="shared" si="44"/>
        <v>Zhongcheng Jiedao (Yùnchéng Shì)</v>
      </c>
      <c r="P1420" s="13" t="str">
        <f t="shared" si="45"/>
        <v>Zhongcheng Jiedao (Yùnchéng Shì)</v>
      </c>
    </row>
    <row r="1421" spans="1:16" hidden="1" x14ac:dyDescent="0.25">
      <c r="A1421" t="s">
        <v>777</v>
      </c>
      <c r="B1421" t="str">
        <f>IF(COUNTIF(A:A,A1421)&gt;1,_xlfn.CONCAT(A1421," (",N1421,")"),A1421)</f>
        <v>Zhōngcūn Zhèn</v>
      </c>
      <c r="C1421" t="str">
        <f>IF(COUNTIF(B:B,B1421)&gt;1,_xlfn.CONCAT(A1421," (",M1421,")"),B1421)</f>
        <v>Zhōngcūn Zhèn</v>
      </c>
      <c r="D1421" t="s">
        <v>778</v>
      </c>
      <c r="E1421" t="s">
        <v>7</v>
      </c>
      <c r="F1421" t="str">
        <f>_xlfn.CONCAT(D1421,", ",H1421,", ",I1421,", ","山西省")</f>
        <v>中村镇, 沁水县, 晋城市, 山西省</v>
      </c>
      <c r="G1421">
        <v>13053</v>
      </c>
      <c r="H1421" t="s">
        <v>2910</v>
      </c>
      <c r="I1421" t="s">
        <v>2906</v>
      </c>
      <c r="J1421">
        <f>VLOOKUP(F1421,[1]!china_towns_second__2[[Column1]:[Y]],3,FALSE)</f>
        <v>35.522637719663699</v>
      </c>
      <c r="K1421">
        <f>VLOOKUP(F1421,[1]!china_towns_second__2[[Column1]:[Y]],2,FALSE)</f>
        <v>112.0046445</v>
      </c>
      <c r="L1421" t="s">
        <v>4992</v>
      </c>
      <c r="M1421" t="str">
        <f>VLOOKUP(H1421,CHOOSE({1,2},Table12[Native],Table12[Name]),2,0)</f>
        <v>Qìnshuǐ Xiàn</v>
      </c>
      <c r="N1421" s="13" t="str">
        <f>VLOOKUP(I1421,CHOOSE({1,2},Table12[Native],Table12[Name]),2,0)</f>
        <v>Jìnchéng Shì</v>
      </c>
      <c r="O1421" s="13" t="str">
        <f t="shared" si="44"/>
        <v>Zhongcun Zhen (Jìnchéng Shì)</v>
      </c>
      <c r="P1421" s="13" t="str">
        <f t="shared" si="45"/>
        <v>Zhongcun Zhen (Jìnchéng Shì)</v>
      </c>
    </row>
    <row r="1422" spans="1:16" hidden="1" x14ac:dyDescent="0.25">
      <c r="A1422" t="s">
        <v>1058</v>
      </c>
      <c r="B1422" t="str">
        <f>IF(COUNTIF(A:A,A1422)&gt;1,_xlfn.CONCAT(A1422," (",N1422,")"),A1422)</f>
        <v>Zhōngdū Xiāng</v>
      </c>
      <c r="C1422" t="str">
        <f>IF(COUNTIF(B:B,B1422)&gt;1,_xlfn.CONCAT(A1422," (",M1422,")"),B1422)</f>
        <v>Zhōngdū Xiāng</v>
      </c>
      <c r="D1422" t="s">
        <v>1059</v>
      </c>
      <c r="E1422" t="s">
        <v>17</v>
      </c>
      <c r="F1422" t="str">
        <f>_xlfn.CONCAT(D1422,", ",H1422,", ",I1422,", ","山西省")</f>
        <v>中都乡, 平遥县, 晋中市, 山西省</v>
      </c>
      <c r="G1422">
        <v>33438</v>
      </c>
      <c r="H1422" t="s">
        <v>2918</v>
      </c>
      <c r="I1422" t="s">
        <v>2914</v>
      </c>
      <c r="J1422" t="e">
        <f>VLOOKUP(F1422,[1]!china_towns_second__2[[Column1]:[Y]],3,FALSE)</f>
        <v>#N/A</v>
      </c>
      <c r="K1422" t="e">
        <f>VLOOKUP(F1422,[1]!china_towns_second__2[[Column1]:[Y]],2,FALSE)</f>
        <v>#N/A</v>
      </c>
      <c r="L1422" t="s">
        <v>4993</v>
      </c>
      <c r="M1422" t="str">
        <f>VLOOKUP(H1422,CHOOSE({1,2},Table12[Native],Table12[Name]),2,0)</f>
        <v>Píngyáo Xiàn</v>
      </c>
      <c r="N1422" s="13" t="str">
        <f>VLOOKUP(I1422,CHOOSE({1,2},Table12[Native],Table12[Name]),2,0)</f>
        <v>Jìnzhōng Shì</v>
      </c>
      <c r="O1422" s="13" t="str">
        <f t="shared" si="44"/>
        <v>Zhongdu Xiang (Jìnzhōng Shì)</v>
      </c>
      <c r="P1422" s="13" t="str">
        <f t="shared" si="45"/>
        <v>Zhongdu Xiang (Jìnzhōng Shì)</v>
      </c>
    </row>
    <row r="1423" spans="1:16" hidden="1" x14ac:dyDescent="0.25">
      <c r="A1423" t="s">
        <v>1403</v>
      </c>
      <c r="B1423" t="str">
        <f>IF(COUNTIF(A:A,A1423)&gt;1,_xlfn.CONCAT(A1423," (",N1423,")"),A1423)</f>
        <v>Zhōngduŏ Xiāng</v>
      </c>
      <c r="C1423" t="str">
        <f>IF(COUNTIF(B:B,B1423)&gt;1,_xlfn.CONCAT(A1423," (",M1423,")"),B1423)</f>
        <v>Zhōngduŏ Xiāng</v>
      </c>
      <c r="D1423" t="s">
        <v>1404</v>
      </c>
      <c r="E1423" t="s">
        <v>17</v>
      </c>
      <c r="F1423" t="str">
        <f>_xlfn.CONCAT(D1423,", ",H1423,", ",I1423,", ","山西省")</f>
        <v>中垛乡, 吉县, 临汾市, 山西省</v>
      </c>
      <c r="G1423">
        <v>12223</v>
      </c>
      <c r="H1423" t="s">
        <v>2936</v>
      </c>
      <c r="I1423" t="s">
        <v>2927</v>
      </c>
      <c r="J1423" t="e">
        <f>VLOOKUP(F1423,[1]!china_towns_second__2[[Column1]:[Y]],3,FALSE)</f>
        <v>#N/A</v>
      </c>
      <c r="K1423" t="e">
        <f>VLOOKUP(F1423,[1]!china_towns_second__2[[Column1]:[Y]],2,FALSE)</f>
        <v>#N/A</v>
      </c>
      <c r="L1423" t="s">
        <v>4994</v>
      </c>
      <c r="M1423" t="str">
        <f>VLOOKUP(H1423,CHOOSE({1,2},Table12[Native],Table12[Name]),2,0)</f>
        <v>Jí Xiàn</v>
      </c>
      <c r="N1423" s="13" t="str">
        <f>VLOOKUP(I1423,CHOOSE({1,2},Table12[Native],Table12[Name]),2,0)</f>
        <v>Línfén Shì</v>
      </c>
      <c r="O1423" s="13" t="str">
        <f t="shared" si="44"/>
        <v>Zhongduo Xiang (Línfén Shì)</v>
      </c>
      <c r="P1423" s="13" t="str">
        <f t="shared" si="45"/>
        <v>Zhongduo Xiang (Línfén Shì)</v>
      </c>
    </row>
    <row r="1424" spans="1:16" hidden="1" x14ac:dyDescent="0.25">
      <c r="A1424" t="s">
        <v>2100</v>
      </c>
      <c r="B1424" t="str">
        <f>IF(COUNTIF(A:A,A1424)&gt;1,_xlfn.CONCAT(A1424," (",N1424,")"),A1424)</f>
        <v>Zhōngjiànhé Xiāng</v>
      </c>
      <c r="C1424" t="str">
        <f>IF(COUNTIF(B:B,B1424)&gt;1,_xlfn.CONCAT(A1424," (",M1424,")"),B1424)</f>
        <v>Zhōngjiànhé Xiāng</v>
      </c>
      <c r="D1424" t="s">
        <v>2101</v>
      </c>
      <c r="E1424" t="s">
        <v>17</v>
      </c>
      <c r="F1424" t="str">
        <f>_xlfn.CONCAT(D1424,", ",H1424,", ",I1424,", ","山西省")</f>
        <v>中涧河乡, 杏花岭区, 太原市, 山西省</v>
      </c>
      <c r="G1424">
        <v>32191</v>
      </c>
      <c r="H1424" t="s">
        <v>2977</v>
      </c>
      <c r="I1424" t="s">
        <v>2969</v>
      </c>
      <c r="J1424" t="e">
        <f>VLOOKUP(F1424,[1]!china_towns_second__2[[Column1]:[Y]],3,FALSE)</f>
        <v>#N/A</v>
      </c>
      <c r="K1424" t="e">
        <f>VLOOKUP(F1424,[1]!china_towns_second__2[[Column1]:[Y]],2,FALSE)</f>
        <v>#N/A</v>
      </c>
      <c r="L1424" t="s">
        <v>4995</v>
      </c>
      <c r="M1424" t="str">
        <f>VLOOKUP(H1424,CHOOSE({1,2},Table12[Native],Table12[Name]),2,0)</f>
        <v>Xìnghuālĭng Qū</v>
      </c>
      <c r="N1424" s="13" t="str">
        <f>VLOOKUP(I1424,CHOOSE({1,2},Table12[Native],Table12[Name]),2,0)</f>
        <v>Tàiyuán Shì</v>
      </c>
      <c r="O1424" s="13" t="str">
        <f t="shared" si="44"/>
        <v>Zhongjianhe Xiang (Tàiyuán Shì)</v>
      </c>
      <c r="P1424" s="13" t="str">
        <f t="shared" si="45"/>
        <v>Zhongjianhe Xiang (Tàiyuán Shì)</v>
      </c>
    </row>
    <row r="1425" spans="1:16" hidden="1" x14ac:dyDescent="0.25">
      <c r="A1425" t="s">
        <v>779</v>
      </c>
      <c r="B1425" t="str">
        <f>IF(COUNTIF(A:A,A1425)&gt;1,_xlfn.CONCAT(A1425," (",N1425,")"),A1425)</f>
        <v>Zhōngjiāzhuāng Jiēdào</v>
      </c>
      <c r="C1425" t="str">
        <f>IF(COUNTIF(B:B,B1425)&gt;1,_xlfn.CONCAT(A1425," (",M1425,")"),B1425)</f>
        <v>Zhōngjiāzhuāng Jiēdào</v>
      </c>
      <c r="D1425" t="s">
        <v>780</v>
      </c>
      <c r="E1425" t="s">
        <v>31</v>
      </c>
      <c r="F1425" t="str">
        <f>_xlfn.CONCAT(D1425,", ",H1425,", ",I1425,", ","山西省")</f>
        <v>钟家庄街道, 城区, 晋城市, 山西省</v>
      </c>
      <c r="G1425">
        <v>111078</v>
      </c>
      <c r="H1425" t="s">
        <v>814</v>
      </c>
      <c r="I1425" t="s">
        <v>2906</v>
      </c>
      <c r="J1425">
        <f>VLOOKUP(F1425,[1]!china_towns_second__2[[Column1]:[Y]],3,FALSE)</f>
        <v>35.467754591734</v>
      </c>
      <c r="K1425">
        <f>VLOOKUP(F1425,[1]!china_towns_second__2[[Column1]:[Y]],2,FALSE)</f>
        <v>112.8546973</v>
      </c>
      <c r="L1425" t="s">
        <v>4996</v>
      </c>
      <c r="M1425" t="str">
        <f>VLOOKUP(H1425,CHOOSE({1,2},Table12[Native],Table12[Name]),2,0)</f>
        <v>Chéng Qū</v>
      </c>
      <c r="N1425" s="13" t="str">
        <f>VLOOKUP(I1425,CHOOSE({1,2},Table12[Native],Table12[Name]),2,0)</f>
        <v>Jìnchéng Shì</v>
      </c>
      <c r="O1425" s="13" t="str">
        <f t="shared" si="44"/>
        <v>Zhongjiazhuang Jiedao (Jìnchéng Shì)</v>
      </c>
      <c r="P1425" s="13" t="str">
        <f t="shared" si="45"/>
        <v>Zhongjiazhuang Jiedao (Jìnchéng Shì)</v>
      </c>
    </row>
    <row r="1426" spans="1:16" hidden="1" x14ac:dyDescent="0.25">
      <c r="A1426" t="s">
        <v>1405</v>
      </c>
      <c r="B1426" t="str">
        <f>IF(COUNTIF(A:A,A1426)&gt;1,_xlfn.CONCAT(A1426," (",N1426,")"),A1426)</f>
        <v>Zhōngwèi Xiāng</v>
      </c>
      <c r="C1426" t="str">
        <f>IF(COUNTIF(B:B,B1426)&gt;1,_xlfn.CONCAT(A1426," (",M1426,")"),B1426)</f>
        <v>Zhōngwèi Xiāng</v>
      </c>
      <c r="D1426" t="s">
        <v>1406</v>
      </c>
      <c r="E1426" t="s">
        <v>17</v>
      </c>
      <c r="F1426" t="str">
        <f>_xlfn.CONCAT(D1426,", ",H1426,", ",I1426,", ","山西省")</f>
        <v>中卫乡, 翼城县, 临汾市, 山西省</v>
      </c>
      <c r="G1426">
        <v>33455</v>
      </c>
      <c r="H1426" t="s">
        <v>2943</v>
      </c>
      <c r="I1426" t="s">
        <v>2927</v>
      </c>
      <c r="J1426" t="e">
        <f>VLOOKUP(F1426,[1]!china_towns_second__2[[Column1]:[Y]],3,FALSE)</f>
        <v>#N/A</v>
      </c>
      <c r="K1426" t="e">
        <f>VLOOKUP(F1426,[1]!china_towns_second__2[[Column1]:[Y]],2,FALSE)</f>
        <v>#N/A</v>
      </c>
      <c r="L1426" t="s">
        <v>4997</v>
      </c>
      <c r="M1426" t="str">
        <f>VLOOKUP(H1426,CHOOSE({1,2},Table12[Native],Table12[Name]),2,0)</f>
        <v>Yìchéng Xiàn</v>
      </c>
      <c r="N1426" s="13" t="str">
        <f>VLOOKUP(I1426,CHOOSE({1,2},Table12[Native],Table12[Name]),2,0)</f>
        <v>Línfén Shì</v>
      </c>
      <c r="O1426" s="13" t="str">
        <f t="shared" si="44"/>
        <v>Zhongwei Xiang (Línfén Shì)</v>
      </c>
      <c r="P1426" s="13" t="str">
        <f t="shared" si="45"/>
        <v>Zhongwei Xiang (Línfén Shì)</v>
      </c>
    </row>
    <row r="1427" spans="1:16" hidden="1" x14ac:dyDescent="0.25">
      <c r="A1427" t="s">
        <v>317</v>
      </c>
      <c r="B1427" t="str">
        <f>IF(COUNTIF(A:A,A1427)&gt;1,_xlfn.CONCAT(A1427," (",N1427,")"),A1427)</f>
        <v>Zhōngwŭjĭng Xiāng</v>
      </c>
      <c r="C1427" t="str">
        <f>IF(COUNTIF(B:B,B1427)&gt;1,_xlfn.CONCAT(A1427," (",M1427,")"),B1427)</f>
        <v>Zhōngwŭjĭng Xiāng</v>
      </c>
      <c r="D1427" t="s">
        <v>318</v>
      </c>
      <c r="E1427" t="s">
        <v>17</v>
      </c>
      <c r="F1427" t="str">
        <f>_xlfn.CONCAT(D1427,", ",H1427,", ",I1427,", ","山西省")</f>
        <v>中五井乡, 平顺县, 长治市, 山西省</v>
      </c>
      <c r="G1427">
        <v>7440</v>
      </c>
      <c r="H1427" t="s">
        <v>2886</v>
      </c>
      <c r="I1427" t="s">
        <v>2878</v>
      </c>
      <c r="J1427" t="e">
        <f>VLOOKUP(F1427,[1]!china_towns_second__2[[Column1]:[Y]],3,FALSE)</f>
        <v>#N/A</v>
      </c>
      <c r="K1427" t="e">
        <f>VLOOKUP(F1427,[1]!china_towns_second__2[[Column1]:[Y]],2,FALSE)</f>
        <v>#N/A</v>
      </c>
      <c r="L1427" t="s">
        <v>4998</v>
      </c>
      <c r="M1427" t="str">
        <f>VLOOKUP(H1427,CHOOSE({1,2},Table12[Native],Table12[Name]),2,0)</f>
        <v>Píngshùn Xiàn</v>
      </c>
      <c r="N1427" s="13" t="str">
        <f>VLOOKUP(I1427,CHOOSE({1,2},Table12[Native],Table12[Name]),2,0)</f>
        <v>Chángzhì Shì</v>
      </c>
      <c r="O1427" s="13" t="str">
        <f t="shared" si="44"/>
        <v>Zhongwujing Xiang (Chángzhì Shì)</v>
      </c>
      <c r="P1427" s="13" t="str">
        <f t="shared" si="45"/>
        <v>Zhongwujing Xiang (Chángzhì Shì)</v>
      </c>
    </row>
    <row r="1428" spans="1:16" hidden="1" x14ac:dyDescent="0.25">
      <c r="A1428" t="s">
        <v>2102</v>
      </c>
      <c r="B1428" t="str">
        <f>IF(COUNTIF(A:A,A1428)&gt;1,_xlfn.CONCAT(A1428," (",N1428,")"),A1428)</f>
        <v>Zhōngxīn Zhèn</v>
      </c>
      <c r="C1428" t="str">
        <f>IF(COUNTIF(B:B,B1428)&gt;1,_xlfn.CONCAT(A1428," (",M1428,")"),B1428)</f>
        <v>Zhōngxīn Zhèn</v>
      </c>
      <c r="D1428" t="s">
        <v>2103</v>
      </c>
      <c r="E1428" t="s">
        <v>35</v>
      </c>
      <c r="F1428" t="str">
        <f>_xlfn.CONCAT(D1428,", ",H1428,", ",I1428,", ","山西省")</f>
        <v>中心镇, 阳曲县, 太原市, 山西省</v>
      </c>
      <c r="G1428">
        <v>26874</v>
      </c>
      <c r="H1428" t="s">
        <v>2978</v>
      </c>
      <c r="I1428" t="s">
        <v>2969</v>
      </c>
      <c r="J1428" t="e">
        <f>VLOOKUP(F1428,[1]!china_towns_second__2[[Column1]:[Y]],3,FALSE)</f>
        <v>#N/A</v>
      </c>
      <c r="K1428" t="e">
        <f>VLOOKUP(F1428,[1]!china_towns_second__2[[Column1]:[Y]],2,FALSE)</f>
        <v>#N/A</v>
      </c>
      <c r="L1428" t="s">
        <v>4999</v>
      </c>
      <c r="M1428" t="str">
        <f>VLOOKUP(H1428,CHOOSE({1,2},Table12[Native],Table12[Name]),2,0)</f>
        <v>Yángqŭ Xiàn</v>
      </c>
      <c r="N1428" s="13" t="str">
        <f>VLOOKUP(I1428,CHOOSE({1,2},Table12[Native],Table12[Name]),2,0)</f>
        <v>Tàiyuán Shì</v>
      </c>
      <c r="O1428" s="13" t="str">
        <f t="shared" si="44"/>
        <v>Zhongxin Zhen (Tàiyuán Shì)</v>
      </c>
      <c r="P1428" s="13" t="str">
        <f t="shared" si="45"/>
        <v>Zhongxin Zhen (Tàiyuán Shì)</v>
      </c>
    </row>
    <row r="1429" spans="1:16" hidden="1" x14ac:dyDescent="0.25">
      <c r="A1429" t="s">
        <v>2480</v>
      </c>
      <c r="B1429" t="str">
        <f>IF(COUNTIF(A:A,A1429)&gt;1,_xlfn.CONCAT(A1429," (",N1429,")"),A1429)</f>
        <v>Zhōngyáng Xiāng</v>
      </c>
      <c r="C1429" t="str">
        <f>IF(COUNTIF(B:B,B1429)&gt;1,_xlfn.CONCAT(A1429," (",M1429,")"),B1429)</f>
        <v>Zhōngyáng Xiāng</v>
      </c>
      <c r="D1429" t="s">
        <v>2481</v>
      </c>
      <c r="E1429" t="s">
        <v>17</v>
      </c>
      <c r="F1429" t="str">
        <f>_xlfn.CONCAT(D1429,", ",H1429,", ",I1429,", ","山西省")</f>
        <v>中阳乡, 原平市, 忻州市, 山西省</v>
      </c>
      <c r="G1429">
        <v>12691</v>
      </c>
      <c r="H1429" t="s">
        <v>2995</v>
      </c>
      <c r="I1429" t="s">
        <v>2981</v>
      </c>
      <c r="J1429" t="e">
        <f>VLOOKUP(F1429,[1]!china_towns_second__2[[Column1]:[Y]],3,FALSE)</f>
        <v>#N/A</v>
      </c>
      <c r="K1429" t="e">
        <f>VLOOKUP(F1429,[1]!china_towns_second__2[[Column1]:[Y]],2,FALSE)</f>
        <v>#N/A</v>
      </c>
      <c r="L1429" t="s">
        <v>5000</v>
      </c>
      <c r="M1429" t="str">
        <f>VLOOKUP(H1429,CHOOSE({1,2},Table12[Native],Table12[Name]),2,0)</f>
        <v>Yuánpíng Shì</v>
      </c>
      <c r="N1429" s="13" t="str">
        <f>VLOOKUP(I1429,CHOOSE({1,2},Table12[Native],Table12[Name]),2,0)</f>
        <v>Xīnzhōu Shì</v>
      </c>
      <c r="O1429" s="13" t="str">
        <f t="shared" si="44"/>
        <v>Zhongyang Xiang (Xīnzhōu Shì)</v>
      </c>
      <c r="P1429" s="13" t="str">
        <f t="shared" si="45"/>
        <v>Zhongyang Xiang (Xīnzhōu Shì)</v>
      </c>
    </row>
    <row r="1430" spans="1:16" hidden="1" x14ac:dyDescent="0.25">
      <c r="A1430" t="s">
        <v>1728</v>
      </c>
      <c r="B1430" t="str">
        <f>IF(COUNTIF(A:A,A1430)&gt;1,_xlfn.CONCAT(A1430," (",N1430,")"),A1430)</f>
        <v>Zhōngyánglóu Jiēdào</v>
      </c>
      <c r="C1430" t="str">
        <f>IF(COUNTIF(B:B,B1430)&gt;1,_xlfn.CONCAT(A1430," (",M1430,")"),B1430)</f>
        <v>Zhōngyánglóu Jiēdào</v>
      </c>
      <c r="D1430" t="s">
        <v>1729</v>
      </c>
      <c r="E1430" t="s">
        <v>31</v>
      </c>
      <c r="F1430" t="str">
        <f>_xlfn.CONCAT(D1430,", ",H1430,", ",I1430,", ","山西省")</f>
        <v>中阳楼街道, 孝义市, 吕梁市, 山西省</v>
      </c>
      <c r="G1430">
        <v>37596</v>
      </c>
      <c r="H1430" t="s">
        <v>2957</v>
      </c>
      <c r="I1430" t="s">
        <v>2946</v>
      </c>
      <c r="J1430">
        <f>VLOOKUP(F1430,[1]!china_towns_second__2[[Column1]:[Y]],3,FALSE)</f>
        <v>37.127724720026301</v>
      </c>
      <c r="K1430">
        <f>VLOOKUP(F1430,[1]!china_towns_second__2[[Column1]:[Y]],2,FALSE)</f>
        <v>111.8077662</v>
      </c>
      <c r="L1430" t="s">
        <v>5001</v>
      </c>
      <c r="M1430" t="str">
        <f>VLOOKUP(H1430,CHOOSE({1,2},Table12[Native],Table12[Name]),2,0)</f>
        <v>Xiàoyì Shì</v>
      </c>
      <c r="N1430" s="13" t="str">
        <f>VLOOKUP(I1430,CHOOSE({1,2},Table12[Native],Table12[Name]),2,0)</f>
        <v>Lǚliáng Shì</v>
      </c>
      <c r="O1430" s="13" t="str">
        <f t="shared" si="44"/>
        <v>Zhongyanglou Jiedao (Lǚliáng Shì)</v>
      </c>
      <c r="P1430" s="13" t="str">
        <f t="shared" si="45"/>
        <v>Zhongyanglou Jiedao (Lǚliáng Shì)</v>
      </c>
    </row>
    <row r="1431" spans="1:16" hidden="1" x14ac:dyDescent="0.25">
      <c r="A1431" t="s">
        <v>319</v>
      </c>
      <c r="B1431" t="str">
        <f>IF(COUNTIF(A:A,A1431)&gt;1,_xlfn.CONCAT(A1431," (",N1431,")"),A1431)</f>
        <v>Zhōngyù Xiāng</v>
      </c>
      <c r="C1431" t="str">
        <f>IF(COUNTIF(B:B,B1431)&gt;1,_xlfn.CONCAT(A1431," (",M1431,")"),B1431)</f>
        <v>Zhōngyù Xiāng</v>
      </c>
      <c r="D1431" t="s">
        <v>320</v>
      </c>
      <c r="E1431" t="s">
        <v>17</v>
      </c>
      <c r="F1431" t="str">
        <f>_xlfn.CONCAT(D1431,", ",H1431,", ",I1431,", ","山西省")</f>
        <v>中峪乡, 沁源县, 长治市, 山西省</v>
      </c>
      <c r="G1431">
        <v>4724</v>
      </c>
      <c r="H1431" t="s">
        <v>2888</v>
      </c>
      <c r="I1431" t="s">
        <v>2878</v>
      </c>
      <c r="J1431" t="e">
        <f>VLOOKUP(F1431,[1]!china_towns_second__2[[Column1]:[Y]],3,FALSE)</f>
        <v>#N/A</v>
      </c>
      <c r="K1431" t="e">
        <f>VLOOKUP(F1431,[1]!china_towns_second__2[[Column1]:[Y]],2,FALSE)</f>
        <v>#N/A</v>
      </c>
      <c r="L1431" t="s">
        <v>5002</v>
      </c>
      <c r="M1431" t="str">
        <f>VLOOKUP(H1431,CHOOSE({1,2},Table12[Native],Table12[Name]),2,0)</f>
        <v>Qìnyuán Xiàn</v>
      </c>
      <c r="N1431" s="13" t="str">
        <f>VLOOKUP(I1431,CHOOSE({1,2},Table12[Native],Table12[Name]),2,0)</f>
        <v>Chángzhì Shì</v>
      </c>
      <c r="O1431" s="13" t="str">
        <f t="shared" si="44"/>
        <v>Zhongyu Xiang (Chángzhì Shì)</v>
      </c>
      <c r="P1431" s="13" t="str">
        <f t="shared" si="45"/>
        <v>Zhongyu Xiang (Chángzhì Shì)</v>
      </c>
    </row>
    <row r="1432" spans="1:16" hidden="1" x14ac:dyDescent="0.25">
      <c r="A1432" t="s">
        <v>2482</v>
      </c>
      <c r="B1432" t="str">
        <f>IF(COUNTIF(A:A,A1432)&gt;1,_xlfn.CONCAT(A1432," (",N1432,")"),A1432)</f>
        <v>Zhōngzhuāng Xiāng</v>
      </c>
      <c r="C1432" t="str">
        <f>IF(COUNTIF(B:B,B1432)&gt;1,_xlfn.CONCAT(A1432," (",M1432,")"),B1432)</f>
        <v>Zhōngzhuāng Xiāng</v>
      </c>
      <c r="D1432" t="s">
        <v>2483</v>
      </c>
      <c r="E1432" t="s">
        <v>17</v>
      </c>
      <c r="F1432" t="str">
        <f>_xlfn.CONCAT(D1432,", ",H1432,", ",I1432,", ","山西省")</f>
        <v>中庄乡, 静乐县, 忻州市, 山西省</v>
      </c>
      <c r="G1432">
        <v>5921</v>
      </c>
      <c r="H1432" t="s">
        <v>2987</v>
      </c>
      <c r="I1432" t="s">
        <v>2981</v>
      </c>
      <c r="J1432" t="e">
        <f>VLOOKUP(F1432,[1]!china_towns_second__2[[Column1]:[Y]],3,FALSE)</f>
        <v>#N/A</v>
      </c>
      <c r="K1432" t="e">
        <f>VLOOKUP(F1432,[1]!china_towns_second__2[[Column1]:[Y]],2,FALSE)</f>
        <v>#N/A</v>
      </c>
      <c r="L1432" t="s">
        <v>5003</v>
      </c>
      <c r="M1432" t="str">
        <f>VLOOKUP(H1432,CHOOSE({1,2},Table12[Native],Table12[Name]),2,0)</f>
        <v>Jìnglè Xiàn</v>
      </c>
      <c r="N1432" s="13" t="str">
        <f>VLOOKUP(I1432,CHOOSE({1,2},Table12[Native],Table12[Name]),2,0)</f>
        <v>Xīnzhōu Shì</v>
      </c>
      <c r="O1432" s="13" t="str">
        <f t="shared" si="44"/>
        <v>Zhongzhuang Xiang (Xīnzhōu Shì)</v>
      </c>
      <c r="P1432" s="13" t="str">
        <f t="shared" si="45"/>
        <v>Zhongzhuang Xiang (Xīnzhōu Shì)</v>
      </c>
    </row>
    <row r="1433" spans="1:16" hidden="1" x14ac:dyDescent="0.25">
      <c r="A1433" t="s">
        <v>781</v>
      </c>
      <c r="B1433" t="str">
        <f>IF(COUNTIF(A:A,A1433)&gt;1,_xlfn.CONCAT(A1433," (",N1433,")"),A1433)</f>
        <v>Zhōucūn Zhèn</v>
      </c>
      <c r="C1433" t="str">
        <f>IF(COUNTIF(B:B,B1433)&gt;1,_xlfn.CONCAT(A1433," (",M1433,")"),B1433)</f>
        <v>Zhōucūn Zhèn</v>
      </c>
      <c r="D1433" t="s">
        <v>782</v>
      </c>
      <c r="E1433" t="s">
        <v>7</v>
      </c>
      <c r="F1433" t="str">
        <f>_xlfn.CONCAT(D1433,", ",H1433,", ",I1433,", ","山西省")</f>
        <v>周村镇, 泽州县, 晋城市, 山西省</v>
      </c>
      <c r="G1433">
        <v>23483</v>
      </c>
      <c r="H1433" t="s">
        <v>2912</v>
      </c>
      <c r="I1433" t="s">
        <v>2906</v>
      </c>
      <c r="J1433">
        <f>VLOOKUP(F1433,[1]!china_towns_second__2[[Column1]:[Y]],3,FALSE)</f>
        <v>35.480147322186703</v>
      </c>
      <c r="K1433">
        <f>VLOOKUP(F1433,[1]!china_towns_second__2[[Column1]:[Y]],2,FALSE)</f>
        <v>112.64968020000001</v>
      </c>
      <c r="L1433" t="s">
        <v>5004</v>
      </c>
      <c r="M1433" t="str">
        <f>VLOOKUP(H1433,CHOOSE({1,2},Table12[Native],Table12[Name]),2,0)</f>
        <v>Zézhōu Xiàn</v>
      </c>
      <c r="N1433" s="13" t="str">
        <f>VLOOKUP(I1433,CHOOSE({1,2},Table12[Native],Table12[Name]),2,0)</f>
        <v>Jìnchéng Shì</v>
      </c>
      <c r="O1433" s="13" t="str">
        <f t="shared" si="44"/>
        <v>Zhoucun Zhen (Jìnchéng Shì)</v>
      </c>
      <c r="P1433" s="13" t="str">
        <f t="shared" si="45"/>
        <v>Zhoucun Zhen (Jìnchéng Shì)</v>
      </c>
    </row>
    <row r="1434" spans="1:16" hidden="1" x14ac:dyDescent="0.25">
      <c r="A1434" t="s">
        <v>611</v>
      </c>
      <c r="B1434" t="str">
        <f>IF(COUNTIF(A:A,A1434)&gt;1,_xlfn.CONCAT(A1434," (",N1434,")"),A1434)</f>
        <v>Zhōushìzhuāng Zhèn</v>
      </c>
      <c r="C1434" t="str">
        <f>IF(COUNTIF(B:B,B1434)&gt;1,_xlfn.CONCAT(A1434," (",M1434,")"),B1434)</f>
        <v>Zhōushìzhuāng Zhèn</v>
      </c>
      <c r="D1434" t="s">
        <v>612</v>
      </c>
      <c r="E1434" t="s">
        <v>7</v>
      </c>
      <c r="F1434" t="str">
        <f>_xlfn.CONCAT(D1434,", ",H1434,", ",I1434,", ","山西省")</f>
        <v>周士庄镇, 云州区, 大同市, 山西省</v>
      </c>
      <c r="G1434">
        <v>17620</v>
      </c>
      <c r="H1434" t="s">
        <v>2903</v>
      </c>
      <c r="I1434" t="s">
        <v>2894</v>
      </c>
      <c r="J1434">
        <f>VLOOKUP(F1434,[1]!china_towns_second__2[[Column1]:[Y]],3,FALSE)</f>
        <v>40.142311847811897</v>
      </c>
      <c r="K1434">
        <f>VLOOKUP(F1434,[1]!china_towns_second__2[[Column1]:[Y]],2,FALSE)</f>
        <v>113.4677361</v>
      </c>
      <c r="L1434" t="s">
        <v>5005</v>
      </c>
      <c r="M1434" t="str">
        <f>VLOOKUP(H1434,CHOOSE({1,2},Table12[Native],Table12[Name]),2,0)</f>
        <v>Yúnzhōu Qū</v>
      </c>
      <c r="N1434" s="13" t="str">
        <f>VLOOKUP(I1434,CHOOSE({1,2},Table12[Native],Table12[Name]),2,0)</f>
        <v>Dàtóng Shì</v>
      </c>
      <c r="O1434" s="13" t="str">
        <f t="shared" si="44"/>
        <v>Zhoushizhuang Zhen (Dàtóng Shì)</v>
      </c>
      <c r="P1434" s="13" t="str">
        <f t="shared" si="45"/>
        <v>Zhoushizhuang Zhen (Dàtóng Shì)</v>
      </c>
    </row>
    <row r="1435" spans="1:16" hidden="1" x14ac:dyDescent="0.25">
      <c r="A1435" t="s">
        <v>2484</v>
      </c>
      <c r="B1435" t="str">
        <f>IF(COUNTIF(A:A,A1435)&gt;1,_xlfn.CONCAT(A1435," (",N1435,")"),A1435)</f>
        <v>Zhuāngmó Zhèn</v>
      </c>
      <c r="C1435" t="str">
        <f>IF(COUNTIF(B:B,B1435)&gt;1,_xlfn.CONCAT(A1435," (",M1435,")"),B1435)</f>
        <v>Zhuāngmó Zhèn</v>
      </c>
      <c r="D1435" t="s">
        <v>2485</v>
      </c>
      <c r="E1435" t="s">
        <v>7</v>
      </c>
      <c r="F1435" t="str">
        <f>_xlfn.CONCAT(D1435,", ",H1435,", ",I1435,", ","山西省")</f>
        <v>庄磨镇, 忻府区, 忻州市, 山西省</v>
      </c>
      <c r="G1435">
        <v>12233</v>
      </c>
      <c r="H1435" t="s">
        <v>2994</v>
      </c>
      <c r="I1435" t="s">
        <v>2981</v>
      </c>
      <c r="J1435">
        <f>VLOOKUP(F1435,[1]!china_towns_second__2[[Column1]:[Y]],3,FALSE)</f>
        <v>38.281176870537401</v>
      </c>
      <c r="K1435">
        <f>VLOOKUP(F1435,[1]!china_towns_second__2[[Column1]:[Y]],2,FALSE)</f>
        <v>112.5701475</v>
      </c>
      <c r="L1435" t="s">
        <v>5006</v>
      </c>
      <c r="M1435" t="str">
        <f>VLOOKUP(H1435,CHOOSE({1,2},Table12[Native],Table12[Name]),2,0)</f>
        <v>Xīnfŭ Qū</v>
      </c>
      <c r="N1435" s="13" t="str">
        <f>VLOOKUP(I1435,CHOOSE({1,2},Table12[Native],Table12[Name]),2,0)</f>
        <v>Xīnzhōu Shì</v>
      </c>
      <c r="O1435" s="13" t="str">
        <f t="shared" si="44"/>
        <v>Zhuangmo Zhen (Xīnzhōu Shì)</v>
      </c>
      <c r="P1435" s="13" t="str">
        <f t="shared" si="45"/>
        <v>Zhuangmo Zhen (Xīnzhōu Shì)</v>
      </c>
    </row>
    <row r="1436" spans="1:16" hidden="1" x14ac:dyDescent="0.25">
      <c r="A1436" t="s">
        <v>1730</v>
      </c>
      <c r="B1436" t="str">
        <f>IF(COUNTIF(A:A,A1436)&gt;1,_xlfn.CONCAT(A1436," (",N1436,")"),A1436)</f>
        <v>Zhuāngshàng Zhèn</v>
      </c>
      <c r="C1436" t="str">
        <f>IF(COUNTIF(B:B,B1436)&gt;1,_xlfn.CONCAT(A1436," (",M1436,")"),B1436)</f>
        <v>Zhuāngshàng Zhèn</v>
      </c>
      <c r="D1436" t="s">
        <v>1731</v>
      </c>
      <c r="E1436" t="s">
        <v>7</v>
      </c>
      <c r="F1436" t="str">
        <f>_xlfn.CONCAT(D1436,", ",H1436,", ",I1436,", ","山西省")</f>
        <v>庄上镇, 柳林县, 吕梁市, 山西省</v>
      </c>
      <c r="G1436">
        <v>18442</v>
      </c>
      <c r="H1436" t="s">
        <v>2954</v>
      </c>
      <c r="I1436" t="s">
        <v>2946</v>
      </c>
      <c r="J1436">
        <f>VLOOKUP(F1436,[1]!china_towns_second__2[[Column1]:[Y]],3,FALSE)</f>
        <v>37.368507863969498</v>
      </c>
      <c r="K1436">
        <f>VLOOKUP(F1436,[1]!china_towns_second__2[[Column1]:[Y]],2,FALSE)</f>
        <v>110.8956393</v>
      </c>
      <c r="L1436" t="s">
        <v>5007</v>
      </c>
      <c r="M1436" t="str">
        <f>VLOOKUP(H1436,CHOOSE({1,2},Table12[Native],Table12[Name]),2,0)</f>
        <v>Liŭlín Xiàn</v>
      </c>
      <c r="N1436" s="13" t="str">
        <f>VLOOKUP(I1436,CHOOSE({1,2},Table12[Native],Table12[Name]),2,0)</f>
        <v>Lǚliáng Shì</v>
      </c>
      <c r="O1436" s="13" t="str">
        <f t="shared" si="44"/>
        <v>Zhuangshang Zhen (Lǚliáng Shì)</v>
      </c>
      <c r="P1436" s="13" t="str">
        <f t="shared" si="45"/>
        <v>Zhuangshang Zhen (Lǚliáng Shì)</v>
      </c>
    </row>
    <row r="1437" spans="1:16" hidden="1" x14ac:dyDescent="0.25">
      <c r="A1437" t="s">
        <v>1060</v>
      </c>
      <c r="B1437" t="str">
        <f>IF(COUNTIF(A:A,A1437)&gt;1,_xlfn.CONCAT(A1437," (",N1437,")"),A1437)</f>
        <v>Zhuāngzi Xiāng</v>
      </c>
      <c r="C1437" t="str">
        <f>IF(COUNTIF(B:B,B1437)&gt;1,_xlfn.CONCAT(A1437," (",M1437,")"),B1437)</f>
        <v>Zhuāngzi Xiāng</v>
      </c>
      <c r="D1437" t="s">
        <v>1061</v>
      </c>
      <c r="E1437" t="s">
        <v>17</v>
      </c>
      <c r="F1437" t="str">
        <f>_xlfn.CONCAT(D1437,", ",H1437,", ",I1437,", ","山西省")</f>
        <v>庄子乡, 榆次区, 晋中市, 山西省</v>
      </c>
      <c r="G1437">
        <v>12456</v>
      </c>
      <c r="H1437" t="s">
        <v>2923</v>
      </c>
      <c r="I1437" t="s">
        <v>2914</v>
      </c>
      <c r="J1437" t="e">
        <f>VLOOKUP(F1437,[1]!china_towns_second__2[[Column1]:[Y]],3,FALSE)</f>
        <v>#N/A</v>
      </c>
      <c r="K1437" t="e">
        <f>VLOOKUP(F1437,[1]!china_towns_second__2[[Column1]:[Y]],2,FALSE)</f>
        <v>#N/A</v>
      </c>
      <c r="L1437" t="s">
        <v>5008</v>
      </c>
      <c r="M1437" t="str">
        <f>VLOOKUP(H1437,CHOOSE({1,2},Table12[Native],Table12[Name]),2,0)</f>
        <v>Yúcì Qū</v>
      </c>
      <c r="N1437" s="13" t="str">
        <f>VLOOKUP(I1437,CHOOSE({1,2},Table12[Native],Table12[Name]),2,0)</f>
        <v>Jìnzhōng Shì</v>
      </c>
      <c r="O1437" s="13" t="str">
        <f t="shared" si="44"/>
        <v>Zhuangzi Xiang (Jìnzhōng Shì)</v>
      </c>
      <c r="P1437" s="13" t="str">
        <f t="shared" si="45"/>
        <v>Zhuangzi Xiang (Jìnzhōng Shì)</v>
      </c>
    </row>
    <row r="1438" spans="1:16" hidden="1" x14ac:dyDescent="0.25">
      <c r="A1438" t="s">
        <v>1062</v>
      </c>
      <c r="B1438" t="str">
        <f>IF(COUNTIF(A:A,A1438)&gt;1,_xlfn.CONCAT(A1438," (",N1438,")"),A1438)</f>
        <v>Zhūkēng Xiāng</v>
      </c>
      <c r="C1438" t="str">
        <f>IF(COUNTIF(B:B,B1438)&gt;1,_xlfn.CONCAT(A1438," (",M1438,")"),B1438)</f>
        <v>Zhūkēng Xiāng</v>
      </c>
      <c r="D1438" t="s">
        <v>1063</v>
      </c>
      <c r="E1438" t="s">
        <v>17</v>
      </c>
      <c r="F1438" t="str">
        <f>_xlfn.CONCAT(D1438,", ",H1438,", ",I1438,", ","山西省")</f>
        <v>朱坑乡, 平遥县, 晋中市, 山西省</v>
      </c>
      <c r="G1438">
        <v>25483</v>
      </c>
      <c r="H1438" t="s">
        <v>2918</v>
      </c>
      <c r="I1438" t="s">
        <v>2914</v>
      </c>
      <c r="J1438" t="e">
        <f>VLOOKUP(F1438,[1]!china_towns_second__2[[Column1]:[Y]],3,FALSE)</f>
        <v>#N/A</v>
      </c>
      <c r="K1438" t="e">
        <f>VLOOKUP(F1438,[1]!china_towns_second__2[[Column1]:[Y]],2,FALSE)</f>
        <v>#N/A</v>
      </c>
      <c r="L1438" t="s">
        <v>5009</v>
      </c>
      <c r="M1438" t="str">
        <f>VLOOKUP(H1438,CHOOSE({1,2},Table12[Native],Table12[Name]),2,0)</f>
        <v>Píngyáo Xiàn</v>
      </c>
      <c r="N1438" s="13" t="str">
        <f>VLOOKUP(I1438,CHOOSE({1,2},Table12[Native],Table12[Name]),2,0)</f>
        <v>Jìnzhōng Shì</v>
      </c>
      <c r="O1438" s="13" t="str">
        <f t="shared" si="44"/>
        <v>Zhukeng Xiang (Jìnzhōng Shì)</v>
      </c>
      <c r="P1438" s="13" t="str">
        <f t="shared" si="45"/>
        <v>Zhukeng Xiang (Jìnzhōng Shì)</v>
      </c>
    </row>
    <row r="1439" spans="1:16" hidden="1" x14ac:dyDescent="0.25">
      <c r="A1439" t="s">
        <v>2874</v>
      </c>
      <c r="B1439" t="str">
        <f>IF(COUNTIF(A:A,A1439)&gt;1,_xlfn.CONCAT(A1439," (",N1439,")"),A1439)</f>
        <v>Zhuólĭ Gōngmàoqū [Zhuoli Industry and Trade Zone]</v>
      </c>
      <c r="C1439" t="str">
        <f>IF(COUNTIF(B:B,B1439)&gt;1,_xlfn.CONCAT(A1439," (",M1439,")"),B1439)</f>
        <v>Zhuólĭ Gōngmàoqū [Zhuoli Industry and Trade Zone]</v>
      </c>
      <c r="D1439" t="s">
        <v>2875</v>
      </c>
      <c r="E1439" t="s">
        <v>35</v>
      </c>
      <c r="F1439" t="str">
        <f>_xlfn.CONCAT(D1439,", ",H1439,", ",I1439,", ","山西省")</f>
        <v>卓里工贸区, 临猗县, 运城市, 山西省</v>
      </c>
      <c r="G1439">
        <v>14454</v>
      </c>
      <c r="H1439" t="s">
        <v>3007</v>
      </c>
      <c r="I1439" t="s">
        <v>3003</v>
      </c>
      <c r="J1439">
        <f>VLOOKUP(F1439,[1]!china_towns_second__2[[Column1]:[Y]],3,FALSE)</f>
        <v>35.147830985661003</v>
      </c>
      <c r="K1439">
        <f>VLOOKUP(F1439,[1]!china_towns_second__2[[Column1]:[Y]],2,FALSE)</f>
        <v>110.62740839999999</v>
      </c>
      <c r="L1439" t="s">
        <v>5010</v>
      </c>
      <c r="M1439" t="str">
        <f>VLOOKUP(H1439,CHOOSE({1,2},Table12[Native],Table12[Name]),2,0)</f>
        <v>Línyī Xiàn</v>
      </c>
      <c r="N1439" s="13" t="str">
        <f>VLOOKUP(I1439,CHOOSE({1,2},Table12[Native],Table12[Name]),2,0)</f>
        <v>Yùnchéng Shì</v>
      </c>
      <c r="O1439" s="13" t="str">
        <f t="shared" si="44"/>
        <v>Zhuoli Gongmaoqu [Zhuoli Industry and Trade Zone] (Yùnchéng Shì)</v>
      </c>
      <c r="P1439" s="13" t="str">
        <f t="shared" si="45"/>
        <v>Zhuoli Gongmaoqu [Zhuoli Industry and Trade Zone] (Yùnchéng Shì)</v>
      </c>
    </row>
    <row r="1440" spans="1:16" hidden="1" x14ac:dyDescent="0.25">
      <c r="A1440" t="s">
        <v>1732</v>
      </c>
      <c r="B1440" t="str">
        <f>IF(COUNTIF(A:A,A1440)&gt;1,_xlfn.CONCAT(A1440," (",N1440,")"),A1440)</f>
        <v>Zhùpú Zhèn</v>
      </c>
      <c r="C1440" t="str">
        <f>IF(COUNTIF(B:B,B1440)&gt;1,_xlfn.CONCAT(A1440," (",M1440,")"),B1440)</f>
        <v>Zhùpú Zhèn</v>
      </c>
      <c r="D1440" t="s">
        <v>1733</v>
      </c>
      <c r="E1440" t="s">
        <v>7</v>
      </c>
      <c r="F1440" t="str">
        <f>_xlfn.CONCAT(D1440,", ",H1440,", ",I1440,", ","山西省")</f>
        <v>柱濮镇, 孝义市, 吕梁市, 山西省</v>
      </c>
      <c r="G1440">
        <v>10445</v>
      </c>
      <c r="H1440" t="s">
        <v>2957</v>
      </c>
      <c r="I1440" t="s">
        <v>2946</v>
      </c>
      <c r="J1440">
        <f>VLOOKUP(F1440,[1]!china_towns_second__2[[Column1]:[Y]],3,FALSE)</f>
        <v>37.047831227074802</v>
      </c>
      <c r="K1440">
        <f>VLOOKUP(F1440,[1]!china_towns_second__2[[Column1]:[Y]],2,FALSE)</f>
        <v>111.6096545</v>
      </c>
      <c r="L1440" t="s">
        <v>5011</v>
      </c>
      <c r="M1440" t="str">
        <f>VLOOKUP(H1440,CHOOSE({1,2},Table12[Native],Table12[Name]),2,0)</f>
        <v>Xiàoyì Shì</v>
      </c>
      <c r="N1440" s="13" t="str">
        <f>VLOOKUP(I1440,CHOOSE({1,2},Table12[Native],Table12[Name]),2,0)</f>
        <v>Lǚliáng Shì</v>
      </c>
      <c r="O1440" s="13" t="str">
        <f t="shared" si="44"/>
        <v>Zhupu Zhen (Lǚliáng Shì)</v>
      </c>
      <c r="P1440" s="13" t="str">
        <f t="shared" si="45"/>
        <v>Zhupu Zhen (Lǚliáng Shì)</v>
      </c>
    </row>
    <row r="1441" spans="1:16" hidden="1" x14ac:dyDescent="0.25">
      <c r="A1441" t="s">
        <v>2486</v>
      </c>
      <c r="B1441" t="str">
        <f>IF(COUNTIF(A:A,A1441)&gt;1,_xlfn.CONCAT(A1441," (",N1441,")"),A1441)</f>
        <v>Zigān Xiāng</v>
      </c>
      <c r="C1441" t="str">
        <f>IF(COUNTIF(B:B,B1441)&gt;1,_xlfn.CONCAT(A1441," (",M1441,")"),B1441)</f>
        <v>Zigān Xiāng</v>
      </c>
      <c r="D1441" t="s">
        <v>2487</v>
      </c>
      <c r="E1441" t="s">
        <v>17</v>
      </c>
      <c r="F1441" t="str">
        <f>_xlfn.CONCAT(D1441,", ",H1441,", ",I1441,", ","山西省")</f>
        <v>子干乡, 原平市, 忻州市, 山西省</v>
      </c>
      <c r="G1441">
        <v>17206</v>
      </c>
      <c r="H1441" t="s">
        <v>2995</v>
      </c>
      <c r="I1441" t="s">
        <v>2981</v>
      </c>
      <c r="J1441" t="e">
        <f>VLOOKUP(F1441,[1]!china_towns_second__2[[Column1]:[Y]],3,FALSE)</f>
        <v>#N/A</v>
      </c>
      <c r="K1441" t="e">
        <f>VLOOKUP(F1441,[1]!china_towns_second__2[[Column1]:[Y]],2,FALSE)</f>
        <v>#N/A</v>
      </c>
      <c r="L1441" t="s">
        <v>5012</v>
      </c>
      <c r="M1441" t="str">
        <f>VLOOKUP(H1441,CHOOSE({1,2},Table12[Native],Table12[Name]),2,0)</f>
        <v>Yuánpíng Shì</v>
      </c>
      <c r="N1441" s="13" t="str">
        <f>VLOOKUP(I1441,CHOOSE({1,2},Table12[Native],Table12[Name]),2,0)</f>
        <v>Xīnzhōu Shì</v>
      </c>
      <c r="O1441" s="13" t="str">
        <f t="shared" si="44"/>
        <v>Zigan Xiang (Xīnzhōu Shì)</v>
      </c>
      <c r="P1441" s="13" t="str">
        <f t="shared" si="45"/>
        <v>Zigan Xiang (Xīnzhōu Shì)</v>
      </c>
    </row>
    <row r="1442" spans="1:16" hidden="1" x14ac:dyDescent="0.25">
      <c r="A1442" t="s">
        <v>321</v>
      </c>
      <c r="B1442" t="str">
        <f>IF(COUNTIF(A:A,A1442)&gt;1,_xlfn.CONCAT(A1442," (",N1442,")"),A1442)</f>
        <v>Zĭjīnjiē Jiēdào</v>
      </c>
      <c r="C1442" t="str">
        <f>IF(COUNTIF(B:B,B1442)&gt;1,_xlfn.CONCAT(A1442," (",M1442,")"),B1442)</f>
        <v>Zĭjīnjiē Jiēdào</v>
      </c>
      <c r="D1442" t="s">
        <v>322</v>
      </c>
      <c r="E1442" t="s">
        <v>31</v>
      </c>
      <c r="F1442" t="str">
        <f>_xlfn.CONCAT(D1442,", ",H1442,", ",I1442,", ","山西省")</f>
        <v>紫金街街道, 潞州区, 长治市, 山西省</v>
      </c>
      <c r="G1442">
        <v>33457</v>
      </c>
      <c r="H1442" t="s">
        <v>2885</v>
      </c>
      <c r="I1442" t="s">
        <v>2878</v>
      </c>
      <c r="J1442" t="e">
        <f>VLOOKUP(F1442,[1]!china_towns_second__2[[Column1]:[Y]],3,FALSE)</f>
        <v>#N/A</v>
      </c>
      <c r="K1442" t="e">
        <f>VLOOKUP(F1442,[1]!china_towns_second__2[[Column1]:[Y]],2,FALSE)</f>
        <v>#N/A</v>
      </c>
      <c r="L1442" t="s">
        <v>5013</v>
      </c>
      <c r="M1442" t="str">
        <f>VLOOKUP(H1442,CHOOSE({1,2},Table12[Native],Table12[Name]),2,0)</f>
        <v>Lùzhōu Qū</v>
      </c>
      <c r="N1442" s="13" t="str">
        <f>VLOOKUP(I1442,CHOOSE({1,2},Table12[Native],Table12[Name]),2,0)</f>
        <v>Chángzhì Shì</v>
      </c>
      <c r="O1442" s="13" t="str">
        <f t="shared" si="44"/>
        <v>Zijinjie Jiedao (Chángzhì Shì)</v>
      </c>
      <c r="P1442" s="13" t="str">
        <f t="shared" si="45"/>
        <v>Zijinjie Jiedao (Chángzhì Shì)</v>
      </c>
    </row>
    <row r="1443" spans="1:16" hidden="1" x14ac:dyDescent="0.25">
      <c r="A1443" t="s">
        <v>1878</v>
      </c>
      <c r="B1443" t="str">
        <f>IF(COUNTIF(A:A,A1443)&gt;1,_xlfn.CONCAT(A1443," (",N1443,")"),A1443)</f>
        <v>Zīrùn Xiāng</v>
      </c>
      <c r="C1443" t="str">
        <f>IF(COUNTIF(B:B,B1443)&gt;1,_xlfn.CONCAT(A1443," (",M1443,")"),B1443)</f>
        <v>Zīrùn Xiāng</v>
      </c>
      <c r="D1443" t="s">
        <v>1879</v>
      </c>
      <c r="E1443" t="s">
        <v>17</v>
      </c>
      <c r="F1443" t="str">
        <f>_xlfn.CONCAT(D1443,", ",H1443,", ",I1443,", ","山西省")</f>
        <v>滋润乡, 朔城区, 朔州市, 山西省</v>
      </c>
      <c r="G1443">
        <v>13568</v>
      </c>
      <c r="H1443" t="s">
        <v>2965</v>
      </c>
      <c r="I1443" t="s">
        <v>2961</v>
      </c>
      <c r="J1443" t="e">
        <f>VLOOKUP(F1443,[1]!china_towns_second__2[[Column1]:[Y]],3,FALSE)</f>
        <v>#N/A</v>
      </c>
      <c r="K1443" t="e">
        <f>VLOOKUP(F1443,[1]!china_towns_second__2[[Column1]:[Y]],2,FALSE)</f>
        <v>#N/A</v>
      </c>
      <c r="L1443" t="s">
        <v>5014</v>
      </c>
      <c r="M1443" t="str">
        <f>VLOOKUP(H1443,CHOOSE({1,2},Table12[Native],Table12[Name]),2,0)</f>
        <v>Shuòchéng Qū</v>
      </c>
      <c r="N1443" s="13" t="str">
        <f>VLOOKUP(I1443,CHOOSE({1,2},Table12[Native],Table12[Name]),2,0)</f>
        <v>Shuòzhōu Shì</v>
      </c>
      <c r="O1443" s="13" t="str">
        <f t="shared" si="44"/>
        <v>Zirun Xiang (Shuòzhōu Shì)</v>
      </c>
      <c r="P1443" s="13" t="str">
        <f t="shared" si="45"/>
        <v>Zirun Xiang (Shuòzhōu Shì)</v>
      </c>
    </row>
    <row r="1444" spans="1:16" hidden="1" x14ac:dyDescent="0.25">
      <c r="A1444" t="s">
        <v>2488</v>
      </c>
      <c r="B1444" t="str">
        <f>IF(COUNTIF(A:A,A1444)&gt;1,_xlfn.CONCAT(A1444," (",N1444,")"),A1444)</f>
        <v>Zĭyán Xiāng</v>
      </c>
      <c r="C1444" t="str">
        <f>IF(COUNTIF(B:B,B1444)&gt;1,_xlfn.CONCAT(A1444," (",M1444,")"),B1444)</f>
        <v>Zĭyán Xiāng</v>
      </c>
      <c r="D1444" t="s">
        <v>2489</v>
      </c>
      <c r="E1444" t="s">
        <v>17</v>
      </c>
      <c r="F1444" t="str">
        <f>_xlfn.CONCAT(D1444,", ",H1444,", ",I1444,", ","山西省")</f>
        <v>紫岩乡, 忻府区, 忻州市, 山西省</v>
      </c>
      <c r="G1444">
        <v>13645</v>
      </c>
      <c r="H1444" t="s">
        <v>2994</v>
      </c>
      <c r="I1444" t="s">
        <v>2981</v>
      </c>
      <c r="J1444" t="e">
        <f>VLOOKUP(F1444,[1]!china_towns_second__2[[Column1]:[Y]],3,FALSE)</f>
        <v>#N/A</v>
      </c>
      <c r="K1444" t="e">
        <f>VLOOKUP(F1444,[1]!china_towns_second__2[[Column1]:[Y]],2,FALSE)</f>
        <v>#N/A</v>
      </c>
      <c r="L1444" t="s">
        <v>5015</v>
      </c>
      <c r="M1444" t="str">
        <f>VLOOKUP(H1444,CHOOSE({1,2},Table12[Native],Table12[Name]),2,0)</f>
        <v>Xīnfŭ Qū</v>
      </c>
      <c r="N1444" s="13" t="str">
        <f>VLOOKUP(I1444,CHOOSE({1,2},Table12[Native],Table12[Name]),2,0)</f>
        <v>Xīnzhōu Shì</v>
      </c>
      <c r="O1444" s="13" t="str">
        <f t="shared" si="44"/>
        <v>Ziyan Xiang (Xīnzhōu Shì)</v>
      </c>
      <c r="P1444" s="13" t="str">
        <f t="shared" si="45"/>
        <v>Ziyan Xiang (Xīnzhōu Shì)</v>
      </c>
    </row>
    <row r="1445" spans="1:16" hidden="1" x14ac:dyDescent="0.25">
      <c r="A1445" t="s">
        <v>1064</v>
      </c>
      <c r="B1445" t="str">
        <f>IF(COUNTIF(A:A,A1445)&gt;1,_xlfn.CONCAT(A1445," (",N1445,")"),A1445)</f>
        <v>Zōng'ài Zhèn</v>
      </c>
      <c r="C1445" t="str">
        <f>IF(COUNTIF(B:B,B1445)&gt;1,_xlfn.CONCAT(A1445," (",M1445,")"),B1445)</f>
        <v>Zōng'ài Zhèn</v>
      </c>
      <c r="D1445" t="s">
        <v>1065</v>
      </c>
      <c r="E1445" t="s">
        <v>7</v>
      </c>
      <c r="F1445" t="str">
        <f>_xlfn.CONCAT(D1445,", ",H1445,", ",I1445,", ","山西省")</f>
        <v>宗艾镇, 寿阳县, 晋中市, 山西省</v>
      </c>
      <c r="G1445">
        <v>11723</v>
      </c>
      <c r="H1445" t="s">
        <v>2920</v>
      </c>
      <c r="I1445" t="s">
        <v>2914</v>
      </c>
      <c r="J1445">
        <f>VLOOKUP(F1445,[1]!china_towns_second__2[[Column1]:[Y]],3,FALSE)</f>
        <v>37.980999841528799</v>
      </c>
      <c r="K1445">
        <f>VLOOKUP(F1445,[1]!china_towns_second__2[[Column1]:[Y]],2,FALSE)</f>
        <v>113.1142729</v>
      </c>
      <c r="L1445" t="s">
        <v>5016</v>
      </c>
      <c r="M1445" t="str">
        <f>VLOOKUP(H1445,CHOOSE({1,2},Table12[Native],Table12[Name]),2,0)</f>
        <v>Shòuyáng Xiàn</v>
      </c>
      <c r="N1445" s="13" t="str">
        <f>VLOOKUP(I1445,CHOOSE({1,2},Table12[Native],Table12[Name]),2,0)</f>
        <v>Jìnzhōng Shì</v>
      </c>
      <c r="O1445" s="13" t="str">
        <f t="shared" si="44"/>
        <v>Zong'ai Zhen (Jìnzhōng Shì)</v>
      </c>
      <c r="P1445" s="13" t="str">
        <f t="shared" si="45"/>
        <v>Zong'ai Zhen (Jìnzhōng Shì)</v>
      </c>
    </row>
    <row r="1446" spans="1:16" hidden="1" x14ac:dyDescent="0.25">
      <c r="A1446" t="s">
        <v>1880</v>
      </c>
      <c r="B1446" t="str">
        <f>IF(COUNTIF(A:A,A1446)&gt;1,_xlfn.CONCAT(A1446," (",N1446,")"),A1446)</f>
        <v>Zŭhŭ Xiāng</v>
      </c>
      <c r="C1446" t="str">
        <f>IF(COUNTIF(B:B,B1446)&gt;1,_xlfn.CONCAT(A1446," (",M1446,")"),B1446)</f>
        <v>Zŭhŭ Xiāng</v>
      </c>
      <c r="D1446" t="s">
        <v>1881</v>
      </c>
      <c r="E1446" t="s">
        <v>17</v>
      </c>
      <c r="F1446" t="str">
        <f>_xlfn.CONCAT(D1446,", ",H1446,", ",I1446,", ","山西省")</f>
        <v>阻虎乡, 平鲁区, 朔州市, 山西省</v>
      </c>
      <c r="G1446">
        <v>6554</v>
      </c>
      <c r="H1446" t="s">
        <v>2963</v>
      </c>
      <c r="I1446" t="s">
        <v>2961</v>
      </c>
      <c r="J1446" t="e">
        <f>VLOOKUP(F1446,[1]!china_towns_second__2[[Column1]:[Y]],3,FALSE)</f>
        <v>#N/A</v>
      </c>
      <c r="K1446" t="e">
        <f>VLOOKUP(F1446,[1]!china_towns_second__2[[Column1]:[Y]],2,FALSE)</f>
        <v>#N/A</v>
      </c>
      <c r="L1446" t="s">
        <v>5017</v>
      </c>
      <c r="M1446" t="str">
        <f>VLOOKUP(H1446,CHOOSE({1,2},Table12[Native],Table12[Name]),2,0)</f>
        <v>Pínglŭ Qū</v>
      </c>
      <c r="N1446" s="13" t="str">
        <f>VLOOKUP(I1446,CHOOSE({1,2},Table12[Native],Table12[Name]),2,0)</f>
        <v>Shuòzhōu Shì</v>
      </c>
      <c r="O1446" s="13" t="str">
        <f t="shared" si="44"/>
        <v>Zuhu Xiang (Shuòzhōu Shì)</v>
      </c>
      <c r="P1446" s="13" t="str">
        <f t="shared" si="45"/>
        <v>Zuhu Xiang (Shuòzhōu Shì)</v>
      </c>
    </row>
    <row r="1447" spans="1:16" hidden="1" x14ac:dyDescent="0.25">
      <c r="A1447" t="s">
        <v>1407</v>
      </c>
      <c r="B1447" t="str">
        <f>IF(COUNTIF(A:A,A1447)&gt;1,_xlfn.CONCAT(A1447," (",N1447,")"),A1447)</f>
        <v>Zuŏmù Xiāng</v>
      </c>
      <c r="C1447" t="str">
        <f>IF(COUNTIF(B:B,B1447)&gt;1,_xlfn.CONCAT(A1447," (",M1447,")"),B1447)</f>
        <v>Zuŏmù Xiāng</v>
      </c>
      <c r="D1447" t="s">
        <v>1408</v>
      </c>
      <c r="E1447" t="s">
        <v>17</v>
      </c>
      <c r="F1447" t="str">
        <f>_xlfn.CONCAT(D1447,", ",H1447,", ",I1447,", ","山西省")</f>
        <v>左木乡, 洪洞县, 临汾市, 山西省</v>
      </c>
      <c r="G1447">
        <v>7287</v>
      </c>
      <c r="H1447" t="s">
        <v>2933</v>
      </c>
      <c r="I1447" t="s">
        <v>2927</v>
      </c>
      <c r="J1447" t="e">
        <f>VLOOKUP(F1447,[1]!china_towns_second__2[[Column1]:[Y]],3,FALSE)</f>
        <v>#N/A</v>
      </c>
      <c r="K1447" t="e">
        <f>VLOOKUP(F1447,[1]!china_towns_second__2[[Column1]:[Y]],2,FALSE)</f>
        <v>#N/A</v>
      </c>
      <c r="L1447" t="s">
        <v>5018</v>
      </c>
      <c r="M1447" t="str">
        <f>VLOOKUP(H1447,CHOOSE({1,2},Table12[Native],Table12[Name]),2,0)</f>
        <v>Hóngdòng Xiàn</v>
      </c>
      <c r="N1447" s="13" t="str">
        <f>VLOOKUP(I1447,CHOOSE({1,2},Table12[Native],Table12[Name]),2,0)</f>
        <v>Línfén Shì</v>
      </c>
      <c r="O1447" s="13" t="str">
        <f t="shared" si="44"/>
        <v>Zuomu Xiang (Línfén Shì)</v>
      </c>
      <c r="P1447" s="13" t="str">
        <f t="shared" si="45"/>
        <v>Zuomu Xiang (Línfén Shì)</v>
      </c>
    </row>
    <row r="1448" spans="1:16" hidden="1" x14ac:dyDescent="0.25">
      <c r="A1448" t="s">
        <v>613</v>
      </c>
      <c r="B1448" t="str">
        <f>IF(COUNTIF(A:A,A1448)&gt;1,_xlfn.CONCAT(A1448," (",N1448,")"),A1448)</f>
        <v>Zuòtuăn Xiāng</v>
      </c>
      <c r="C1448" t="str">
        <f>IF(COUNTIF(B:B,B1448)&gt;1,_xlfn.CONCAT(A1448," (",M1448,")"),B1448)</f>
        <v>Zuòtuăn Xiāng</v>
      </c>
      <c r="D1448" t="s">
        <v>614</v>
      </c>
      <c r="E1448" t="s">
        <v>17</v>
      </c>
      <c r="F1448" t="str">
        <f>_xlfn.CONCAT(D1448,", ",H1448,", ",I1448,", ","山西省")</f>
        <v>作疃乡, 广灵县, 大同市, 山西省</v>
      </c>
      <c r="G1448">
        <v>18663</v>
      </c>
      <c r="H1448" t="s">
        <v>2895</v>
      </c>
      <c r="I1448" t="s">
        <v>2894</v>
      </c>
      <c r="J1448" t="e">
        <f>VLOOKUP(F1448,[1]!china_towns_second__2[[Column1]:[Y]],3,FALSE)</f>
        <v>#N/A</v>
      </c>
      <c r="K1448" t="e">
        <f>VLOOKUP(F1448,[1]!china_towns_second__2[[Column1]:[Y]],2,FALSE)</f>
        <v>#N/A</v>
      </c>
      <c r="L1448" t="s">
        <v>5019</v>
      </c>
      <c r="M1448" t="str">
        <f>VLOOKUP(H1448,CHOOSE({1,2},Table12[Native],Table12[Name]),2,0)</f>
        <v>Guănglíng Xiàn</v>
      </c>
      <c r="N1448" s="13" t="str">
        <f>VLOOKUP(I1448,CHOOSE({1,2},Table12[Native],Table12[Name]),2,0)</f>
        <v>Dàtóng Shì</v>
      </c>
      <c r="O1448" s="13" t="str">
        <f t="shared" si="44"/>
        <v>Zuotuan Xiang (Dàtóng Shì)</v>
      </c>
      <c r="P1448" s="13" t="str">
        <f t="shared" si="45"/>
        <v>Zuotuan Xiang (Dàtóng Shì)</v>
      </c>
    </row>
  </sheetData>
  <phoneticPr fontId="3" type="noConversion"/>
  <conditionalFormatting sqref="J2:J1448">
    <cfRule type="expression" dxfId="13" priority="7">
      <formula>ISERROR(J2)</formula>
    </cfRule>
  </conditionalFormatting>
  <conditionalFormatting sqref="A2:A1448">
    <cfRule type="duplicateValues" dxfId="12" priority="6"/>
  </conditionalFormatting>
  <conditionalFormatting sqref="B2:B1448">
    <cfRule type="duplicateValues" dxfId="11" priority="5"/>
  </conditionalFormatting>
  <conditionalFormatting sqref="C2:C1448">
    <cfRule type="duplicateValues" dxfId="10" priority="4"/>
  </conditionalFormatting>
  <conditionalFormatting sqref="L2:L1448">
    <cfRule type="duplicateValues" dxfId="9" priority="3"/>
  </conditionalFormatting>
  <conditionalFormatting sqref="O2:O1448">
    <cfRule type="duplicateValues" dxfId="8" priority="2"/>
  </conditionalFormatting>
  <conditionalFormatting sqref="P2:P1448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9DE0-5FF1-4A5B-A5A5-505A7775B700}">
  <dimension ref="A1:E22"/>
  <sheetViews>
    <sheetView workbookViewId="0"/>
  </sheetViews>
  <sheetFormatPr defaultRowHeight="15" x14ac:dyDescent="0.25"/>
  <cols>
    <col min="1" max="3" width="11.28515625" customWidth="1"/>
  </cols>
  <sheetData>
    <row r="1" spans="1:5" x14ac:dyDescent="0.25">
      <c r="A1" t="s">
        <v>3022</v>
      </c>
      <c r="B1" t="s">
        <v>3032</v>
      </c>
      <c r="C1" t="s">
        <v>3024</v>
      </c>
      <c r="D1" t="s">
        <v>3025</v>
      </c>
      <c r="E1" t="s">
        <v>3026</v>
      </c>
    </row>
    <row r="2" spans="1:5" x14ac:dyDescent="0.25">
      <c r="A2" t="s">
        <v>2934</v>
      </c>
      <c r="B2" t="str">
        <f>VLOOKUP(A2,CHOOSE({1,2},Table12[Native],Table12[Name]),2,0)</f>
        <v>Hòumă Shì</v>
      </c>
      <c r="C2">
        <v>162660</v>
      </c>
      <c r="D2">
        <f>VLOOKUP(A2,[1]!Table1[[name]:[@lon]],5,0)</f>
        <v>35.618491200000001</v>
      </c>
      <c r="E2">
        <f>VLOOKUP(A2,[1]!Table1[[name]:[@lon]],6,0)</f>
        <v>111.35624489999999</v>
      </c>
    </row>
    <row r="3" spans="1:5" x14ac:dyDescent="0.25">
      <c r="A3" t="s">
        <v>2935</v>
      </c>
      <c r="B3" t="str">
        <f>VLOOKUP(A3,CHOOSE({1,2},Table12[Native],Table12[Name]),2,0)</f>
        <v>Huòzhōu Shì</v>
      </c>
      <c r="C3">
        <v>98709</v>
      </c>
      <c r="D3">
        <f>VLOOKUP(A3,[1]!Table1[[name]:[@lon]],5,0)</f>
        <v>36.578527000000001</v>
      </c>
      <c r="E3">
        <f>VLOOKUP(A3,[1]!Table1[[name]:[@lon]],6,0)</f>
        <v>111.83175679999999</v>
      </c>
    </row>
    <row r="4" spans="1:5" x14ac:dyDescent="0.25">
      <c r="A4" t="s">
        <v>2927</v>
      </c>
      <c r="B4" t="str">
        <f>VLOOKUP(A4,CHOOSE({1,2},Table12[Native],Table12[Name]),2,0)</f>
        <v>Línfén Shì</v>
      </c>
      <c r="C4">
        <v>518828</v>
      </c>
      <c r="D4">
        <f>VLOOKUP(A4,[1]!Table1[[name]:[@lon]],5,0)</f>
        <v>36.161301000000002</v>
      </c>
      <c r="E4">
        <f>VLOOKUP(A4,[1]!Table1[[name]:[@lon]],6,0)</f>
        <v>111.4692539</v>
      </c>
    </row>
    <row r="5" spans="1:5" x14ac:dyDescent="0.25">
      <c r="A5" t="s">
        <v>2957</v>
      </c>
      <c r="B5" t="str">
        <f>VLOOKUP(A5,CHOOSE({1,2},Table12[Native],Table12[Name]),2,0)</f>
        <v>Xiàoyì Shì</v>
      </c>
      <c r="C5">
        <v>209432</v>
      </c>
      <c r="D5">
        <f>VLOOKUP(A5,[1]!Table1[[name]:[@lon]],5,0)</f>
        <v>37.131532800000002</v>
      </c>
      <c r="E5">
        <f>VLOOKUP(A5,[1]!Table1[[name]:[@lon]],6,0)</f>
        <v>111.6448702</v>
      </c>
    </row>
    <row r="6" spans="1:5" x14ac:dyDescent="0.25">
      <c r="A6" t="s">
        <v>2948</v>
      </c>
      <c r="B6" t="str">
        <f>VLOOKUP(A6,CHOOSE({1,2},Table12[Native],Table12[Name]),2,0)</f>
        <v>Fényáng Shì</v>
      </c>
      <c r="C6">
        <v>77837</v>
      </c>
      <c r="D6">
        <f>VLOOKUP(A6,[1]!Table1[[name]:[@lon]],5,0)</f>
        <v>37.315007199999997</v>
      </c>
      <c r="E6">
        <f>VLOOKUP(A6,[1]!Table1[[name]:[@lon]],6,0)</f>
        <v>111.7211288</v>
      </c>
    </row>
    <row r="7" spans="1:5" x14ac:dyDescent="0.25">
      <c r="A7" t="s">
        <v>2946</v>
      </c>
      <c r="B7" t="str">
        <f>VLOOKUP(A7,CHOOSE({1,2},Table12[Native],Table12[Name]),2,0)</f>
        <v>Lǚliáng Shì</v>
      </c>
      <c r="C7">
        <v>283129</v>
      </c>
      <c r="D7">
        <f>VLOOKUP(A7,[1]!Table1[[name]:[@lon]],5,0)</f>
        <v>37.733112300000002</v>
      </c>
      <c r="E7">
        <f>VLOOKUP(A7,[1]!Table1[[name]:[@lon]],6,0)</f>
        <v>111.3433352</v>
      </c>
    </row>
    <row r="8" spans="1:5" x14ac:dyDescent="0.25">
      <c r="A8" t="s">
        <v>2894</v>
      </c>
      <c r="B8" t="str">
        <f>VLOOKUP(A8,CHOOSE({1,2},Table12[Native],Table12[Name]),2,0)</f>
        <v>Dàtóng Shì</v>
      </c>
      <c r="C8">
        <v>1297763</v>
      </c>
      <c r="D8">
        <f>VLOOKUP(A8,[1]!Table1[[name]:[@lon]],5,0)</f>
        <v>39.896705300000001</v>
      </c>
      <c r="E8">
        <f>VLOOKUP(A8,[1]!Table1[[name]:[@lon]],6,0)</f>
        <v>113.5680916</v>
      </c>
    </row>
    <row r="9" spans="1:5" x14ac:dyDescent="0.25">
      <c r="A9" t="s">
        <v>2970</v>
      </c>
      <c r="B9" t="str">
        <f>VLOOKUP(A9,CHOOSE({1,2},Table12[Native],Table12[Name]),2,0)</f>
        <v>Gŭjiāo Shì</v>
      </c>
      <c r="C9">
        <v>113421</v>
      </c>
      <c r="D9">
        <f>VLOOKUP(A9,[1]!Table1[[name]:[@lon]],5,0)</f>
        <v>37.922238800000002</v>
      </c>
      <c r="E9">
        <f>VLOOKUP(A9,[1]!Table1[[name]:[@lon]],6,0)</f>
        <v>112.0320899</v>
      </c>
    </row>
    <row r="10" spans="1:5" x14ac:dyDescent="0.25">
      <c r="A10" t="s">
        <v>2969</v>
      </c>
      <c r="B10" t="str">
        <f>VLOOKUP(A10,CHOOSE({1,2},Table12[Native],Table12[Name]),2,0)</f>
        <v>Tàiyuán Shì</v>
      </c>
      <c r="C10">
        <v>3065874</v>
      </c>
      <c r="D10">
        <f>VLOOKUP(A10,[1]!Table1[[name]:[@lon]],5,0)</f>
        <v>37.931136299999999</v>
      </c>
      <c r="E10">
        <f>VLOOKUP(A10,[1]!Table1[[name]:[@lon]],6,0)</f>
        <v>112.32835179999999</v>
      </c>
    </row>
    <row r="11" spans="1:5" x14ac:dyDescent="0.25">
      <c r="A11" t="s">
        <v>2995</v>
      </c>
      <c r="B11" t="str">
        <f>VLOOKUP(A11,CHOOSE({1,2},Table12[Native],Table12[Name]),2,0)</f>
        <v>Yuánpíng Shì</v>
      </c>
      <c r="C11">
        <v>136792</v>
      </c>
      <c r="D11">
        <f>VLOOKUP(A11,[1]!Table1[[name]:[@lon]],5,0)</f>
        <v>38.869746200000002</v>
      </c>
      <c r="E11">
        <f>VLOOKUP(A11,[1]!Table1[[name]:[@lon]],6,0)</f>
        <v>112.68240729999999</v>
      </c>
    </row>
    <row r="12" spans="1:5" x14ac:dyDescent="0.25">
      <c r="A12" t="s">
        <v>2981</v>
      </c>
      <c r="B12" t="str">
        <f>VLOOKUP(A12,CHOOSE({1,2},Table12[Native],Table12[Name]),2,0)</f>
        <v>Xīnzhōu Shì</v>
      </c>
      <c r="C12">
        <v>370799</v>
      </c>
      <c r="D12">
        <f>VLOOKUP(A12,[1]!Table1[[name]:[@lon]],5,0)</f>
        <v>38.896531899999999</v>
      </c>
      <c r="E12">
        <f>VLOOKUP(A12,[1]!Table1[[name]:[@lon]],6,0)</f>
        <v>112.45026780000001</v>
      </c>
    </row>
    <row r="13" spans="1:5" x14ac:dyDescent="0.25">
      <c r="A13" t="s">
        <v>2916</v>
      </c>
      <c r="B13" t="str">
        <f>VLOOKUP(A13,CHOOSE({1,2},Table12[Native],Table12[Name]),2,0)</f>
        <v>Jièxiū Shì</v>
      </c>
      <c r="C13">
        <v>113464</v>
      </c>
      <c r="D13">
        <f>VLOOKUP(A13,[1]!Table1[[name]:[@lon]],5,0)</f>
        <v>37.011288299999997</v>
      </c>
      <c r="E13">
        <f>VLOOKUP(A13,[1]!Table1[[name]:[@lon]],6,0)</f>
        <v>111.9495582</v>
      </c>
    </row>
    <row r="14" spans="1:5" x14ac:dyDescent="0.25">
      <c r="A14" t="s">
        <v>2914</v>
      </c>
      <c r="B14" t="str">
        <f>VLOOKUP(A14,CHOOSE({1,2},Table12[Native],Table12[Name]),2,0)</f>
        <v>Jìnzhōng Shì</v>
      </c>
      <c r="C14">
        <v>557241</v>
      </c>
      <c r="D14">
        <f>VLOOKUP(A14,[1]!Table1[[name]:[@lon]],5,0)</f>
        <v>37.373890899999999</v>
      </c>
      <c r="E14">
        <f>VLOOKUP(A14,[1]!Table1[[name]:[@lon]],6,0)</f>
        <v>112.7666565</v>
      </c>
    </row>
    <row r="15" spans="1:5" x14ac:dyDescent="0.25">
      <c r="A15" t="s">
        <v>2908</v>
      </c>
      <c r="B15" t="str">
        <f>VLOOKUP(A15,CHOOSE({1,2},Table12[Native],Table12[Name]),2,0)</f>
        <v>Gāopíng Shì</v>
      </c>
      <c r="C15">
        <v>151539</v>
      </c>
      <c r="D15">
        <f>VLOOKUP(A15,[1]!Table1[[name]:[@lon]],5,0)</f>
        <v>35.818651000000003</v>
      </c>
      <c r="E15">
        <f>VLOOKUP(A15,[1]!Table1[[name]:[@lon]],6,0)</f>
        <v>112.9341623</v>
      </c>
    </row>
    <row r="16" spans="1:5" x14ac:dyDescent="0.25">
      <c r="A16" t="s">
        <v>2906</v>
      </c>
      <c r="B16" t="str">
        <f>VLOOKUP(A16,CHOOSE({1,2},Table12[Native],Table12[Name]),2,0)</f>
        <v>Jìnchéng Shì</v>
      </c>
      <c r="C16">
        <v>653186</v>
      </c>
      <c r="D16">
        <f>VLOOKUP(A16,[1]!Table1[[name]:[@lon]],5,0)</f>
        <v>35.627726299999999</v>
      </c>
      <c r="E16">
        <f>VLOOKUP(A16,[1]!Table1[[name]:[@lon]],6,0)</f>
        <v>112.7772681</v>
      </c>
    </row>
    <row r="17" spans="1:5" x14ac:dyDescent="0.25">
      <c r="A17" t="s">
        <v>2961</v>
      </c>
      <c r="B17" t="str">
        <f>VLOOKUP(A17,CHOOSE({1,2},Table12[Native],Table12[Name]),2,0)</f>
        <v>Shuòzhōu Shì</v>
      </c>
      <c r="C17">
        <v>410412</v>
      </c>
      <c r="D17">
        <f>VLOOKUP(A17,[1]!Table1[[name]:[@lon]],5,0)</f>
        <v>39.6915744</v>
      </c>
      <c r="E17">
        <f>VLOOKUP(A17,[1]!Table1[[name]:[@lon]],6,0)</f>
        <v>112.727841</v>
      </c>
    </row>
    <row r="18" spans="1:5" x14ac:dyDescent="0.25">
      <c r="A18" t="s">
        <v>3015</v>
      </c>
      <c r="B18" t="str">
        <f>VLOOKUP(A18,CHOOSE({1,2},Table12[Native],Table12[Name]),2,0)</f>
        <v>Yŏngjì Shì</v>
      </c>
      <c r="C18">
        <v>173551</v>
      </c>
      <c r="D18">
        <f>VLOOKUP(A18,[1]!Table1[[name]:[@lon]],5,0)</f>
        <v>34.866316500000003</v>
      </c>
      <c r="E18">
        <f>VLOOKUP(A18,[1]!Table1[[name]:[@lon]],6,0)</f>
        <v>110.4924015</v>
      </c>
    </row>
    <row r="19" spans="1:5" x14ac:dyDescent="0.25">
      <c r="A19" t="s">
        <v>3004</v>
      </c>
      <c r="B19" t="str">
        <f>VLOOKUP(A19,CHOOSE({1,2},Table12[Native],Table12[Name]),2,0)</f>
        <v>Héjīn Shì</v>
      </c>
      <c r="C19">
        <v>169430</v>
      </c>
      <c r="D19">
        <f>VLOOKUP(A19,[1]!Table1[[name]:[@lon]],5,0)</f>
        <v>35.629759900000003</v>
      </c>
      <c r="E19">
        <f>VLOOKUP(A19,[1]!Table1[[name]:[@lon]],6,0)</f>
        <v>110.6861612</v>
      </c>
    </row>
    <row r="20" spans="1:5" x14ac:dyDescent="0.25">
      <c r="A20" t="s">
        <v>3003</v>
      </c>
      <c r="B20" t="str">
        <f>VLOOKUP(A20,CHOOSE({1,2},Table12[Native],Table12[Name]),2,0)</f>
        <v>Yùnchéng Shì</v>
      </c>
      <c r="C20">
        <v>493068</v>
      </c>
      <c r="D20">
        <f>VLOOKUP(A20,[1]!Table1[[name]:[@lon]],5,0)</f>
        <v>35.201877400000001</v>
      </c>
      <c r="E20">
        <f>VLOOKUP(A20,[1]!Table1[[name]:[@lon]],6,0)</f>
        <v>111.1474285</v>
      </c>
    </row>
    <row r="21" spans="1:5" x14ac:dyDescent="0.25">
      <c r="A21" t="s">
        <v>2878</v>
      </c>
      <c r="B21" t="str">
        <f>VLOOKUP(A21,CHOOSE({1,2},Table12[Native],Table12[Name]),2,0)</f>
        <v>Chángzhì Shì</v>
      </c>
      <c r="C21">
        <v>844690</v>
      </c>
      <c r="D21">
        <f>VLOOKUP(A21,[1]!Table1[[name]:[@lon]],5,0)</f>
        <v>36.473796900000004</v>
      </c>
      <c r="E21">
        <f>VLOOKUP(A21,[1]!Table1[[name]:[@lon]],6,0)</f>
        <v>112.85481420000001</v>
      </c>
    </row>
    <row r="22" spans="1:5" x14ac:dyDescent="0.25">
      <c r="A22" t="s">
        <v>2997</v>
      </c>
      <c r="B22" t="str">
        <f>VLOOKUP(A22,CHOOSE({1,2},Table12[Native],Table12[Name]),2,0)</f>
        <v>Yángquán Shì</v>
      </c>
      <c r="C22">
        <v>293709</v>
      </c>
      <c r="D22">
        <f>VLOOKUP(A22,[1]!Table1[[name]:[@lon]],5,0)</f>
        <v>38.091079800000003</v>
      </c>
      <c r="E22">
        <f>VLOOKUP(A22,[1]!Table1[[name]:[@lon]],6,0)</f>
        <v>113.47821039999999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8FE02-1ADA-4280-9DB4-7AF4DB60FEE9}">
  <dimension ref="A1:I598"/>
  <sheetViews>
    <sheetView workbookViewId="0"/>
  </sheetViews>
  <sheetFormatPr defaultRowHeight="15" x14ac:dyDescent="0.25"/>
  <sheetData>
    <row r="1" spans="1:9" x14ac:dyDescent="0.25">
      <c r="A1" t="s">
        <v>3033</v>
      </c>
      <c r="B1" t="s">
        <v>3486</v>
      </c>
      <c r="C1" t="s">
        <v>3037</v>
      </c>
      <c r="D1">
        <v>35.577072649999998</v>
      </c>
      <c r="E1" t="s">
        <v>3034</v>
      </c>
      <c r="F1">
        <v>111.6890334</v>
      </c>
      <c r="G1" t="s">
        <v>3035</v>
      </c>
      <c r="H1">
        <v>29561</v>
      </c>
      <c r="I1" t="s">
        <v>3036</v>
      </c>
    </row>
    <row r="2" spans="1:9" x14ac:dyDescent="0.25">
      <c r="A2" t="s">
        <v>3033</v>
      </c>
      <c r="B2" t="s">
        <v>3130</v>
      </c>
      <c r="C2" t="s">
        <v>3037</v>
      </c>
      <c r="D2">
        <v>35.625391659999998</v>
      </c>
      <c r="E2" t="s">
        <v>3034</v>
      </c>
      <c r="F2">
        <v>112.8603438</v>
      </c>
      <c r="G2" t="s">
        <v>3035</v>
      </c>
      <c r="H2">
        <v>62157</v>
      </c>
      <c r="I2" t="s">
        <v>3036</v>
      </c>
    </row>
    <row r="3" spans="1:9" x14ac:dyDescent="0.25">
      <c r="A3" t="s">
        <v>3033</v>
      </c>
      <c r="B3" t="s">
        <v>3038</v>
      </c>
      <c r="C3" t="s">
        <v>3037</v>
      </c>
      <c r="D3">
        <v>35.937841949999999</v>
      </c>
      <c r="E3" t="s">
        <v>3034</v>
      </c>
      <c r="F3">
        <v>113.2281018</v>
      </c>
      <c r="G3" t="s">
        <v>3035</v>
      </c>
      <c r="H3">
        <v>32499</v>
      </c>
      <c r="I3" t="s">
        <v>3036</v>
      </c>
    </row>
    <row r="4" spans="1:9" x14ac:dyDescent="0.25">
      <c r="A4" t="s">
        <v>3033</v>
      </c>
      <c r="B4" t="s">
        <v>3411</v>
      </c>
      <c r="C4" t="s">
        <v>3037</v>
      </c>
      <c r="D4">
        <v>38.586367539999998</v>
      </c>
      <c r="E4" t="s">
        <v>3034</v>
      </c>
      <c r="F4">
        <v>113.3051316</v>
      </c>
      <c r="G4" t="s">
        <v>3035</v>
      </c>
      <c r="H4">
        <v>11668</v>
      </c>
      <c r="I4" t="s">
        <v>3036</v>
      </c>
    </row>
    <row r="5" spans="1:9" x14ac:dyDescent="0.25">
      <c r="A5" t="s">
        <v>3033</v>
      </c>
      <c r="B5" t="s">
        <v>3468</v>
      </c>
      <c r="C5" t="s">
        <v>3037</v>
      </c>
      <c r="D5">
        <v>37.853526379999998</v>
      </c>
      <c r="E5" t="s">
        <v>3034</v>
      </c>
      <c r="F5">
        <v>113.87869809999999</v>
      </c>
      <c r="G5" t="s">
        <v>3035</v>
      </c>
      <c r="H5">
        <v>19275</v>
      </c>
      <c r="I5" t="s">
        <v>3036</v>
      </c>
    </row>
    <row r="6" spans="1:9" x14ac:dyDescent="0.25">
      <c r="A6" t="s">
        <v>3033</v>
      </c>
      <c r="B6" t="s">
        <v>3233</v>
      </c>
      <c r="C6" t="s">
        <v>3037</v>
      </c>
      <c r="D6">
        <v>36.562640459999997</v>
      </c>
      <c r="E6" t="s">
        <v>3034</v>
      </c>
      <c r="F6">
        <v>111.6682735</v>
      </c>
      <c r="G6" t="s">
        <v>3035</v>
      </c>
      <c r="H6">
        <v>32725</v>
      </c>
      <c r="I6" t="s">
        <v>3036</v>
      </c>
    </row>
    <row r="7" spans="1:9" x14ac:dyDescent="0.25">
      <c r="A7" t="s">
        <v>3033</v>
      </c>
      <c r="B7" t="s">
        <v>3298</v>
      </c>
      <c r="C7" t="s">
        <v>3037</v>
      </c>
      <c r="D7">
        <v>38.147604450000003</v>
      </c>
      <c r="E7" t="s">
        <v>3034</v>
      </c>
      <c r="F7">
        <v>111.0796039</v>
      </c>
      <c r="G7" t="s">
        <v>3035</v>
      </c>
      <c r="H7">
        <v>32251</v>
      </c>
      <c r="I7" t="s">
        <v>3036</v>
      </c>
    </row>
    <row r="8" spans="1:9" x14ac:dyDescent="0.25">
      <c r="A8" t="s">
        <v>3033</v>
      </c>
      <c r="B8" t="s">
        <v>3412</v>
      </c>
      <c r="C8" t="s">
        <v>3037</v>
      </c>
      <c r="D8">
        <v>39.1923855</v>
      </c>
      <c r="E8" t="s">
        <v>3034</v>
      </c>
      <c r="F8">
        <v>111.9187888</v>
      </c>
      <c r="G8" t="s">
        <v>3035</v>
      </c>
      <c r="H8">
        <v>8776</v>
      </c>
      <c r="I8" t="s">
        <v>3036</v>
      </c>
    </row>
    <row r="9" spans="1:9" x14ac:dyDescent="0.25">
      <c r="A9" t="s">
        <v>3033</v>
      </c>
      <c r="B9" t="s">
        <v>3039</v>
      </c>
      <c r="C9" t="s">
        <v>3037</v>
      </c>
      <c r="D9">
        <v>36.226044950000002</v>
      </c>
      <c r="E9" t="s">
        <v>3034</v>
      </c>
      <c r="F9">
        <v>112.88618940000001</v>
      </c>
      <c r="G9" t="s">
        <v>3035</v>
      </c>
      <c r="H9">
        <v>22685</v>
      </c>
      <c r="I9" t="s">
        <v>3036</v>
      </c>
    </row>
    <row r="10" spans="1:9" x14ac:dyDescent="0.25">
      <c r="A10" t="s">
        <v>3033</v>
      </c>
      <c r="B10" t="s">
        <v>3040</v>
      </c>
      <c r="C10" t="s">
        <v>3037</v>
      </c>
      <c r="D10">
        <v>35.966478520000003</v>
      </c>
      <c r="E10" t="s">
        <v>3034</v>
      </c>
      <c r="F10">
        <v>113.0138323</v>
      </c>
      <c r="G10" t="s">
        <v>3035</v>
      </c>
      <c r="H10">
        <v>23327</v>
      </c>
      <c r="I10" t="s">
        <v>3036</v>
      </c>
    </row>
    <row r="11" spans="1:9" x14ac:dyDescent="0.25">
      <c r="A11" t="s">
        <v>3033</v>
      </c>
      <c r="B11" t="s">
        <v>3390</v>
      </c>
      <c r="C11" t="s">
        <v>3037</v>
      </c>
      <c r="D11">
        <v>37.64486308</v>
      </c>
      <c r="E11" t="s">
        <v>3034</v>
      </c>
      <c r="F11">
        <v>112.5438606</v>
      </c>
      <c r="G11" t="s">
        <v>3035</v>
      </c>
      <c r="H11">
        <v>36394</v>
      </c>
      <c r="I11" t="s">
        <v>3036</v>
      </c>
    </row>
    <row r="12" spans="1:9" x14ac:dyDescent="0.25">
      <c r="A12" t="s">
        <v>3033</v>
      </c>
      <c r="B12" t="s">
        <v>3101</v>
      </c>
      <c r="C12" t="s">
        <v>3037</v>
      </c>
      <c r="D12">
        <v>40.058941160000003</v>
      </c>
      <c r="E12" t="s">
        <v>3034</v>
      </c>
      <c r="F12">
        <v>113.4568043</v>
      </c>
      <c r="G12" t="s">
        <v>3035</v>
      </c>
      <c r="H12">
        <v>18739</v>
      </c>
      <c r="I12" t="s">
        <v>3036</v>
      </c>
    </row>
    <row r="13" spans="1:9" x14ac:dyDescent="0.25">
      <c r="A13" t="s">
        <v>3033</v>
      </c>
      <c r="B13" t="s">
        <v>3131</v>
      </c>
      <c r="C13" t="s">
        <v>3037</v>
      </c>
      <c r="D13">
        <v>35.464132919999997</v>
      </c>
      <c r="E13" t="s">
        <v>3034</v>
      </c>
      <c r="F13">
        <v>112.57635550000001</v>
      </c>
      <c r="G13" t="s">
        <v>3035</v>
      </c>
      <c r="H13">
        <v>37801</v>
      </c>
      <c r="I13" t="s">
        <v>3036</v>
      </c>
    </row>
    <row r="14" spans="1:9" x14ac:dyDescent="0.25">
      <c r="A14" t="s">
        <v>3033</v>
      </c>
      <c r="B14" t="s">
        <v>3234</v>
      </c>
      <c r="C14" t="s">
        <v>3037</v>
      </c>
      <c r="D14">
        <v>36.524799000000002</v>
      </c>
      <c r="E14" t="s">
        <v>3034</v>
      </c>
      <c r="F14">
        <v>112.0463774</v>
      </c>
      <c r="G14" t="s">
        <v>3035</v>
      </c>
      <c r="H14">
        <v>12394</v>
      </c>
      <c r="I14" t="s">
        <v>3036</v>
      </c>
    </row>
    <row r="15" spans="1:9" x14ac:dyDescent="0.25">
      <c r="A15" t="s">
        <v>3033</v>
      </c>
      <c r="B15" t="s">
        <v>3133</v>
      </c>
      <c r="C15" t="s">
        <v>3037</v>
      </c>
      <c r="D15">
        <v>35.761669949999998</v>
      </c>
      <c r="E15" t="s">
        <v>3034</v>
      </c>
      <c r="F15">
        <v>113.08500979999999</v>
      </c>
      <c r="G15" t="s">
        <v>3035</v>
      </c>
      <c r="H15">
        <v>28324</v>
      </c>
      <c r="I15" t="s">
        <v>3036</v>
      </c>
    </row>
    <row r="16" spans="1:9" x14ac:dyDescent="0.25">
      <c r="A16" t="s">
        <v>3033</v>
      </c>
      <c r="B16" t="s">
        <v>3132</v>
      </c>
      <c r="C16" t="s">
        <v>3037</v>
      </c>
      <c r="D16">
        <v>35.552997750000003</v>
      </c>
      <c r="E16" t="s">
        <v>3034</v>
      </c>
      <c r="F16">
        <v>112.87603319999999</v>
      </c>
      <c r="G16" t="s">
        <v>3035</v>
      </c>
      <c r="H16">
        <v>33407</v>
      </c>
      <c r="I16" t="s">
        <v>3036</v>
      </c>
    </row>
    <row r="17" spans="1:9" x14ac:dyDescent="0.25">
      <c r="A17" t="s">
        <v>3033</v>
      </c>
      <c r="B17" t="s">
        <v>3174</v>
      </c>
      <c r="C17" t="s">
        <v>3037</v>
      </c>
      <c r="D17">
        <v>37.560543209999999</v>
      </c>
      <c r="E17" t="s">
        <v>3034</v>
      </c>
      <c r="F17">
        <v>112.79969560000001</v>
      </c>
      <c r="G17" t="s">
        <v>3035</v>
      </c>
      <c r="H17">
        <v>20250</v>
      </c>
      <c r="I17" t="s">
        <v>3036</v>
      </c>
    </row>
    <row r="18" spans="1:9" x14ac:dyDescent="0.25">
      <c r="A18" t="s">
        <v>3033</v>
      </c>
      <c r="B18" t="s">
        <v>3299</v>
      </c>
      <c r="C18" t="s">
        <v>3037</v>
      </c>
      <c r="D18">
        <v>37.740607519999998</v>
      </c>
      <c r="E18" t="s">
        <v>3034</v>
      </c>
      <c r="F18">
        <v>111.35581089999999</v>
      </c>
      <c r="G18" t="s">
        <v>3035</v>
      </c>
      <c r="H18">
        <v>5846</v>
      </c>
      <c r="I18" t="s">
        <v>3036</v>
      </c>
    </row>
    <row r="19" spans="1:9" x14ac:dyDescent="0.25">
      <c r="A19" t="s">
        <v>3033</v>
      </c>
      <c r="B19" t="s">
        <v>3487</v>
      </c>
      <c r="C19" t="s">
        <v>3037</v>
      </c>
      <c r="D19">
        <v>35.135962630000002</v>
      </c>
      <c r="E19" t="s">
        <v>3034</v>
      </c>
      <c r="F19">
        <v>110.93809659999999</v>
      </c>
      <c r="G19" t="s">
        <v>3035</v>
      </c>
      <c r="H19">
        <v>33489</v>
      </c>
      <c r="I19" t="s">
        <v>3036</v>
      </c>
    </row>
    <row r="20" spans="1:9" x14ac:dyDescent="0.25">
      <c r="A20" t="s">
        <v>3033</v>
      </c>
      <c r="B20" t="s">
        <v>3134</v>
      </c>
      <c r="C20" t="s">
        <v>3037</v>
      </c>
      <c r="D20">
        <v>35.651368220000002</v>
      </c>
      <c r="E20" t="s">
        <v>3034</v>
      </c>
      <c r="F20">
        <v>112.9769328</v>
      </c>
      <c r="G20" t="s">
        <v>3035</v>
      </c>
      <c r="H20">
        <v>27697</v>
      </c>
      <c r="I20" t="s">
        <v>3036</v>
      </c>
    </row>
    <row r="21" spans="1:9" x14ac:dyDescent="0.25">
      <c r="A21" t="s">
        <v>3033</v>
      </c>
      <c r="B21" t="s">
        <v>3488</v>
      </c>
      <c r="C21" t="s">
        <v>3037</v>
      </c>
      <c r="D21">
        <v>35.720075379999997</v>
      </c>
      <c r="E21" t="s">
        <v>3034</v>
      </c>
      <c r="F21">
        <v>111.0871964</v>
      </c>
      <c r="G21" t="s">
        <v>3035</v>
      </c>
      <c r="H21">
        <v>22682</v>
      </c>
      <c r="I21" t="s">
        <v>3036</v>
      </c>
    </row>
    <row r="22" spans="1:9" x14ac:dyDescent="0.25">
      <c r="A22" t="s">
        <v>3033</v>
      </c>
      <c r="B22" t="s">
        <v>3373</v>
      </c>
      <c r="C22" t="s">
        <v>3037</v>
      </c>
      <c r="D22">
        <v>39.621542810000001</v>
      </c>
      <c r="E22" t="s">
        <v>3034</v>
      </c>
      <c r="F22">
        <v>112.7891675</v>
      </c>
      <c r="G22" t="s">
        <v>3035</v>
      </c>
      <c r="H22">
        <v>21667</v>
      </c>
      <c r="I22" t="s">
        <v>3036</v>
      </c>
    </row>
    <row r="23" spans="1:9" x14ac:dyDescent="0.25">
      <c r="A23" t="s">
        <v>3033</v>
      </c>
      <c r="B23" t="s">
        <v>3102</v>
      </c>
      <c r="C23" t="s">
        <v>3037</v>
      </c>
      <c r="D23">
        <v>39.769939919999999</v>
      </c>
      <c r="E23" t="s">
        <v>3034</v>
      </c>
      <c r="F23">
        <v>113.6512092</v>
      </c>
      <c r="G23" t="s">
        <v>3035</v>
      </c>
      <c r="H23">
        <v>12674</v>
      </c>
      <c r="I23" t="s">
        <v>3036</v>
      </c>
    </row>
    <row r="24" spans="1:9" x14ac:dyDescent="0.25">
      <c r="A24" t="s">
        <v>3033</v>
      </c>
      <c r="B24" t="s">
        <v>3300</v>
      </c>
      <c r="C24" t="s">
        <v>3037</v>
      </c>
      <c r="D24">
        <v>38.20383906</v>
      </c>
      <c r="E24" t="s">
        <v>3034</v>
      </c>
      <c r="F24">
        <v>110.76773540000001</v>
      </c>
      <c r="G24" t="s">
        <v>3035</v>
      </c>
      <c r="H24">
        <v>9814</v>
      </c>
      <c r="I24" t="s">
        <v>3036</v>
      </c>
    </row>
    <row r="25" spans="1:9" x14ac:dyDescent="0.25">
      <c r="A25" t="s">
        <v>3033</v>
      </c>
      <c r="B25" t="s">
        <v>3489</v>
      </c>
      <c r="C25" t="s">
        <v>3037</v>
      </c>
      <c r="D25">
        <v>34.92193211</v>
      </c>
      <c r="E25" t="s">
        <v>3034</v>
      </c>
      <c r="F25">
        <v>111.5254779</v>
      </c>
      <c r="G25" t="s">
        <v>3035</v>
      </c>
      <c r="H25">
        <v>22100</v>
      </c>
      <c r="I25" t="s">
        <v>3036</v>
      </c>
    </row>
    <row r="26" spans="1:9" x14ac:dyDescent="0.25">
      <c r="A26" t="s">
        <v>3033</v>
      </c>
      <c r="B26" t="s">
        <v>3041</v>
      </c>
      <c r="C26" t="s">
        <v>3037</v>
      </c>
      <c r="D26">
        <v>36.691258349999998</v>
      </c>
      <c r="E26" t="s">
        <v>3034</v>
      </c>
      <c r="F26">
        <v>112.5591417</v>
      </c>
      <c r="G26" t="s">
        <v>3035</v>
      </c>
      <c r="H26">
        <v>13184</v>
      </c>
      <c r="I26" t="s">
        <v>3036</v>
      </c>
    </row>
    <row r="27" spans="1:9" x14ac:dyDescent="0.25">
      <c r="A27" t="s">
        <v>3033</v>
      </c>
      <c r="B27" t="s">
        <v>3490</v>
      </c>
      <c r="C27" t="s">
        <v>3037</v>
      </c>
      <c r="D27">
        <v>35.540509319999998</v>
      </c>
      <c r="E27" t="s">
        <v>3034</v>
      </c>
      <c r="F27">
        <v>110.7683778</v>
      </c>
      <c r="G27" t="s">
        <v>3035</v>
      </c>
      <c r="H27">
        <v>29071</v>
      </c>
      <c r="I27" t="s">
        <v>3036</v>
      </c>
    </row>
    <row r="28" spans="1:9" x14ac:dyDescent="0.25">
      <c r="A28" t="s">
        <v>3033</v>
      </c>
      <c r="B28" t="s">
        <v>3469</v>
      </c>
      <c r="C28" t="s">
        <v>3037</v>
      </c>
      <c r="D28">
        <v>38.181637420000001</v>
      </c>
      <c r="E28" t="s">
        <v>3034</v>
      </c>
      <c r="F28">
        <v>113.3139082</v>
      </c>
      <c r="G28" t="s">
        <v>3035</v>
      </c>
      <c r="H28">
        <v>24238</v>
      </c>
      <c r="I28" t="s">
        <v>3036</v>
      </c>
    </row>
    <row r="29" spans="1:9" x14ac:dyDescent="0.25">
      <c r="A29" t="s">
        <v>3033</v>
      </c>
      <c r="B29" t="s">
        <v>3491</v>
      </c>
      <c r="C29" t="s">
        <v>3037</v>
      </c>
      <c r="D29">
        <v>34.802704259999999</v>
      </c>
      <c r="E29" t="s">
        <v>3034</v>
      </c>
      <c r="F29">
        <v>110.9971226</v>
      </c>
      <c r="G29" t="s">
        <v>3035</v>
      </c>
      <c r="H29">
        <v>45114</v>
      </c>
      <c r="I29" t="s">
        <v>3036</v>
      </c>
    </row>
    <row r="30" spans="1:9" x14ac:dyDescent="0.25">
      <c r="A30" t="s">
        <v>3033</v>
      </c>
      <c r="B30" t="s">
        <v>3413</v>
      </c>
      <c r="C30" t="s">
        <v>3037</v>
      </c>
      <c r="D30">
        <v>38.800211660000002</v>
      </c>
      <c r="E30" t="s">
        <v>3034</v>
      </c>
      <c r="F30">
        <v>112.3599528</v>
      </c>
      <c r="G30" t="s">
        <v>3035</v>
      </c>
      <c r="H30">
        <v>16683</v>
      </c>
      <c r="I30" t="s">
        <v>3036</v>
      </c>
    </row>
    <row r="31" spans="1:9" x14ac:dyDescent="0.25">
      <c r="A31" t="s">
        <v>3033</v>
      </c>
      <c r="B31" t="s">
        <v>3175</v>
      </c>
      <c r="C31" t="s">
        <v>3037</v>
      </c>
      <c r="D31">
        <v>37.550645809999999</v>
      </c>
      <c r="E31" t="s">
        <v>3034</v>
      </c>
      <c r="F31">
        <v>112.9915882</v>
      </c>
      <c r="G31" t="s">
        <v>3035</v>
      </c>
      <c r="H31">
        <v>9477</v>
      </c>
      <c r="I31" t="s">
        <v>3036</v>
      </c>
    </row>
    <row r="32" spans="1:9" x14ac:dyDescent="0.25">
      <c r="A32" t="s">
        <v>3033</v>
      </c>
      <c r="B32" t="s">
        <v>3235</v>
      </c>
      <c r="C32" t="s">
        <v>3037</v>
      </c>
      <c r="D32">
        <v>35.97870382</v>
      </c>
      <c r="E32" t="s">
        <v>3034</v>
      </c>
      <c r="F32">
        <v>110.7983442</v>
      </c>
      <c r="G32" t="s">
        <v>3035</v>
      </c>
      <c r="H32">
        <v>68812</v>
      </c>
      <c r="I32" t="s">
        <v>3036</v>
      </c>
    </row>
    <row r="33" spans="1:9" x14ac:dyDescent="0.25">
      <c r="A33" t="s">
        <v>3033</v>
      </c>
      <c r="B33" t="s">
        <v>3176</v>
      </c>
      <c r="C33" t="s">
        <v>3037</v>
      </c>
      <c r="D33">
        <v>37.887400730000003</v>
      </c>
      <c r="E33" t="s">
        <v>3034</v>
      </c>
      <c r="F33">
        <v>113.1816999</v>
      </c>
      <c r="G33" t="s">
        <v>3035</v>
      </c>
      <c r="H33">
        <v>89216</v>
      </c>
      <c r="I33" t="s">
        <v>3036</v>
      </c>
    </row>
    <row r="34" spans="1:9" x14ac:dyDescent="0.25">
      <c r="A34" t="s">
        <v>3033</v>
      </c>
      <c r="B34" t="s">
        <v>3492</v>
      </c>
      <c r="C34" t="s">
        <v>3037</v>
      </c>
      <c r="D34">
        <v>35.434755189999997</v>
      </c>
      <c r="E34" t="s">
        <v>3034</v>
      </c>
      <c r="F34">
        <v>111.65101319999999</v>
      </c>
      <c r="G34" t="s">
        <v>3035</v>
      </c>
      <c r="H34">
        <v>11150</v>
      </c>
      <c r="I34" t="s">
        <v>3036</v>
      </c>
    </row>
    <row r="35" spans="1:9" x14ac:dyDescent="0.25">
      <c r="A35" t="s">
        <v>3033</v>
      </c>
      <c r="B35" t="s">
        <v>3301</v>
      </c>
      <c r="C35" t="s">
        <v>3037</v>
      </c>
      <c r="D35">
        <v>37.552919799999998</v>
      </c>
      <c r="E35" t="s">
        <v>3034</v>
      </c>
      <c r="F35">
        <v>110.91835690000001</v>
      </c>
      <c r="G35" t="s">
        <v>3035</v>
      </c>
      <c r="H35">
        <v>12847</v>
      </c>
      <c r="I35" t="s">
        <v>3036</v>
      </c>
    </row>
    <row r="36" spans="1:9" x14ac:dyDescent="0.25">
      <c r="A36" t="s">
        <v>3033</v>
      </c>
      <c r="B36" t="s">
        <v>3177</v>
      </c>
      <c r="C36" t="s">
        <v>3037</v>
      </c>
      <c r="D36">
        <v>37.378400169999999</v>
      </c>
      <c r="E36" t="s">
        <v>3034</v>
      </c>
      <c r="F36">
        <v>112.27681219999999</v>
      </c>
      <c r="G36" t="s">
        <v>3035</v>
      </c>
      <c r="H36">
        <v>34888</v>
      </c>
      <c r="I36" t="s">
        <v>3036</v>
      </c>
    </row>
    <row r="37" spans="1:9" x14ac:dyDescent="0.25">
      <c r="A37" t="s">
        <v>3033</v>
      </c>
      <c r="B37" t="s">
        <v>3302</v>
      </c>
      <c r="C37" t="s">
        <v>3037</v>
      </c>
      <c r="D37">
        <v>38.067347099999999</v>
      </c>
      <c r="E37" t="s">
        <v>3034</v>
      </c>
      <c r="F37">
        <v>111.0936854</v>
      </c>
      <c r="G37" t="s">
        <v>3035</v>
      </c>
      <c r="H37">
        <v>24131</v>
      </c>
      <c r="I37" t="s">
        <v>3036</v>
      </c>
    </row>
    <row r="38" spans="1:9" x14ac:dyDescent="0.25">
      <c r="A38" t="s">
        <v>3033</v>
      </c>
      <c r="B38" t="s">
        <v>3135</v>
      </c>
      <c r="C38" t="s">
        <v>3037</v>
      </c>
      <c r="D38">
        <v>35.861190110000003</v>
      </c>
      <c r="E38" t="s">
        <v>3034</v>
      </c>
      <c r="F38">
        <v>113.0424531</v>
      </c>
      <c r="G38" t="s">
        <v>3035</v>
      </c>
      <c r="H38">
        <v>28186</v>
      </c>
      <c r="I38" t="s">
        <v>3036</v>
      </c>
    </row>
    <row r="39" spans="1:9" x14ac:dyDescent="0.25">
      <c r="A39" t="s">
        <v>3033</v>
      </c>
      <c r="B39" t="s">
        <v>3136</v>
      </c>
      <c r="C39" t="s">
        <v>3037</v>
      </c>
      <c r="D39">
        <v>35.749830099999997</v>
      </c>
      <c r="E39" t="s">
        <v>3034</v>
      </c>
      <c r="F39">
        <v>113.26106369999999</v>
      </c>
      <c r="G39" t="s">
        <v>3035</v>
      </c>
      <c r="H39">
        <v>68079</v>
      </c>
      <c r="I39" t="s">
        <v>3036</v>
      </c>
    </row>
    <row r="40" spans="1:9" x14ac:dyDescent="0.25">
      <c r="A40" t="s">
        <v>3033</v>
      </c>
      <c r="B40" t="s">
        <v>3042</v>
      </c>
      <c r="C40" t="s">
        <v>3037</v>
      </c>
      <c r="D40">
        <v>35.994954110000002</v>
      </c>
      <c r="E40" t="s">
        <v>3034</v>
      </c>
      <c r="F40">
        <v>112.9140941</v>
      </c>
      <c r="G40" t="s">
        <v>3035</v>
      </c>
      <c r="H40">
        <v>33227</v>
      </c>
      <c r="I40" t="s">
        <v>3036</v>
      </c>
    </row>
    <row r="41" spans="1:9" x14ac:dyDescent="0.25">
      <c r="A41" t="s">
        <v>3033</v>
      </c>
      <c r="B41" t="s">
        <v>3137</v>
      </c>
      <c r="C41" t="s">
        <v>3037</v>
      </c>
      <c r="D41">
        <v>35.492045269999998</v>
      </c>
      <c r="E41" t="s">
        <v>3034</v>
      </c>
      <c r="F41">
        <v>112.2650123</v>
      </c>
      <c r="G41" t="s">
        <v>3035</v>
      </c>
      <c r="H41">
        <v>12595</v>
      </c>
      <c r="I41" t="s">
        <v>3036</v>
      </c>
    </row>
    <row r="42" spans="1:9" x14ac:dyDescent="0.25">
      <c r="A42" t="s">
        <v>3033</v>
      </c>
      <c r="B42" t="s">
        <v>3303</v>
      </c>
      <c r="C42" t="s">
        <v>3037</v>
      </c>
      <c r="D42">
        <v>37.791195950000002</v>
      </c>
      <c r="E42" t="s">
        <v>3034</v>
      </c>
      <c r="F42">
        <v>110.7384113</v>
      </c>
      <c r="G42" t="s">
        <v>3035</v>
      </c>
      <c r="H42">
        <v>16790</v>
      </c>
      <c r="I42" t="s">
        <v>3036</v>
      </c>
    </row>
    <row r="43" spans="1:9" x14ac:dyDescent="0.25">
      <c r="A43" t="s">
        <v>3033</v>
      </c>
      <c r="B43" t="s">
        <v>3178</v>
      </c>
      <c r="C43" t="s">
        <v>3037</v>
      </c>
      <c r="D43">
        <v>36.813349670000001</v>
      </c>
      <c r="E43" t="s">
        <v>3034</v>
      </c>
      <c r="F43">
        <v>111.7995579</v>
      </c>
      <c r="G43" t="s">
        <v>3035</v>
      </c>
      <c r="H43">
        <v>38548</v>
      </c>
      <c r="I43" t="s">
        <v>3036</v>
      </c>
    </row>
    <row r="44" spans="1:9" x14ac:dyDescent="0.25">
      <c r="A44" t="s">
        <v>3033</v>
      </c>
      <c r="B44" t="s">
        <v>3103</v>
      </c>
      <c r="C44" t="s">
        <v>3037</v>
      </c>
      <c r="D44">
        <v>40.245951079999998</v>
      </c>
      <c r="E44" t="s">
        <v>3034</v>
      </c>
      <c r="F44">
        <v>113.806996</v>
      </c>
      <c r="G44" t="s">
        <v>3035</v>
      </c>
      <c r="H44">
        <v>18869</v>
      </c>
      <c r="I44" t="s">
        <v>3036</v>
      </c>
    </row>
    <row r="45" spans="1:9" x14ac:dyDescent="0.25">
      <c r="A45" t="s">
        <v>3033</v>
      </c>
      <c r="B45" t="s">
        <v>3043</v>
      </c>
      <c r="C45" t="s">
        <v>3037</v>
      </c>
      <c r="D45">
        <v>36.05536249</v>
      </c>
      <c r="E45" t="s">
        <v>3034</v>
      </c>
      <c r="F45">
        <v>112.8862494</v>
      </c>
      <c r="G45" t="s">
        <v>3035</v>
      </c>
      <c r="H45">
        <v>36556</v>
      </c>
      <c r="I45" t="s">
        <v>3036</v>
      </c>
    </row>
    <row r="46" spans="1:9" x14ac:dyDescent="0.25">
      <c r="A46" t="s">
        <v>3033</v>
      </c>
      <c r="B46" t="s">
        <v>3104</v>
      </c>
      <c r="C46" t="s">
        <v>3037</v>
      </c>
      <c r="D46">
        <v>39.62890539</v>
      </c>
      <c r="E46" t="s">
        <v>3034</v>
      </c>
      <c r="F46">
        <v>113.71723660000001</v>
      </c>
      <c r="G46" t="s">
        <v>3035</v>
      </c>
      <c r="H46">
        <v>5849</v>
      </c>
      <c r="I46" t="s">
        <v>3036</v>
      </c>
    </row>
    <row r="47" spans="1:9" x14ac:dyDescent="0.25">
      <c r="A47" t="s">
        <v>3033</v>
      </c>
      <c r="B47" t="s">
        <v>3138</v>
      </c>
      <c r="C47" t="s">
        <v>3037</v>
      </c>
      <c r="D47">
        <v>35.585080169999998</v>
      </c>
      <c r="E47" t="s">
        <v>3034</v>
      </c>
      <c r="F47">
        <v>112.71413440000001</v>
      </c>
      <c r="G47" t="s">
        <v>3035</v>
      </c>
      <c r="H47">
        <v>31732</v>
      </c>
      <c r="I47" t="s">
        <v>3036</v>
      </c>
    </row>
    <row r="48" spans="1:9" x14ac:dyDescent="0.25">
      <c r="A48" t="s">
        <v>3033</v>
      </c>
      <c r="B48" t="s">
        <v>3236</v>
      </c>
      <c r="C48" t="s">
        <v>3037</v>
      </c>
      <c r="D48">
        <v>36.260232340000002</v>
      </c>
      <c r="E48" t="s">
        <v>3034</v>
      </c>
      <c r="F48">
        <v>111.6797437</v>
      </c>
      <c r="G48" t="s">
        <v>3035</v>
      </c>
      <c r="H48">
        <v>151037</v>
      </c>
      <c r="I48" t="s">
        <v>3036</v>
      </c>
    </row>
    <row r="49" spans="1:9" x14ac:dyDescent="0.25">
      <c r="A49" t="s">
        <v>3033</v>
      </c>
      <c r="B49" t="s">
        <v>3374</v>
      </c>
      <c r="C49" t="s">
        <v>3037</v>
      </c>
      <c r="D49">
        <v>39.540217599999998</v>
      </c>
      <c r="E49" t="s">
        <v>3034</v>
      </c>
      <c r="F49">
        <v>112.770736</v>
      </c>
      <c r="G49" t="s">
        <v>3035</v>
      </c>
      <c r="H49">
        <v>35894</v>
      </c>
      <c r="I49" t="s">
        <v>3036</v>
      </c>
    </row>
    <row r="50" spans="1:9" x14ac:dyDescent="0.25">
      <c r="A50" t="s">
        <v>3033</v>
      </c>
      <c r="B50" t="s">
        <v>3139</v>
      </c>
      <c r="C50" t="s">
        <v>3037</v>
      </c>
      <c r="D50">
        <v>35.381035490000002</v>
      </c>
      <c r="E50" t="s">
        <v>3034</v>
      </c>
      <c r="F50">
        <v>112.8781046</v>
      </c>
      <c r="G50" t="s">
        <v>3035</v>
      </c>
      <c r="H50">
        <v>17400</v>
      </c>
      <c r="I50" t="s">
        <v>3036</v>
      </c>
    </row>
    <row r="51" spans="1:9" x14ac:dyDescent="0.25">
      <c r="A51" t="s">
        <v>3033</v>
      </c>
      <c r="B51" t="s">
        <v>3493</v>
      </c>
      <c r="C51" t="s">
        <v>3037</v>
      </c>
      <c r="D51">
        <v>35.599496029999997</v>
      </c>
      <c r="E51" t="s">
        <v>3034</v>
      </c>
      <c r="F51">
        <v>111.7435641</v>
      </c>
      <c r="G51" t="s">
        <v>3035</v>
      </c>
      <c r="H51">
        <v>28660</v>
      </c>
      <c r="I51" t="s">
        <v>3036</v>
      </c>
    </row>
    <row r="52" spans="1:9" x14ac:dyDescent="0.25">
      <c r="A52" t="s">
        <v>3033</v>
      </c>
      <c r="B52" t="s">
        <v>3414</v>
      </c>
      <c r="C52" t="s">
        <v>3037</v>
      </c>
      <c r="D52">
        <v>38.830340499999998</v>
      </c>
      <c r="E52" t="s">
        <v>3034</v>
      </c>
      <c r="F52">
        <v>112.55585809999999</v>
      </c>
      <c r="G52" t="s">
        <v>3035</v>
      </c>
      <c r="H52">
        <v>19398</v>
      </c>
      <c r="I52" t="s">
        <v>3036</v>
      </c>
    </row>
    <row r="53" spans="1:9" x14ac:dyDescent="0.25">
      <c r="A53" t="s">
        <v>3033</v>
      </c>
      <c r="B53" t="s">
        <v>3044</v>
      </c>
      <c r="C53" t="s">
        <v>3037</v>
      </c>
      <c r="D53">
        <v>36.130816060000001</v>
      </c>
      <c r="E53" t="s">
        <v>3034</v>
      </c>
      <c r="F53">
        <v>112.8823501</v>
      </c>
      <c r="G53" t="s">
        <v>3035</v>
      </c>
      <c r="H53">
        <v>89543</v>
      </c>
      <c r="I53" t="s">
        <v>3036</v>
      </c>
    </row>
    <row r="54" spans="1:9" x14ac:dyDescent="0.25">
      <c r="A54" t="s">
        <v>3033</v>
      </c>
      <c r="B54" t="s">
        <v>3494</v>
      </c>
      <c r="C54" t="s">
        <v>3037</v>
      </c>
      <c r="D54">
        <v>35.162387539999997</v>
      </c>
      <c r="E54" t="s">
        <v>3034</v>
      </c>
      <c r="F54">
        <v>110.5410601</v>
      </c>
      <c r="G54" t="s">
        <v>3035</v>
      </c>
      <c r="H54">
        <v>23227</v>
      </c>
      <c r="I54" t="s">
        <v>3036</v>
      </c>
    </row>
    <row r="55" spans="1:9" x14ac:dyDescent="0.25">
      <c r="A55" t="s">
        <v>3033</v>
      </c>
      <c r="B55" t="s">
        <v>3495</v>
      </c>
      <c r="C55" t="s">
        <v>3037</v>
      </c>
      <c r="D55">
        <v>34.718932969999997</v>
      </c>
      <c r="E55" t="s">
        <v>3034</v>
      </c>
      <c r="F55">
        <v>110.5401018</v>
      </c>
      <c r="G55" t="s">
        <v>3035</v>
      </c>
      <c r="H55">
        <v>29237</v>
      </c>
      <c r="I55" t="s">
        <v>3036</v>
      </c>
    </row>
    <row r="56" spans="1:9" x14ac:dyDescent="0.25">
      <c r="A56" t="s">
        <v>3033</v>
      </c>
      <c r="B56" t="s">
        <v>3304</v>
      </c>
      <c r="C56" t="s">
        <v>3037</v>
      </c>
      <c r="D56">
        <v>37.672187030000003</v>
      </c>
      <c r="E56" t="s">
        <v>3034</v>
      </c>
      <c r="F56">
        <v>111.15440599999999</v>
      </c>
      <c r="G56" t="s">
        <v>3035</v>
      </c>
      <c r="H56">
        <v>34315</v>
      </c>
      <c r="I56" t="s">
        <v>3036</v>
      </c>
    </row>
    <row r="57" spans="1:9" x14ac:dyDescent="0.25">
      <c r="A57" t="s">
        <v>3033</v>
      </c>
      <c r="B57" t="s">
        <v>3045</v>
      </c>
      <c r="C57" t="s">
        <v>3037</v>
      </c>
      <c r="D57">
        <v>36.240783100000002</v>
      </c>
      <c r="E57" t="s">
        <v>3034</v>
      </c>
      <c r="F57">
        <v>113.090228</v>
      </c>
      <c r="G57" t="s">
        <v>3035</v>
      </c>
      <c r="H57">
        <v>30039</v>
      </c>
      <c r="I57" t="s">
        <v>3036</v>
      </c>
    </row>
    <row r="58" spans="1:9" x14ac:dyDescent="0.25">
      <c r="A58" t="s">
        <v>3033</v>
      </c>
      <c r="B58" t="s">
        <v>5022</v>
      </c>
      <c r="C58" t="s">
        <v>3037</v>
      </c>
      <c r="D58">
        <v>35.650696840000002</v>
      </c>
      <c r="E58" t="s">
        <v>3034</v>
      </c>
      <c r="F58">
        <v>112.7989455</v>
      </c>
      <c r="G58" t="s">
        <v>3035</v>
      </c>
      <c r="H58">
        <v>26285</v>
      </c>
      <c r="I58" t="s">
        <v>3036</v>
      </c>
    </row>
    <row r="59" spans="1:9" x14ac:dyDescent="0.25">
      <c r="A59" t="s">
        <v>3033</v>
      </c>
      <c r="B59" t="s">
        <v>5023</v>
      </c>
      <c r="C59" t="s">
        <v>3037</v>
      </c>
      <c r="D59">
        <v>36.067390230000001</v>
      </c>
      <c r="E59" t="s">
        <v>3034</v>
      </c>
      <c r="F59">
        <v>111.7314945</v>
      </c>
      <c r="G59" t="s">
        <v>3035</v>
      </c>
      <c r="H59">
        <v>22428</v>
      </c>
      <c r="I59" t="s">
        <v>3036</v>
      </c>
    </row>
    <row r="60" spans="1:9" x14ac:dyDescent="0.25">
      <c r="A60" t="s">
        <v>3033</v>
      </c>
      <c r="B60" t="s">
        <v>3415</v>
      </c>
      <c r="C60" t="s">
        <v>3037</v>
      </c>
      <c r="D60">
        <v>39.323226599999998</v>
      </c>
      <c r="E60" t="s">
        <v>3034</v>
      </c>
      <c r="F60">
        <v>113.7879777</v>
      </c>
      <c r="G60" t="s">
        <v>3035</v>
      </c>
      <c r="H60">
        <v>17261</v>
      </c>
      <c r="I60" t="s">
        <v>3036</v>
      </c>
    </row>
    <row r="61" spans="1:9" x14ac:dyDescent="0.25">
      <c r="A61" t="s">
        <v>3033</v>
      </c>
      <c r="B61" t="s">
        <v>3391</v>
      </c>
      <c r="C61" t="s">
        <v>3037</v>
      </c>
      <c r="D61">
        <v>38.174968720000003</v>
      </c>
      <c r="E61" t="s">
        <v>3034</v>
      </c>
      <c r="F61">
        <v>112.76018070000001</v>
      </c>
      <c r="G61" t="s">
        <v>3035</v>
      </c>
      <c r="H61">
        <v>10959</v>
      </c>
      <c r="I61" t="s">
        <v>3036</v>
      </c>
    </row>
    <row r="62" spans="1:9" x14ac:dyDescent="0.25">
      <c r="A62" t="s">
        <v>3033</v>
      </c>
      <c r="B62" t="s">
        <v>3179</v>
      </c>
      <c r="C62" t="s">
        <v>3037</v>
      </c>
      <c r="D62">
        <v>37.538793509999998</v>
      </c>
      <c r="E62" t="s">
        <v>3034</v>
      </c>
      <c r="F62">
        <v>113.6723484</v>
      </c>
      <c r="G62" t="s">
        <v>3035</v>
      </c>
      <c r="H62">
        <v>32104</v>
      </c>
      <c r="I62" t="s">
        <v>3036</v>
      </c>
    </row>
    <row r="63" spans="1:9" x14ac:dyDescent="0.25">
      <c r="A63" t="s">
        <v>3033</v>
      </c>
      <c r="B63" t="s">
        <v>3237</v>
      </c>
      <c r="C63" t="s">
        <v>3037</v>
      </c>
      <c r="D63">
        <v>36.588878360000002</v>
      </c>
      <c r="E63" t="s">
        <v>3034</v>
      </c>
      <c r="F63">
        <v>111.7729508</v>
      </c>
      <c r="G63" t="s">
        <v>3035</v>
      </c>
      <c r="H63">
        <v>29498</v>
      </c>
      <c r="I63" t="s">
        <v>3036</v>
      </c>
    </row>
    <row r="64" spans="1:9" x14ac:dyDescent="0.25">
      <c r="A64" t="s">
        <v>3033</v>
      </c>
      <c r="B64" t="s">
        <v>3238</v>
      </c>
      <c r="C64" t="s">
        <v>3037</v>
      </c>
      <c r="D64">
        <v>35.97532708</v>
      </c>
      <c r="E64" t="s">
        <v>3034</v>
      </c>
      <c r="F64">
        <v>111.4735019</v>
      </c>
      <c r="G64" t="s">
        <v>3035</v>
      </c>
      <c r="H64">
        <v>41741</v>
      </c>
      <c r="I64" t="s">
        <v>3036</v>
      </c>
    </row>
    <row r="65" spans="1:9" x14ac:dyDescent="0.25">
      <c r="A65" t="s">
        <v>3033</v>
      </c>
      <c r="B65" t="s">
        <v>5024</v>
      </c>
      <c r="C65" t="s">
        <v>3037</v>
      </c>
      <c r="D65">
        <v>35.997718509999999</v>
      </c>
      <c r="E65" t="s">
        <v>3034</v>
      </c>
      <c r="F65">
        <v>113.2867564</v>
      </c>
      <c r="G65" t="s">
        <v>3035</v>
      </c>
      <c r="H65">
        <v>28843</v>
      </c>
      <c r="I65" t="s">
        <v>3036</v>
      </c>
    </row>
    <row r="66" spans="1:9" x14ac:dyDescent="0.25">
      <c r="A66" t="s">
        <v>3033</v>
      </c>
      <c r="B66" t="s">
        <v>5025</v>
      </c>
      <c r="C66" t="s">
        <v>3037</v>
      </c>
      <c r="D66">
        <v>36.434191859999999</v>
      </c>
      <c r="E66" t="s">
        <v>3034</v>
      </c>
      <c r="F66">
        <v>113.0899639</v>
      </c>
      <c r="G66" t="s">
        <v>3035</v>
      </c>
      <c r="H66">
        <v>31314</v>
      </c>
      <c r="I66" t="s">
        <v>3036</v>
      </c>
    </row>
    <row r="67" spans="1:9" x14ac:dyDescent="0.25">
      <c r="A67" t="s">
        <v>3033</v>
      </c>
      <c r="B67" t="s">
        <v>3105</v>
      </c>
      <c r="C67" t="s">
        <v>3037</v>
      </c>
      <c r="D67">
        <v>39.982468760000003</v>
      </c>
      <c r="E67" t="s">
        <v>3034</v>
      </c>
      <c r="F67">
        <v>112.884889</v>
      </c>
      <c r="G67" t="s">
        <v>3035</v>
      </c>
      <c r="H67">
        <v>12779</v>
      </c>
      <c r="I67" t="s">
        <v>3036</v>
      </c>
    </row>
    <row r="68" spans="1:9" x14ac:dyDescent="0.25">
      <c r="A68" t="s">
        <v>3033</v>
      </c>
      <c r="B68" t="s">
        <v>3046</v>
      </c>
      <c r="C68" t="s">
        <v>3037</v>
      </c>
      <c r="D68">
        <v>36.7685928</v>
      </c>
      <c r="E68" t="s">
        <v>3034</v>
      </c>
      <c r="F68">
        <v>112.6778989</v>
      </c>
      <c r="G68" t="s">
        <v>3035</v>
      </c>
      <c r="H68">
        <v>57064</v>
      </c>
      <c r="I68" t="s">
        <v>3036</v>
      </c>
    </row>
    <row r="69" spans="1:9" x14ac:dyDescent="0.25">
      <c r="A69" t="s">
        <v>3033</v>
      </c>
      <c r="B69" t="s">
        <v>3140</v>
      </c>
      <c r="C69" t="s">
        <v>3037</v>
      </c>
      <c r="D69">
        <v>35.571834160000002</v>
      </c>
      <c r="E69" t="s">
        <v>3034</v>
      </c>
      <c r="F69">
        <v>112.43475960000001</v>
      </c>
      <c r="G69" t="s">
        <v>3035</v>
      </c>
      <c r="H69">
        <v>15725</v>
      </c>
      <c r="I69" t="s">
        <v>3036</v>
      </c>
    </row>
    <row r="70" spans="1:9" x14ac:dyDescent="0.25">
      <c r="A70" t="s">
        <v>3033</v>
      </c>
      <c r="B70" t="s">
        <v>3416</v>
      </c>
      <c r="C70" t="s">
        <v>3037</v>
      </c>
      <c r="D70">
        <v>38.37263952</v>
      </c>
      <c r="E70" t="s">
        <v>3034</v>
      </c>
      <c r="F70">
        <v>112.8823678</v>
      </c>
      <c r="G70" t="s">
        <v>3035</v>
      </c>
      <c r="H70">
        <v>21995</v>
      </c>
      <c r="I70" t="s">
        <v>3036</v>
      </c>
    </row>
    <row r="71" spans="1:9" x14ac:dyDescent="0.25">
      <c r="A71" t="s">
        <v>3033</v>
      </c>
      <c r="B71" t="s">
        <v>3305</v>
      </c>
      <c r="C71" t="s">
        <v>3037</v>
      </c>
      <c r="D71">
        <v>38.264474559999996</v>
      </c>
      <c r="E71" t="s">
        <v>3034</v>
      </c>
      <c r="F71">
        <v>111.666157</v>
      </c>
      <c r="G71" t="s">
        <v>3035</v>
      </c>
      <c r="H71">
        <v>59772</v>
      </c>
      <c r="I71" t="s">
        <v>3036</v>
      </c>
    </row>
    <row r="72" spans="1:9" x14ac:dyDescent="0.25">
      <c r="A72" t="s">
        <v>3033</v>
      </c>
      <c r="B72" t="s">
        <v>3180</v>
      </c>
      <c r="C72" t="s">
        <v>3037</v>
      </c>
      <c r="D72">
        <v>39.01346461</v>
      </c>
      <c r="E72" t="s">
        <v>3034</v>
      </c>
      <c r="F72">
        <v>111.09740650000001</v>
      </c>
      <c r="G72" t="s">
        <v>3035</v>
      </c>
      <c r="H72">
        <v>75135</v>
      </c>
      <c r="I72" t="s">
        <v>3036</v>
      </c>
    </row>
    <row r="73" spans="1:9" x14ac:dyDescent="0.25">
      <c r="A73" t="s">
        <v>3033</v>
      </c>
      <c r="B73" t="s">
        <v>3180</v>
      </c>
      <c r="C73" t="s">
        <v>3037</v>
      </c>
      <c r="D73">
        <v>37.398131759999998</v>
      </c>
      <c r="E73" t="s">
        <v>3034</v>
      </c>
      <c r="F73">
        <v>112.4412349</v>
      </c>
      <c r="G73" t="s">
        <v>3035</v>
      </c>
      <c r="H73">
        <v>51558</v>
      </c>
      <c r="I73" t="s">
        <v>3036</v>
      </c>
    </row>
    <row r="74" spans="1:9" x14ac:dyDescent="0.25">
      <c r="A74" t="s">
        <v>3033</v>
      </c>
      <c r="B74" t="s">
        <v>3496</v>
      </c>
      <c r="C74" t="s">
        <v>3037</v>
      </c>
      <c r="D74">
        <v>35.011062529999997</v>
      </c>
      <c r="E74" t="s">
        <v>3034</v>
      </c>
      <c r="F74">
        <v>111.1202826</v>
      </c>
      <c r="G74" t="s">
        <v>3035</v>
      </c>
      <c r="H74">
        <v>14320</v>
      </c>
      <c r="I74" t="s">
        <v>3036</v>
      </c>
    </row>
    <row r="75" spans="1:9" x14ac:dyDescent="0.25">
      <c r="A75" t="s">
        <v>3033</v>
      </c>
      <c r="B75" t="s">
        <v>3106</v>
      </c>
      <c r="C75" t="s">
        <v>3037</v>
      </c>
      <c r="D75">
        <v>39.367570030000003</v>
      </c>
      <c r="E75" t="s">
        <v>3034</v>
      </c>
      <c r="F75">
        <v>114.07672580000001</v>
      </c>
      <c r="G75" t="s">
        <v>3035</v>
      </c>
      <c r="H75">
        <v>26083</v>
      </c>
      <c r="I75" t="s">
        <v>3036</v>
      </c>
    </row>
    <row r="76" spans="1:9" x14ac:dyDescent="0.25">
      <c r="A76" t="s">
        <v>3033</v>
      </c>
      <c r="B76" t="s">
        <v>3392</v>
      </c>
      <c r="C76" t="s">
        <v>3037</v>
      </c>
      <c r="D76">
        <v>38.063881430000002</v>
      </c>
      <c r="E76" t="s">
        <v>3034</v>
      </c>
      <c r="F76">
        <v>112.7985795</v>
      </c>
      <c r="G76" t="s">
        <v>3035</v>
      </c>
      <c r="H76">
        <v>9722</v>
      </c>
      <c r="I76" t="s">
        <v>3036</v>
      </c>
    </row>
    <row r="77" spans="1:9" x14ac:dyDescent="0.25">
      <c r="A77" t="s">
        <v>3033</v>
      </c>
      <c r="B77" t="s">
        <v>3470</v>
      </c>
      <c r="C77" t="s">
        <v>3037</v>
      </c>
      <c r="D77">
        <v>37.760299609999997</v>
      </c>
      <c r="E77" t="s">
        <v>3034</v>
      </c>
      <c r="F77">
        <v>113.91678760000001</v>
      </c>
      <c r="G77" t="s">
        <v>3035</v>
      </c>
      <c r="H77">
        <v>27735</v>
      </c>
      <c r="I77" t="s">
        <v>3036</v>
      </c>
    </row>
    <row r="78" spans="1:9" x14ac:dyDescent="0.25">
      <c r="A78" t="s">
        <v>3033</v>
      </c>
      <c r="B78" t="s">
        <v>3181</v>
      </c>
      <c r="C78" t="s">
        <v>3037</v>
      </c>
      <c r="D78">
        <v>37.058713390000001</v>
      </c>
      <c r="E78" t="s">
        <v>3034</v>
      </c>
      <c r="F78">
        <v>112.3109844</v>
      </c>
      <c r="G78" t="s">
        <v>3035</v>
      </c>
      <c r="H78">
        <v>20937</v>
      </c>
      <c r="I78" t="s">
        <v>3036</v>
      </c>
    </row>
    <row r="79" spans="1:9" x14ac:dyDescent="0.25">
      <c r="A79" t="s">
        <v>3033</v>
      </c>
      <c r="B79" t="s">
        <v>3417</v>
      </c>
      <c r="C79" t="s">
        <v>3037</v>
      </c>
      <c r="D79">
        <v>38.718421130000003</v>
      </c>
      <c r="E79" t="s">
        <v>3034</v>
      </c>
      <c r="F79">
        <v>112.9547039</v>
      </c>
      <c r="G79" t="s">
        <v>3035</v>
      </c>
      <c r="H79">
        <v>31929</v>
      </c>
      <c r="I79" t="s">
        <v>3036</v>
      </c>
    </row>
    <row r="80" spans="1:9" x14ac:dyDescent="0.25">
      <c r="A80" t="s">
        <v>3033</v>
      </c>
      <c r="B80" t="s">
        <v>3107</v>
      </c>
      <c r="C80" t="s">
        <v>3037</v>
      </c>
      <c r="D80">
        <v>40.049734600000001</v>
      </c>
      <c r="E80" t="s">
        <v>3034</v>
      </c>
      <c r="F80">
        <v>113.8867338</v>
      </c>
      <c r="G80" t="s">
        <v>3035</v>
      </c>
      <c r="H80">
        <v>10684</v>
      </c>
      <c r="I80" t="s">
        <v>3036</v>
      </c>
    </row>
    <row r="81" spans="1:9" x14ac:dyDescent="0.25">
      <c r="A81" t="s">
        <v>3033</v>
      </c>
      <c r="B81" t="s">
        <v>3182</v>
      </c>
      <c r="C81" t="s">
        <v>3037</v>
      </c>
      <c r="D81">
        <v>37.542441490000002</v>
      </c>
      <c r="E81" t="s">
        <v>3034</v>
      </c>
      <c r="F81">
        <v>112.65329800000001</v>
      </c>
      <c r="G81" t="s">
        <v>3035</v>
      </c>
      <c r="H81">
        <v>25936</v>
      </c>
      <c r="I81" t="s">
        <v>3036</v>
      </c>
    </row>
    <row r="82" spans="1:9" x14ac:dyDescent="0.25">
      <c r="A82" t="s">
        <v>3033</v>
      </c>
      <c r="B82" t="s">
        <v>3047</v>
      </c>
      <c r="C82" t="s">
        <v>3037</v>
      </c>
      <c r="D82">
        <v>36.567168340000002</v>
      </c>
      <c r="E82" t="s">
        <v>3034</v>
      </c>
      <c r="F82">
        <v>113.4993157</v>
      </c>
      <c r="G82" t="s">
        <v>3035</v>
      </c>
      <c r="H82">
        <v>15301</v>
      </c>
      <c r="I82" t="s">
        <v>3036</v>
      </c>
    </row>
    <row r="83" spans="1:9" x14ac:dyDescent="0.25">
      <c r="A83" t="s">
        <v>3033</v>
      </c>
      <c r="B83" t="s">
        <v>5026</v>
      </c>
      <c r="C83" t="s">
        <v>3037</v>
      </c>
      <c r="D83">
        <v>35.308400990000003</v>
      </c>
      <c r="E83" t="s">
        <v>3034</v>
      </c>
      <c r="F83">
        <v>112.5289513</v>
      </c>
      <c r="G83" t="s">
        <v>3035</v>
      </c>
      <c r="H83">
        <v>20531</v>
      </c>
      <c r="I83" t="s">
        <v>3036</v>
      </c>
    </row>
    <row r="84" spans="1:9" x14ac:dyDescent="0.25">
      <c r="A84" t="s">
        <v>3033</v>
      </c>
      <c r="B84" t="s">
        <v>5027</v>
      </c>
      <c r="C84" t="s">
        <v>3037</v>
      </c>
      <c r="D84">
        <v>38.652993940000002</v>
      </c>
      <c r="E84" t="s">
        <v>3034</v>
      </c>
      <c r="F84">
        <v>113.1699886</v>
      </c>
      <c r="G84" t="s">
        <v>3035</v>
      </c>
      <c r="H84">
        <v>37748</v>
      </c>
      <c r="I84" t="s">
        <v>3036</v>
      </c>
    </row>
    <row r="85" spans="1:9" x14ac:dyDescent="0.25">
      <c r="A85" t="s">
        <v>3033</v>
      </c>
      <c r="B85" t="s">
        <v>3393</v>
      </c>
      <c r="C85" t="s">
        <v>3037</v>
      </c>
      <c r="D85">
        <v>37.631506700000003</v>
      </c>
      <c r="E85" t="s">
        <v>3034</v>
      </c>
      <c r="F85">
        <v>112.2295465</v>
      </c>
      <c r="G85" t="s">
        <v>3035</v>
      </c>
      <c r="H85">
        <v>27620</v>
      </c>
      <c r="I85" t="s">
        <v>3036</v>
      </c>
    </row>
    <row r="86" spans="1:9" x14ac:dyDescent="0.25">
      <c r="A86" t="s">
        <v>3033</v>
      </c>
      <c r="B86" t="s">
        <v>3418</v>
      </c>
      <c r="C86" t="s">
        <v>3037</v>
      </c>
      <c r="D86">
        <v>38.797733800000003</v>
      </c>
      <c r="E86" t="s">
        <v>3034</v>
      </c>
      <c r="F86">
        <v>112.0410725</v>
      </c>
      <c r="G86" t="s">
        <v>3035</v>
      </c>
      <c r="H86">
        <v>17452</v>
      </c>
      <c r="I86" t="s">
        <v>3036</v>
      </c>
    </row>
    <row r="87" spans="1:9" x14ac:dyDescent="0.25">
      <c r="A87" t="s">
        <v>3033</v>
      </c>
      <c r="B87" t="s">
        <v>3497</v>
      </c>
      <c r="C87" t="s">
        <v>3037</v>
      </c>
      <c r="D87">
        <v>35.057061140000002</v>
      </c>
      <c r="E87" t="s">
        <v>3034</v>
      </c>
      <c r="F87">
        <v>110.4306672</v>
      </c>
      <c r="G87" t="s">
        <v>3035</v>
      </c>
      <c r="H87">
        <v>33604</v>
      </c>
      <c r="I87" t="s">
        <v>3036</v>
      </c>
    </row>
    <row r="88" spans="1:9" x14ac:dyDescent="0.25">
      <c r="A88" t="s">
        <v>3033</v>
      </c>
      <c r="B88" t="s">
        <v>3498</v>
      </c>
      <c r="C88" t="s">
        <v>3037</v>
      </c>
      <c r="D88">
        <v>35.456817190000002</v>
      </c>
      <c r="E88" t="s">
        <v>3034</v>
      </c>
      <c r="F88">
        <v>111.3076318</v>
      </c>
      <c r="G88" t="s">
        <v>3035</v>
      </c>
      <c r="H88">
        <v>52344</v>
      </c>
      <c r="I88" t="s">
        <v>3036</v>
      </c>
    </row>
    <row r="89" spans="1:9" x14ac:dyDescent="0.25">
      <c r="A89" t="s">
        <v>3033</v>
      </c>
      <c r="B89" t="s">
        <v>3419</v>
      </c>
      <c r="C89" t="s">
        <v>3037</v>
      </c>
      <c r="D89">
        <v>38.896756480000001</v>
      </c>
      <c r="E89" t="s">
        <v>3034</v>
      </c>
      <c r="F89">
        <v>113.3607385</v>
      </c>
      <c r="G89" t="s">
        <v>3035</v>
      </c>
      <c r="H89">
        <v>26880</v>
      </c>
      <c r="I89" t="s">
        <v>3036</v>
      </c>
    </row>
    <row r="90" spans="1:9" x14ac:dyDescent="0.25">
      <c r="A90" t="s">
        <v>3033</v>
      </c>
      <c r="B90" t="s">
        <v>3420</v>
      </c>
      <c r="C90" t="s">
        <v>3037</v>
      </c>
      <c r="D90">
        <v>38.283134990000001</v>
      </c>
      <c r="E90" t="s">
        <v>3034</v>
      </c>
      <c r="F90">
        <v>112.6978227</v>
      </c>
      <c r="G90" t="s">
        <v>3035</v>
      </c>
      <c r="H90">
        <v>18655</v>
      </c>
      <c r="I90" t="s">
        <v>3036</v>
      </c>
    </row>
    <row r="91" spans="1:9" x14ac:dyDescent="0.25">
      <c r="A91" t="s">
        <v>3033</v>
      </c>
      <c r="B91" t="s">
        <v>3183</v>
      </c>
      <c r="C91" t="s">
        <v>3037</v>
      </c>
      <c r="D91">
        <v>36.864468299999999</v>
      </c>
      <c r="E91" t="s">
        <v>3034</v>
      </c>
      <c r="F91">
        <v>111.55639530000001</v>
      </c>
      <c r="G91" t="s">
        <v>3035</v>
      </c>
      <c r="H91">
        <v>15077</v>
      </c>
      <c r="I91" t="s">
        <v>3036</v>
      </c>
    </row>
    <row r="92" spans="1:9" x14ac:dyDescent="0.25">
      <c r="A92" t="s">
        <v>3033</v>
      </c>
      <c r="B92" t="s">
        <v>3184</v>
      </c>
      <c r="C92" t="s">
        <v>3037</v>
      </c>
      <c r="D92">
        <v>37.075256660000001</v>
      </c>
      <c r="E92" t="s">
        <v>3034</v>
      </c>
      <c r="F92">
        <v>112.17105530000001</v>
      </c>
      <c r="G92" t="s">
        <v>3035</v>
      </c>
      <c r="H92">
        <v>31929</v>
      </c>
      <c r="I92" t="s">
        <v>3036</v>
      </c>
    </row>
    <row r="93" spans="1:9" x14ac:dyDescent="0.25">
      <c r="A93" t="s">
        <v>3033</v>
      </c>
      <c r="B93" t="s">
        <v>3141</v>
      </c>
      <c r="C93" t="s">
        <v>3037</v>
      </c>
      <c r="D93">
        <v>35.753026550000001</v>
      </c>
      <c r="E93" t="s">
        <v>3034</v>
      </c>
      <c r="F93">
        <v>112.4992858</v>
      </c>
      <c r="G93" t="s">
        <v>3035</v>
      </c>
      <c r="H93">
        <v>29534</v>
      </c>
      <c r="I93" t="s">
        <v>3036</v>
      </c>
    </row>
    <row r="94" spans="1:9" x14ac:dyDescent="0.25">
      <c r="A94" t="s">
        <v>3033</v>
      </c>
      <c r="B94" t="s">
        <v>3306</v>
      </c>
      <c r="C94" t="s">
        <v>3037</v>
      </c>
      <c r="D94">
        <v>37.102228930000003</v>
      </c>
      <c r="E94" t="s">
        <v>3034</v>
      </c>
      <c r="F94">
        <v>111.6254777</v>
      </c>
      <c r="G94" t="s">
        <v>3035</v>
      </c>
      <c r="H94">
        <v>42196</v>
      </c>
      <c r="I94" t="s">
        <v>3036</v>
      </c>
    </row>
    <row r="95" spans="1:9" x14ac:dyDescent="0.25">
      <c r="A95" t="s">
        <v>3033</v>
      </c>
      <c r="B95" t="s">
        <v>3239</v>
      </c>
      <c r="C95" t="s">
        <v>3037</v>
      </c>
      <c r="D95">
        <v>36.753750080000003</v>
      </c>
      <c r="E95" t="s">
        <v>3034</v>
      </c>
      <c r="F95">
        <v>111.4515725</v>
      </c>
      <c r="G95" t="s">
        <v>3035</v>
      </c>
      <c r="H95">
        <v>11895</v>
      </c>
      <c r="I95" t="s">
        <v>3036</v>
      </c>
    </row>
    <row r="96" spans="1:9" x14ac:dyDescent="0.25">
      <c r="A96" t="s">
        <v>3033</v>
      </c>
      <c r="B96" t="s">
        <v>3421</v>
      </c>
      <c r="C96" t="s">
        <v>3037</v>
      </c>
      <c r="D96">
        <v>38.595533959999997</v>
      </c>
      <c r="E96" t="s">
        <v>3034</v>
      </c>
      <c r="F96">
        <v>112.1579275</v>
      </c>
      <c r="G96" t="s">
        <v>3035</v>
      </c>
      <c r="H96">
        <v>12395</v>
      </c>
      <c r="I96" t="s">
        <v>3036</v>
      </c>
    </row>
    <row r="97" spans="1:9" x14ac:dyDescent="0.25">
      <c r="A97" t="s">
        <v>3033</v>
      </c>
      <c r="B97" t="s">
        <v>3394</v>
      </c>
      <c r="C97" t="s">
        <v>3037</v>
      </c>
      <c r="D97">
        <v>38.013422630000001</v>
      </c>
      <c r="E97" t="s">
        <v>3034</v>
      </c>
      <c r="F97">
        <v>111.94807950000001</v>
      </c>
      <c r="G97" t="s">
        <v>3035</v>
      </c>
      <c r="H97">
        <v>4493</v>
      </c>
      <c r="I97" t="s">
        <v>3036</v>
      </c>
    </row>
    <row r="98" spans="1:9" x14ac:dyDescent="0.25">
      <c r="A98" t="s">
        <v>3033</v>
      </c>
      <c r="B98" t="s">
        <v>3422</v>
      </c>
      <c r="C98" t="s">
        <v>3037</v>
      </c>
      <c r="D98">
        <v>38.354258590000001</v>
      </c>
      <c r="E98" t="s">
        <v>3034</v>
      </c>
      <c r="F98">
        <v>111.9167783</v>
      </c>
      <c r="G98" t="s">
        <v>3035</v>
      </c>
      <c r="H98">
        <v>56433</v>
      </c>
      <c r="I98" t="s">
        <v>3036</v>
      </c>
    </row>
    <row r="99" spans="1:9" x14ac:dyDescent="0.25">
      <c r="A99" t="s">
        <v>3033</v>
      </c>
      <c r="B99" t="s">
        <v>3423</v>
      </c>
      <c r="C99" t="s">
        <v>3037</v>
      </c>
      <c r="D99">
        <v>39.139687180000003</v>
      </c>
      <c r="E99" t="s">
        <v>3034</v>
      </c>
      <c r="F99">
        <v>113.1843375</v>
      </c>
      <c r="G99" t="s">
        <v>3035</v>
      </c>
      <c r="H99">
        <v>27443</v>
      </c>
      <c r="I99" t="s">
        <v>3036</v>
      </c>
    </row>
    <row r="100" spans="1:9" x14ac:dyDescent="0.25">
      <c r="A100" t="s">
        <v>3033</v>
      </c>
      <c r="B100" t="s">
        <v>3424</v>
      </c>
      <c r="C100" t="s">
        <v>3037</v>
      </c>
      <c r="D100">
        <v>39.24287468</v>
      </c>
      <c r="E100" t="s">
        <v>3034</v>
      </c>
      <c r="F100">
        <v>113.2490758</v>
      </c>
      <c r="G100" t="s">
        <v>3035</v>
      </c>
      <c r="H100">
        <v>76088</v>
      </c>
      <c r="I100" t="s">
        <v>3036</v>
      </c>
    </row>
    <row r="101" spans="1:9" x14ac:dyDescent="0.25">
      <c r="A101" t="s">
        <v>3033</v>
      </c>
      <c r="B101" t="s">
        <v>3499</v>
      </c>
      <c r="C101" t="s">
        <v>3037</v>
      </c>
      <c r="D101">
        <v>35.696861429999998</v>
      </c>
      <c r="E101" t="s">
        <v>3034</v>
      </c>
      <c r="F101">
        <v>110.7032428</v>
      </c>
      <c r="G101" t="s">
        <v>3035</v>
      </c>
      <c r="H101">
        <v>48201</v>
      </c>
      <c r="I101" t="s">
        <v>3036</v>
      </c>
    </row>
    <row r="102" spans="1:9" x14ac:dyDescent="0.25">
      <c r="A102" t="s">
        <v>3033</v>
      </c>
      <c r="B102" t="s">
        <v>3185</v>
      </c>
      <c r="C102" t="s">
        <v>3037</v>
      </c>
      <c r="D102">
        <v>37.421449559999999</v>
      </c>
      <c r="E102" t="s">
        <v>3034</v>
      </c>
      <c r="F102">
        <v>112.8818505</v>
      </c>
      <c r="G102" t="s">
        <v>3035</v>
      </c>
      <c r="H102">
        <v>13230</v>
      </c>
      <c r="I102" t="s">
        <v>3036</v>
      </c>
    </row>
    <row r="103" spans="1:9" x14ac:dyDescent="0.25">
      <c r="A103" t="s">
        <v>3033</v>
      </c>
      <c r="B103" t="s">
        <v>3240</v>
      </c>
      <c r="C103" t="s">
        <v>3037</v>
      </c>
      <c r="D103">
        <v>35.820951350000001</v>
      </c>
      <c r="E103" t="s">
        <v>3034</v>
      </c>
      <c r="F103">
        <v>111.2175057</v>
      </c>
      <c r="G103" t="s">
        <v>3035</v>
      </c>
      <c r="H103">
        <v>51380</v>
      </c>
      <c r="I103" t="s">
        <v>3036</v>
      </c>
    </row>
    <row r="104" spans="1:9" x14ac:dyDescent="0.25">
      <c r="A104" t="s">
        <v>3033</v>
      </c>
      <c r="B104" t="s">
        <v>5028</v>
      </c>
      <c r="C104" t="s">
        <v>3037</v>
      </c>
      <c r="D104">
        <v>35.406111369999998</v>
      </c>
      <c r="E104" t="s">
        <v>3034</v>
      </c>
      <c r="F104">
        <v>112.3872794</v>
      </c>
      <c r="G104" t="s">
        <v>3035</v>
      </c>
      <c r="H104">
        <v>126960</v>
      </c>
      <c r="I104" t="s">
        <v>3036</v>
      </c>
    </row>
    <row r="105" spans="1:9" x14ac:dyDescent="0.25">
      <c r="A105" t="s">
        <v>3033</v>
      </c>
      <c r="B105" t="s">
        <v>5029</v>
      </c>
      <c r="C105" t="s">
        <v>3037</v>
      </c>
      <c r="D105">
        <v>37.467172439999999</v>
      </c>
      <c r="E105" t="s">
        <v>3034</v>
      </c>
      <c r="F105">
        <v>112.0011667</v>
      </c>
      <c r="G105" t="s">
        <v>3035</v>
      </c>
      <c r="H105">
        <v>128571</v>
      </c>
      <c r="I105" t="s">
        <v>3036</v>
      </c>
    </row>
    <row r="106" spans="1:9" x14ac:dyDescent="0.25">
      <c r="A106" t="s">
        <v>3033</v>
      </c>
      <c r="B106" t="s">
        <v>3425</v>
      </c>
      <c r="C106" t="s">
        <v>3037</v>
      </c>
      <c r="D106">
        <v>38.999495660000001</v>
      </c>
      <c r="E106" t="s">
        <v>3034</v>
      </c>
      <c r="F106">
        <v>112.3104927</v>
      </c>
      <c r="G106" t="s">
        <v>3035</v>
      </c>
      <c r="H106">
        <v>21067</v>
      </c>
      <c r="I106" t="s">
        <v>3036</v>
      </c>
    </row>
    <row r="107" spans="1:9" x14ac:dyDescent="0.25">
      <c r="A107" t="s">
        <v>3033</v>
      </c>
      <c r="B107" t="s">
        <v>3375</v>
      </c>
      <c r="C107" t="s">
        <v>3037</v>
      </c>
      <c r="D107">
        <v>39.773423649999998</v>
      </c>
      <c r="E107" t="s">
        <v>3034</v>
      </c>
      <c r="F107">
        <v>112.2005755</v>
      </c>
      <c r="G107" t="s">
        <v>3035</v>
      </c>
      <c r="H107">
        <v>5622</v>
      </c>
      <c r="I107" t="s">
        <v>3036</v>
      </c>
    </row>
    <row r="108" spans="1:9" x14ac:dyDescent="0.25">
      <c r="A108" t="s">
        <v>3033</v>
      </c>
      <c r="B108" t="s">
        <v>3500</v>
      </c>
      <c r="C108" t="s">
        <v>3037</v>
      </c>
      <c r="D108">
        <v>34.67043374</v>
      </c>
      <c r="E108" t="s">
        <v>3034</v>
      </c>
      <c r="F108">
        <v>110.33928400000001</v>
      </c>
      <c r="G108" t="s">
        <v>3035</v>
      </c>
      <c r="H108">
        <v>63518</v>
      </c>
      <c r="I108" t="s">
        <v>3036</v>
      </c>
    </row>
    <row r="109" spans="1:9" x14ac:dyDescent="0.25">
      <c r="A109" t="s">
        <v>3033</v>
      </c>
      <c r="B109" t="s">
        <v>3426</v>
      </c>
      <c r="C109" t="s">
        <v>3037</v>
      </c>
      <c r="D109">
        <v>38.247954030000002</v>
      </c>
      <c r="E109" t="s">
        <v>3034</v>
      </c>
      <c r="F109">
        <v>111.8434386</v>
      </c>
      <c r="G109" t="s">
        <v>3035</v>
      </c>
      <c r="H109">
        <v>5528</v>
      </c>
      <c r="I109" t="s">
        <v>3036</v>
      </c>
    </row>
    <row r="110" spans="1:9" x14ac:dyDescent="0.25">
      <c r="A110" t="s">
        <v>3033</v>
      </c>
      <c r="B110" t="s">
        <v>3048</v>
      </c>
      <c r="C110" t="s">
        <v>3037</v>
      </c>
      <c r="D110">
        <v>36.254181359999997</v>
      </c>
      <c r="E110" t="s">
        <v>3034</v>
      </c>
      <c r="F110">
        <v>112.7350661</v>
      </c>
      <c r="G110" t="s">
        <v>3035</v>
      </c>
      <c r="H110">
        <v>9397</v>
      </c>
      <c r="I110" t="s">
        <v>3036</v>
      </c>
    </row>
    <row r="111" spans="1:9" x14ac:dyDescent="0.25">
      <c r="A111" t="s">
        <v>3033</v>
      </c>
      <c r="B111" t="s">
        <v>3049</v>
      </c>
      <c r="C111" t="s">
        <v>3037</v>
      </c>
      <c r="D111">
        <v>36.814850890000002</v>
      </c>
      <c r="E111" t="s">
        <v>3034</v>
      </c>
      <c r="F111">
        <v>112.8475791</v>
      </c>
      <c r="G111" t="s">
        <v>3035</v>
      </c>
      <c r="H111">
        <v>49594</v>
      </c>
      <c r="I111" t="s">
        <v>3036</v>
      </c>
    </row>
    <row r="112" spans="1:9" x14ac:dyDescent="0.25">
      <c r="A112" t="s">
        <v>3033</v>
      </c>
      <c r="B112" t="s">
        <v>3142</v>
      </c>
      <c r="C112" t="s">
        <v>3037</v>
      </c>
      <c r="D112">
        <v>35.636359400000003</v>
      </c>
      <c r="E112" t="s">
        <v>3034</v>
      </c>
      <c r="F112">
        <v>113.1803946</v>
      </c>
      <c r="G112" t="s">
        <v>3035</v>
      </c>
      <c r="H112">
        <v>26831</v>
      </c>
      <c r="I112" t="s">
        <v>3036</v>
      </c>
    </row>
    <row r="113" spans="1:9" x14ac:dyDescent="0.25">
      <c r="A113" t="s">
        <v>3033</v>
      </c>
      <c r="B113" t="s">
        <v>3241</v>
      </c>
      <c r="C113" t="s">
        <v>3037</v>
      </c>
      <c r="D113">
        <v>36.223392590000003</v>
      </c>
      <c r="E113" t="s">
        <v>3034</v>
      </c>
      <c r="F113">
        <v>112.1920949</v>
      </c>
      <c r="G113" t="s">
        <v>3035</v>
      </c>
      <c r="H113">
        <v>32816</v>
      </c>
      <c r="I113" t="s">
        <v>3036</v>
      </c>
    </row>
    <row r="114" spans="1:9" x14ac:dyDescent="0.25">
      <c r="A114" t="s">
        <v>3033</v>
      </c>
      <c r="B114" t="s">
        <v>3242</v>
      </c>
      <c r="C114" t="s">
        <v>3037</v>
      </c>
      <c r="D114">
        <v>36.178597799999999</v>
      </c>
      <c r="E114" t="s">
        <v>3034</v>
      </c>
      <c r="F114">
        <v>111.6249715</v>
      </c>
      <c r="G114" t="s">
        <v>3035</v>
      </c>
      <c r="H114">
        <v>38347</v>
      </c>
      <c r="I114" t="s">
        <v>3036</v>
      </c>
    </row>
    <row r="115" spans="1:9" x14ac:dyDescent="0.25">
      <c r="A115" t="s">
        <v>3033</v>
      </c>
      <c r="B115" t="s">
        <v>3143</v>
      </c>
      <c r="C115" t="s">
        <v>3037</v>
      </c>
      <c r="D115">
        <v>35.587748040000001</v>
      </c>
      <c r="E115" t="s">
        <v>3034</v>
      </c>
      <c r="F115">
        <v>112.9920908</v>
      </c>
      <c r="G115" t="s">
        <v>3035</v>
      </c>
      <c r="H115">
        <v>37018</v>
      </c>
      <c r="I115" t="s">
        <v>3036</v>
      </c>
    </row>
    <row r="116" spans="1:9" x14ac:dyDescent="0.25">
      <c r="A116" t="s">
        <v>3033</v>
      </c>
      <c r="B116" t="s">
        <v>3307</v>
      </c>
      <c r="C116" t="s">
        <v>3037</v>
      </c>
      <c r="D116">
        <v>38.50593482</v>
      </c>
      <c r="E116" t="s">
        <v>3034</v>
      </c>
      <c r="F116">
        <v>110.9395787</v>
      </c>
      <c r="G116" t="s">
        <v>3035</v>
      </c>
      <c r="H116">
        <v>14011</v>
      </c>
      <c r="I116" t="s">
        <v>3036</v>
      </c>
    </row>
    <row r="117" spans="1:9" x14ac:dyDescent="0.25">
      <c r="A117" t="s">
        <v>3033</v>
      </c>
      <c r="B117" t="s">
        <v>3186</v>
      </c>
      <c r="C117" t="s">
        <v>3037</v>
      </c>
      <c r="D117">
        <v>37.43878479</v>
      </c>
      <c r="E117" t="s">
        <v>3034</v>
      </c>
      <c r="F117">
        <v>113.9367548</v>
      </c>
      <c r="G117" t="s">
        <v>3035</v>
      </c>
      <c r="H117">
        <v>11045</v>
      </c>
      <c r="I117" t="s">
        <v>3036</v>
      </c>
    </row>
    <row r="118" spans="1:9" x14ac:dyDescent="0.25">
      <c r="A118" t="s">
        <v>3033</v>
      </c>
      <c r="B118" t="s">
        <v>3108</v>
      </c>
      <c r="C118" t="s">
        <v>3037</v>
      </c>
      <c r="D118">
        <v>40.064386910000003</v>
      </c>
      <c r="E118" t="s">
        <v>3034</v>
      </c>
      <c r="F118">
        <v>112.98532489999999</v>
      </c>
      <c r="G118" t="s">
        <v>3035</v>
      </c>
      <c r="H118">
        <v>13887</v>
      </c>
      <c r="I118" t="s">
        <v>3036</v>
      </c>
    </row>
    <row r="119" spans="1:9" x14ac:dyDescent="0.25">
      <c r="A119" t="s">
        <v>3033</v>
      </c>
      <c r="B119" t="s">
        <v>3243</v>
      </c>
      <c r="C119" t="s">
        <v>3037</v>
      </c>
      <c r="D119">
        <v>35.703034940000002</v>
      </c>
      <c r="E119" t="s">
        <v>3034</v>
      </c>
      <c r="F119">
        <v>111.45203239999999</v>
      </c>
      <c r="G119" t="s">
        <v>3035</v>
      </c>
      <c r="H119">
        <v>29825</v>
      </c>
      <c r="I119" t="s">
        <v>3036</v>
      </c>
    </row>
    <row r="120" spans="1:9" x14ac:dyDescent="0.25">
      <c r="A120" t="s">
        <v>3033</v>
      </c>
      <c r="B120" t="s">
        <v>3308</v>
      </c>
      <c r="C120" t="s">
        <v>3037</v>
      </c>
      <c r="D120">
        <v>37.140271890000001</v>
      </c>
      <c r="E120" t="s">
        <v>3034</v>
      </c>
      <c r="F120">
        <v>111.69232770000001</v>
      </c>
      <c r="G120" t="s">
        <v>3035</v>
      </c>
      <c r="H120">
        <v>40393</v>
      </c>
      <c r="I120" t="s">
        <v>3036</v>
      </c>
    </row>
    <row r="121" spans="1:9" x14ac:dyDescent="0.25">
      <c r="A121" t="s">
        <v>3033</v>
      </c>
      <c r="B121" t="s">
        <v>3309</v>
      </c>
      <c r="C121" t="s">
        <v>3037</v>
      </c>
      <c r="D121">
        <v>37.860955330000003</v>
      </c>
      <c r="E121" t="s">
        <v>3034</v>
      </c>
      <c r="F121">
        <v>111.2595585</v>
      </c>
      <c r="G121" t="s">
        <v>3035</v>
      </c>
      <c r="H121">
        <v>43409</v>
      </c>
      <c r="I121" t="s">
        <v>3036</v>
      </c>
    </row>
    <row r="122" spans="1:9" x14ac:dyDescent="0.25">
      <c r="A122" t="s">
        <v>3033</v>
      </c>
      <c r="B122" t="s">
        <v>3427</v>
      </c>
      <c r="C122" t="s">
        <v>3037</v>
      </c>
      <c r="D122">
        <v>38.729081409999999</v>
      </c>
      <c r="E122" t="s">
        <v>3034</v>
      </c>
      <c r="F122">
        <v>113.5838416</v>
      </c>
      <c r="G122" t="s">
        <v>3035</v>
      </c>
      <c r="H122">
        <v>14861</v>
      </c>
      <c r="I122" t="s">
        <v>3036</v>
      </c>
    </row>
    <row r="123" spans="1:9" x14ac:dyDescent="0.25">
      <c r="A123" t="s">
        <v>3033</v>
      </c>
      <c r="B123" t="s">
        <v>3187</v>
      </c>
      <c r="C123" t="s">
        <v>3037</v>
      </c>
      <c r="D123">
        <v>37.089164449999998</v>
      </c>
      <c r="E123" t="s">
        <v>3034</v>
      </c>
      <c r="F123">
        <v>113.594758</v>
      </c>
      <c r="G123" t="s">
        <v>3035</v>
      </c>
      <c r="H123">
        <v>9675</v>
      </c>
      <c r="I123" t="s">
        <v>3036</v>
      </c>
    </row>
    <row r="124" spans="1:9" x14ac:dyDescent="0.25">
      <c r="A124" t="s">
        <v>3033</v>
      </c>
      <c r="B124" t="s">
        <v>3244</v>
      </c>
      <c r="C124" t="s">
        <v>3037</v>
      </c>
      <c r="D124">
        <v>36.031810319999998</v>
      </c>
      <c r="E124" t="s">
        <v>3034</v>
      </c>
      <c r="F124">
        <v>111.2269706</v>
      </c>
      <c r="G124" t="s">
        <v>3035</v>
      </c>
      <c r="H124">
        <v>21622</v>
      </c>
      <c r="I124" t="s">
        <v>3036</v>
      </c>
    </row>
    <row r="125" spans="1:9" x14ac:dyDescent="0.25">
      <c r="A125" t="s">
        <v>3033</v>
      </c>
      <c r="B125" t="s">
        <v>3245</v>
      </c>
      <c r="C125" t="s">
        <v>3037</v>
      </c>
      <c r="D125">
        <v>36.288208580000003</v>
      </c>
      <c r="E125" t="s">
        <v>3034</v>
      </c>
      <c r="F125">
        <v>111.7846874</v>
      </c>
      <c r="G125" t="s">
        <v>3035</v>
      </c>
      <c r="H125">
        <v>47010</v>
      </c>
      <c r="I125" t="s">
        <v>3036</v>
      </c>
    </row>
    <row r="126" spans="1:9" x14ac:dyDescent="0.25">
      <c r="A126" t="s">
        <v>3033</v>
      </c>
      <c r="B126" t="s">
        <v>3471</v>
      </c>
      <c r="C126" t="s">
        <v>3037</v>
      </c>
      <c r="D126">
        <v>37.79593363</v>
      </c>
      <c r="E126" t="s">
        <v>3034</v>
      </c>
      <c r="F126">
        <v>113.6302967</v>
      </c>
      <c r="G126" t="s">
        <v>3035</v>
      </c>
      <c r="H126">
        <v>122675</v>
      </c>
      <c r="I126" t="s">
        <v>3036</v>
      </c>
    </row>
    <row r="127" spans="1:9" x14ac:dyDescent="0.25">
      <c r="A127" t="s">
        <v>3033</v>
      </c>
      <c r="B127" t="s">
        <v>3246</v>
      </c>
      <c r="C127" t="s">
        <v>3037</v>
      </c>
      <c r="D127">
        <v>36.033571080000002</v>
      </c>
      <c r="E127" t="s">
        <v>3034</v>
      </c>
      <c r="F127">
        <v>110.9795615</v>
      </c>
      <c r="G127" t="s">
        <v>3035</v>
      </c>
      <c r="H127">
        <v>20982</v>
      </c>
      <c r="I127" t="s">
        <v>3036</v>
      </c>
    </row>
    <row r="128" spans="1:9" x14ac:dyDescent="0.25">
      <c r="A128" t="s">
        <v>3033</v>
      </c>
      <c r="B128" t="s">
        <v>3050</v>
      </c>
      <c r="C128" t="s">
        <v>3037</v>
      </c>
      <c r="D128">
        <v>36.98323379</v>
      </c>
      <c r="E128" t="s">
        <v>3034</v>
      </c>
      <c r="F128">
        <v>112.657392</v>
      </c>
      <c r="G128" t="s">
        <v>3035</v>
      </c>
      <c r="H128">
        <v>15861</v>
      </c>
      <c r="I128" t="s">
        <v>3036</v>
      </c>
    </row>
    <row r="129" spans="1:9" x14ac:dyDescent="0.25">
      <c r="A129" t="s">
        <v>3033</v>
      </c>
      <c r="B129" t="s">
        <v>5030</v>
      </c>
      <c r="C129" t="s">
        <v>3037</v>
      </c>
      <c r="D129">
        <v>40.14566027</v>
      </c>
      <c r="E129" t="s">
        <v>3034</v>
      </c>
      <c r="F129">
        <v>113.9102759</v>
      </c>
      <c r="G129" t="s">
        <v>3035</v>
      </c>
      <c r="H129">
        <v>17664</v>
      </c>
      <c r="I129" t="s">
        <v>3036</v>
      </c>
    </row>
    <row r="130" spans="1:9" x14ac:dyDescent="0.25">
      <c r="A130" t="s">
        <v>3033</v>
      </c>
      <c r="B130" t="s">
        <v>5031</v>
      </c>
      <c r="C130" t="s">
        <v>3037</v>
      </c>
      <c r="D130">
        <v>35.907009860000002</v>
      </c>
      <c r="E130" t="s">
        <v>3034</v>
      </c>
      <c r="F130">
        <v>111.2807631</v>
      </c>
      <c r="G130" t="s">
        <v>3035</v>
      </c>
      <c r="H130">
        <v>45085</v>
      </c>
      <c r="I130" t="s">
        <v>3036</v>
      </c>
    </row>
    <row r="131" spans="1:9" x14ac:dyDescent="0.25">
      <c r="A131" t="s">
        <v>3033</v>
      </c>
      <c r="B131" t="s">
        <v>5032</v>
      </c>
      <c r="C131" t="s">
        <v>3037</v>
      </c>
      <c r="D131">
        <v>39.445009050000003</v>
      </c>
      <c r="E131" t="s">
        <v>3034</v>
      </c>
      <c r="F131">
        <v>112.9315646</v>
      </c>
      <c r="G131" t="s">
        <v>3035</v>
      </c>
      <c r="H131">
        <v>18253</v>
      </c>
      <c r="I131" t="s">
        <v>3036</v>
      </c>
    </row>
    <row r="132" spans="1:9" x14ac:dyDescent="0.25">
      <c r="A132" t="s">
        <v>3033</v>
      </c>
      <c r="B132" t="s">
        <v>5033</v>
      </c>
      <c r="C132" t="s">
        <v>3037</v>
      </c>
      <c r="D132">
        <v>35.144287900000002</v>
      </c>
      <c r="E132" t="s">
        <v>3034</v>
      </c>
      <c r="F132">
        <v>111.8859228</v>
      </c>
      <c r="G132" t="s">
        <v>3035</v>
      </c>
      <c r="H132">
        <v>23525</v>
      </c>
      <c r="I132" t="s">
        <v>3036</v>
      </c>
    </row>
    <row r="133" spans="1:9" x14ac:dyDescent="0.25">
      <c r="A133" t="s">
        <v>3033</v>
      </c>
      <c r="B133" t="s">
        <v>3109</v>
      </c>
      <c r="C133" t="s">
        <v>3037</v>
      </c>
      <c r="D133">
        <v>40.218016370000001</v>
      </c>
      <c r="E133" t="s">
        <v>3034</v>
      </c>
      <c r="F133">
        <v>113.29547719999999</v>
      </c>
      <c r="G133" t="s">
        <v>3035</v>
      </c>
      <c r="H133">
        <v>15444</v>
      </c>
      <c r="I133" t="s">
        <v>3036</v>
      </c>
    </row>
    <row r="134" spans="1:9" x14ac:dyDescent="0.25">
      <c r="A134" t="s">
        <v>3033</v>
      </c>
      <c r="B134" t="s">
        <v>3051</v>
      </c>
      <c r="C134" t="s">
        <v>3037</v>
      </c>
      <c r="D134">
        <v>36.531402380000003</v>
      </c>
      <c r="E134" t="s">
        <v>3034</v>
      </c>
      <c r="F134">
        <v>113.0649248</v>
      </c>
      <c r="G134" t="s">
        <v>3035</v>
      </c>
      <c r="H134">
        <v>82325</v>
      </c>
      <c r="I134" t="s">
        <v>3036</v>
      </c>
    </row>
    <row r="135" spans="1:9" x14ac:dyDescent="0.25">
      <c r="A135" t="s">
        <v>3033</v>
      </c>
      <c r="B135" t="s">
        <v>3501</v>
      </c>
      <c r="C135" t="s">
        <v>3037</v>
      </c>
      <c r="D135">
        <v>35.504506429999999</v>
      </c>
      <c r="E135" t="s">
        <v>3034</v>
      </c>
      <c r="F135">
        <v>111.5342879</v>
      </c>
      <c r="G135" t="s">
        <v>3035</v>
      </c>
      <c r="H135">
        <v>83478</v>
      </c>
      <c r="I135" t="s">
        <v>3036</v>
      </c>
    </row>
    <row r="136" spans="1:9" x14ac:dyDescent="0.25">
      <c r="A136" t="s">
        <v>3033</v>
      </c>
      <c r="B136" t="s">
        <v>3502</v>
      </c>
      <c r="C136" t="s">
        <v>3037</v>
      </c>
      <c r="D136">
        <v>35.6072609</v>
      </c>
      <c r="E136" t="s">
        <v>3034</v>
      </c>
      <c r="F136">
        <v>111.14020910000001</v>
      </c>
      <c r="G136" t="s">
        <v>3035</v>
      </c>
      <c r="H136">
        <v>41121</v>
      </c>
      <c r="I136" t="s">
        <v>3036</v>
      </c>
    </row>
    <row r="137" spans="1:9" x14ac:dyDescent="0.25">
      <c r="A137" t="s">
        <v>3033</v>
      </c>
      <c r="B137" t="s">
        <v>3052</v>
      </c>
      <c r="C137" t="s">
        <v>3037</v>
      </c>
      <c r="D137">
        <v>36.766292460000003</v>
      </c>
      <c r="E137" t="s">
        <v>3034</v>
      </c>
      <c r="F137">
        <v>112.5753531</v>
      </c>
      <c r="G137" t="s">
        <v>3035</v>
      </c>
      <c r="H137">
        <v>11026</v>
      </c>
      <c r="I137" t="s">
        <v>3036</v>
      </c>
    </row>
    <row r="138" spans="1:9" x14ac:dyDescent="0.25">
      <c r="A138" t="s">
        <v>3033</v>
      </c>
      <c r="B138" t="s">
        <v>3053</v>
      </c>
      <c r="C138" t="s">
        <v>3037</v>
      </c>
      <c r="D138">
        <v>36.719240249999999</v>
      </c>
      <c r="E138" t="s">
        <v>3034</v>
      </c>
      <c r="F138">
        <v>112.3198021</v>
      </c>
      <c r="G138" t="s">
        <v>3035</v>
      </c>
      <c r="H138">
        <v>17198</v>
      </c>
      <c r="I138" t="s">
        <v>3036</v>
      </c>
    </row>
    <row r="139" spans="1:9" x14ac:dyDescent="0.25">
      <c r="A139" t="s">
        <v>3033</v>
      </c>
      <c r="B139" t="s">
        <v>3503</v>
      </c>
      <c r="C139" t="s">
        <v>3037</v>
      </c>
      <c r="D139">
        <v>35.330579839999999</v>
      </c>
      <c r="E139" t="s">
        <v>3034</v>
      </c>
      <c r="F139">
        <v>111.0961449</v>
      </c>
      <c r="G139" t="s">
        <v>3035</v>
      </c>
      <c r="H139">
        <v>32221</v>
      </c>
      <c r="I139" t="s">
        <v>3036</v>
      </c>
    </row>
    <row r="140" spans="1:9" x14ac:dyDescent="0.25">
      <c r="A140" t="s">
        <v>3033</v>
      </c>
      <c r="B140" t="s">
        <v>3428</v>
      </c>
      <c r="C140" t="s">
        <v>3037</v>
      </c>
      <c r="D140">
        <v>38.92029625</v>
      </c>
      <c r="E140" t="s">
        <v>3034</v>
      </c>
      <c r="F140">
        <v>112.6928621</v>
      </c>
      <c r="G140" t="s">
        <v>3035</v>
      </c>
      <c r="H140">
        <v>30874</v>
      </c>
      <c r="I140" t="s">
        <v>3036</v>
      </c>
    </row>
    <row r="141" spans="1:9" x14ac:dyDescent="0.25">
      <c r="A141" t="s">
        <v>3033</v>
      </c>
      <c r="B141" t="s">
        <v>3110</v>
      </c>
      <c r="C141" t="s">
        <v>3037</v>
      </c>
      <c r="D141">
        <v>40.470364140000001</v>
      </c>
      <c r="E141" t="s">
        <v>3034</v>
      </c>
      <c r="F141">
        <v>114.02202800000001</v>
      </c>
      <c r="G141" t="s">
        <v>3035</v>
      </c>
      <c r="H141">
        <v>19421</v>
      </c>
      <c r="I141" t="s">
        <v>3036</v>
      </c>
    </row>
    <row r="142" spans="1:9" x14ac:dyDescent="0.25">
      <c r="A142" t="s">
        <v>3033</v>
      </c>
      <c r="B142" t="s">
        <v>3188</v>
      </c>
      <c r="C142" t="s">
        <v>3037</v>
      </c>
      <c r="D142">
        <v>37.201505849999997</v>
      </c>
      <c r="E142" t="s">
        <v>3034</v>
      </c>
      <c r="F142">
        <v>112.1754121</v>
      </c>
      <c r="G142" t="s">
        <v>3035</v>
      </c>
      <c r="H142">
        <v>133675</v>
      </c>
      <c r="I142" t="s">
        <v>3036</v>
      </c>
    </row>
    <row r="143" spans="1:9" x14ac:dyDescent="0.25">
      <c r="A143" t="s">
        <v>3033</v>
      </c>
      <c r="B143" t="s">
        <v>3504</v>
      </c>
      <c r="C143" t="s">
        <v>3037</v>
      </c>
      <c r="D143">
        <v>34.678588390000002</v>
      </c>
      <c r="E143" t="s">
        <v>3034</v>
      </c>
      <c r="F143">
        <v>110.67122209999999</v>
      </c>
      <c r="G143" t="s">
        <v>3035</v>
      </c>
      <c r="H143">
        <v>91225</v>
      </c>
      <c r="I143" t="s">
        <v>3036</v>
      </c>
    </row>
    <row r="144" spans="1:9" x14ac:dyDescent="0.25">
      <c r="A144" t="s">
        <v>3033</v>
      </c>
      <c r="B144" t="s">
        <v>3054</v>
      </c>
      <c r="C144" t="s">
        <v>3037</v>
      </c>
      <c r="D144">
        <v>36.592480199999997</v>
      </c>
      <c r="E144" t="s">
        <v>3034</v>
      </c>
      <c r="F144">
        <v>112.5873799</v>
      </c>
      <c r="G144" t="s">
        <v>3035</v>
      </c>
      <c r="H144">
        <v>13003</v>
      </c>
      <c r="I144" t="s">
        <v>3036</v>
      </c>
    </row>
    <row r="145" spans="1:9" x14ac:dyDescent="0.25">
      <c r="A145" t="s">
        <v>3033</v>
      </c>
      <c r="B145" t="s">
        <v>3189</v>
      </c>
      <c r="C145" t="s">
        <v>3037</v>
      </c>
      <c r="D145">
        <v>37.281778670000001</v>
      </c>
      <c r="E145" t="s">
        <v>3034</v>
      </c>
      <c r="F145">
        <v>112.3933157</v>
      </c>
      <c r="G145" t="s">
        <v>3035</v>
      </c>
      <c r="H145">
        <v>31538</v>
      </c>
      <c r="I145" t="s">
        <v>3036</v>
      </c>
    </row>
    <row r="146" spans="1:9" x14ac:dyDescent="0.25">
      <c r="A146" t="s">
        <v>3033</v>
      </c>
      <c r="B146" t="s">
        <v>3247</v>
      </c>
      <c r="C146" t="s">
        <v>3037</v>
      </c>
      <c r="D146">
        <v>36.444424519999998</v>
      </c>
      <c r="E146" t="s">
        <v>3034</v>
      </c>
      <c r="F146">
        <v>111.9804481</v>
      </c>
      <c r="G146" t="s">
        <v>3035</v>
      </c>
      <c r="H146">
        <v>12612</v>
      </c>
      <c r="I146" t="s">
        <v>3036</v>
      </c>
    </row>
    <row r="147" spans="1:9" x14ac:dyDescent="0.25">
      <c r="A147" t="s">
        <v>3033</v>
      </c>
      <c r="B147" t="s">
        <v>3505</v>
      </c>
      <c r="C147" t="s">
        <v>3037</v>
      </c>
      <c r="D147">
        <v>35.337619340000003</v>
      </c>
      <c r="E147" t="s">
        <v>3034</v>
      </c>
      <c r="F147">
        <v>110.9257258</v>
      </c>
      <c r="G147" t="s">
        <v>3035</v>
      </c>
      <c r="H147">
        <v>24910</v>
      </c>
      <c r="I147" t="s">
        <v>3036</v>
      </c>
    </row>
    <row r="148" spans="1:9" x14ac:dyDescent="0.25">
      <c r="A148" t="s">
        <v>3033</v>
      </c>
      <c r="B148" t="s">
        <v>3506</v>
      </c>
      <c r="C148" t="s">
        <v>3037</v>
      </c>
      <c r="D148">
        <v>34.75405713</v>
      </c>
      <c r="E148" t="s">
        <v>3034</v>
      </c>
      <c r="F148">
        <v>110.3005565</v>
      </c>
      <c r="G148" t="s">
        <v>3035</v>
      </c>
      <c r="H148">
        <v>22630</v>
      </c>
      <c r="I148" t="s">
        <v>3036</v>
      </c>
    </row>
    <row r="149" spans="1:9" x14ac:dyDescent="0.25">
      <c r="A149" t="s">
        <v>3033</v>
      </c>
      <c r="B149" t="s">
        <v>3190</v>
      </c>
      <c r="C149" t="s">
        <v>3037</v>
      </c>
      <c r="D149">
        <v>36.933805569999997</v>
      </c>
      <c r="E149" t="s">
        <v>3034</v>
      </c>
      <c r="F149">
        <v>112.9342774</v>
      </c>
      <c r="G149" t="s">
        <v>3035</v>
      </c>
      <c r="H149">
        <v>13063</v>
      </c>
      <c r="I149" t="s">
        <v>3036</v>
      </c>
    </row>
    <row r="150" spans="1:9" x14ac:dyDescent="0.25">
      <c r="A150" t="s">
        <v>3033</v>
      </c>
      <c r="B150" t="s">
        <v>3055</v>
      </c>
      <c r="C150" t="s">
        <v>3037</v>
      </c>
      <c r="D150">
        <v>36.14216759</v>
      </c>
      <c r="E150" t="s">
        <v>3034</v>
      </c>
      <c r="F150">
        <v>113.0246827</v>
      </c>
      <c r="G150" t="s">
        <v>3035</v>
      </c>
      <c r="H150">
        <v>26480</v>
      </c>
      <c r="I150" t="s">
        <v>3036</v>
      </c>
    </row>
    <row r="151" spans="1:9" x14ac:dyDescent="0.25">
      <c r="A151" t="s">
        <v>3033</v>
      </c>
      <c r="B151" t="s">
        <v>3395</v>
      </c>
      <c r="C151" t="s">
        <v>3037</v>
      </c>
      <c r="D151">
        <v>37.86741911</v>
      </c>
      <c r="E151" t="s">
        <v>3034</v>
      </c>
      <c r="F151">
        <v>112.67948749999999</v>
      </c>
      <c r="G151" t="s">
        <v>3035</v>
      </c>
      <c r="H151">
        <v>84298</v>
      </c>
      <c r="I151" t="s">
        <v>3036</v>
      </c>
    </row>
    <row r="152" spans="1:9" x14ac:dyDescent="0.25">
      <c r="A152" t="s">
        <v>3033</v>
      </c>
      <c r="B152" t="s">
        <v>3144</v>
      </c>
      <c r="C152" t="s">
        <v>3037</v>
      </c>
      <c r="D152">
        <v>35.340025199999999</v>
      </c>
      <c r="E152" t="s">
        <v>3034</v>
      </c>
      <c r="F152">
        <v>112.2957293</v>
      </c>
      <c r="G152" t="s">
        <v>3035</v>
      </c>
      <c r="H152">
        <v>12116</v>
      </c>
      <c r="I152" t="s">
        <v>3036</v>
      </c>
    </row>
    <row r="153" spans="1:9" x14ac:dyDescent="0.25">
      <c r="A153" t="s">
        <v>3033</v>
      </c>
      <c r="B153" t="s">
        <v>3429</v>
      </c>
      <c r="C153" t="s">
        <v>3037</v>
      </c>
      <c r="D153">
        <v>38.508268260000001</v>
      </c>
      <c r="E153" t="s">
        <v>3034</v>
      </c>
      <c r="F153">
        <v>113.16404369999999</v>
      </c>
      <c r="G153" t="s">
        <v>3035</v>
      </c>
      <c r="H153">
        <v>27363</v>
      </c>
      <c r="I153" t="s">
        <v>3036</v>
      </c>
    </row>
    <row r="154" spans="1:9" x14ac:dyDescent="0.25">
      <c r="A154" t="s">
        <v>3033</v>
      </c>
      <c r="B154" t="s">
        <v>3248</v>
      </c>
      <c r="C154" t="s">
        <v>3037</v>
      </c>
      <c r="D154">
        <v>36.300722039999997</v>
      </c>
      <c r="E154" t="s">
        <v>3034</v>
      </c>
      <c r="F154">
        <v>112.2944502</v>
      </c>
      <c r="G154" t="s">
        <v>3035</v>
      </c>
      <c r="H154">
        <v>10123</v>
      </c>
      <c r="I154" t="s">
        <v>3036</v>
      </c>
    </row>
    <row r="155" spans="1:9" x14ac:dyDescent="0.25">
      <c r="A155" t="s">
        <v>3033</v>
      </c>
      <c r="B155" t="s">
        <v>5034</v>
      </c>
      <c r="C155" t="s">
        <v>3037</v>
      </c>
      <c r="D155">
        <v>38.002964570000003</v>
      </c>
      <c r="E155" t="s">
        <v>3034</v>
      </c>
      <c r="F155">
        <v>113.5280684</v>
      </c>
      <c r="G155" t="s">
        <v>3035</v>
      </c>
      <c r="H155">
        <v>44032</v>
      </c>
      <c r="I155" t="s">
        <v>3036</v>
      </c>
    </row>
    <row r="156" spans="1:9" x14ac:dyDescent="0.25">
      <c r="A156" t="s">
        <v>3033</v>
      </c>
      <c r="B156" t="s">
        <v>5035</v>
      </c>
      <c r="C156" t="s">
        <v>3037</v>
      </c>
      <c r="D156">
        <v>35.329667290000003</v>
      </c>
      <c r="E156" t="s">
        <v>3034</v>
      </c>
      <c r="F156">
        <v>111.38690769999999</v>
      </c>
      <c r="G156" t="s">
        <v>3035</v>
      </c>
      <c r="H156">
        <v>35092</v>
      </c>
      <c r="I156" t="s">
        <v>3036</v>
      </c>
    </row>
    <row r="157" spans="1:9" x14ac:dyDescent="0.25">
      <c r="A157" t="s">
        <v>3033</v>
      </c>
      <c r="B157" t="s">
        <v>3249</v>
      </c>
      <c r="C157" t="s">
        <v>3037</v>
      </c>
      <c r="D157">
        <v>36.306951329999997</v>
      </c>
      <c r="E157" t="s">
        <v>3034</v>
      </c>
      <c r="F157">
        <v>111.23104720000001</v>
      </c>
      <c r="G157" t="s">
        <v>3035</v>
      </c>
      <c r="H157">
        <v>20121</v>
      </c>
      <c r="I157" t="s">
        <v>3036</v>
      </c>
    </row>
    <row r="158" spans="1:9" x14ac:dyDescent="0.25">
      <c r="A158" t="s">
        <v>3033</v>
      </c>
      <c r="B158" t="s">
        <v>3396</v>
      </c>
      <c r="C158" t="s">
        <v>3037</v>
      </c>
      <c r="D158">
        <v>37.989066020000003</v>
      </c>
      <c r="E158" t="s">
        <v>3034</v>
      </c>
      <c r="F158">
        <v>112.2333824</v>
      </c>
      <c r="G158" t="s">
        <v>3035</v>
      </c>
      <c r="H158">
        <v>15161</v>
      </c>
      <c r="I158" t="s">
        <v>3036</v>
      </c>
    </row>
    <row r="159" spans="1:9" x14ac:dyDescent="0.25">
      <c r="A159" t="s">
        <v>3033</v>
      </c>
      <c r="B159" t="s">
        <v>3145</v>
      </c>
      <c r="C159" t="s">
        <v>3037</v>
      </c>
      <c r="D159">
        <v>35.331590400000003</v>
      </c>
      <c r="E159" t="s">
        <v>3034</v>
      </c>
      <c r="F159">
        <v>112.1536509</v>
      </c>
      <c r="G159" t="s">
        <v>3035</v>
      </c>
      <c r="H159">
        <v>3826</v>
      </c>
      <c r="I159" t="s">
        <v>3036</v>
      </c>
    </row>
    <row r="160" spans="1:9" x14ac:dyDescent="0.25">
      <c r="A160" t="s">
        <v>3033</v>
      </c>
      <c r="B160" t="s">
        <v>3191</v>
      </c>
      <c r="C160" t="s">
        <v>3037</v>
      </c>
      <c r="D160">
        <v>37.351488920000001</v>
      </c>
      <c r="E160" t="s">
        <v>3034</v>
      </c>
      <c r="F160">
        <v>113.1739565</v>
      </c>
      <c r="G160" t="s">
        <v>3035</v>
      </c>
      <c r="H160">
        <v>4540</v>
      </c>
      <c r="I160" t="s">
        <v>3036</v>
      </c>
    </row>
    <row r="161" spans="1:9" x14ac:dyDescent="0.25">
      <c r="A161" t="s">
        <v>3033</v>
      </c>
      <c r="B161" t="s">
        <v>3507</v>
      </c>
      <c r="C161" t="s">
        <v>3037</v>
      </c>
      <c r="D161">
        <v>35.540674840000001</v>
      </c>
      <c r="E161" t="s">
        <v>3034</v>
      </c>
      <c r="F161">
        <v>111.2173195</v>
      </c>
      <c r="G161" t="s">
        <v>3035</v>
      </c>
      <c r="H161">
        <v>40154</v>
      </c>
      <c r="I161" t="s">
        <v>3036</v>
      </c>
    </row>
    <row r="162" spans="1:9" x14ac:dyDescent="0.25">
      <c r="A162" t="s">
        <v>3033</v>
      </c>
      <c r="B162" t="s">
        <v>3508</v>
      </c>
      <c r="C162" t="s">
        <v>3037</v>
      </c>
      <c r="D162">
        <v>35.457389489999997</v>
      </c>
      <c r="E162" t="s">
        <v>3034</v>
      </c>
      <c r="F162">
        <v>111.4394552</v>
      </c>
      <c r="G162" t="s">
        <v>3035</v>
      </c>
      <c r="H162">
        <v>46681</v>
      </c>
      <c r="I162" t="s">
        <v>3036</v>
      </c>
    </row>
    <row r="163" spans="1:9" x14ac:dyDescent="0.25">
      <c r="A163" t="s">
        <v>3033</v>
      </c>
      <c r="B163" t="s">
        <v>3250</v>
      </c>
      <c r="C163" t="s">
        <v>3037</v>
      </c>
      <c r="D163">
        <v>36.520642459999998</v>
      </c>
      <c r="E163" t="s">
        <v>3034</v>
      </c>
      <c r="F163">
        <v>111.54470379999999</v>
      </c>
      <c r="G163" t="s">
        <v>3035</v>
      </c>
      <c r="H163">
        <v>13853</v>
      </c>
      <c r="I163" t="s">
        <v>3036</v>
      </c>
    </row>
    <row r="164" spans="1:9" x14ac:dyDescent="0.25">
      <c r="A164" t="s">
        <v>3033</v>
      </c>
      <c r="B164" t="s">
        <v>3146</v>
      </c>
      <c r="C164" t="s">
        <v>3037</v>
      </c>
      <c r="D164">
        <v>35.70450357</v>
      </c>
      <c r="E164" t="s">
        <v>3034</v>
      </c>
      <c r="F164">
        <v>112.9424167</v>
      </c>
      <c r="G164" t="s">
        <v>3035</v>
      </c>
      <c r="H164">
        <v>43539</v>
      </c>
      <c r="I164" t="s">
        <v>3036</v>
      </c>
    </row>
    <row r="165" spans="1:9" x14ac:dyDescent="0.25">
      <c r="A165" t="s">
        <v>3033</v>
      </c>
      <c r="B165" t="s">
        <v>3430</v>
      </c>
      <c r="C165" t="s">
        <v>3037</v>
      </c>
      <c r="D165">
        <v>38.612863400000002</v>
      </c>
      <c r="E165" t="s">
        <v>3034</v>
      </c>
      <c r="F165">
        <v>113.0353956</v>
      </c>
      <c r="G165" t="s">
        <v>3035</v>
      </c>
      <c r="H165">
        <v>26760</v>
      </c>
      <c r="I165" t="s">
        <v>3036</v>
      </c>
    </row>
    <row r="166" spans="1:9" x14ac:dyDescent="0.25">
      <c r="A166" t="s">
        <v>3033</v>
      </c>
      <c r="B166" t="s">
        <v>3192</v>
      </c>
      <c r="C166" t="s">
        <v>3037</v>
      </c>
      <c r="D166">
        <v>37.277927769999998</v>
      </c>
      <c r="E166" t="s">
        <v>3034</v>
      </c>
      <c r="F166">
        <v>112.23344229999999</v>
      </c>
      <c r="G166" t="s">
        <v>3035</v>
      </c>
      <c r="H166">
        <v>35318</v>
      </c>
      <c r="I166" t="s">
        <v>3036</v>
      </c>
    </row>
    <row r="167" spans="1:9" x14ac:dyDescent="0.25">
      <c r="A167" t="s">
        <v>3033</v>
      </c>
      <c r="B167" t="s">
        <v>3193</v>
      </c>
      <c r="C167" t="s">
        <v>3037</v>
      </c>
      <c r="D167">
        <v>37.029959490000003</v>
      </c>
      <c r="E167" t="s">
        <v>3034</v>
      </c>
      <c r="F167">
        <v>112.02316519999999</v>
      </c>
      <c r="G167" t="s">
        <v>3035</v>
      </c>
      <c r="H167">
        <v>11335</v>
      </c>
      <c r="I167" t="s">
        <v>3036</v>
      </c>
    </row>
    <row r="168" spans="1:9" x14ac:dyDescent="0.25">
      <c r="A168" t="s">
        <v>3033</v>
      </c>
      <c r="B168" t="s">
        <v>3056</v>
      </c>
      <c r="C168" t="s">
        <v>3037</v>
      </c>
      <c r="D168">
        <v>36.868050940000003</v>
      </c>
      <c r="E168" t="s">
        <v>3034</v>
      </c>
      <c r="F168">
        <v>113.2527825</v>
      </c>
      <c r="G168" t="s">
        <v>3035</v>
      </c>
      <c r="H168">
        <v>22508</v>
      </c>
      <c r="I168" t="s">
        <v>3036</v>
      </c>
    </row>
    <row r="169" spans="1:9" x14ac:dyDescent="0.25">
      <c r="A169" t="s">
        <v>3033</v>
      </c>
      <c r="B169" t="s">
        <v>3509</v>
      </c>
      <c r="C169" t="s">
        <v>3037</v>
      </c>
      <c r="D169">
        <v>35.179748379999999</v>
      </c>
      <c r="E169" t="s">
        <v>3034</v>
      </c>
      <c r="F169">
        <v>110.8868975</v>
      </c>
      <c r="G169" t="s">
        <v>3035</v>
      </c>
      <c r="H169">
        <v>17956</v>
      </c>
      <c r="I169" t="s">
        <v>3036</v>
      </c>
    </row>
    <row r="170" spans="1:9" x14ac:dyDescent="0.25">
      <c r="A170" t="s">
        <v>3033</v>
      </c>
      <c r="B170" t="s">
        <v>3057</v>
      </c>
      <c r="C170" t="s">
        <v>3037</v>
      </c>
      <c r="D170">
        <v>36.436214499999998</v>
      </c>
      <c r="E170" t="s">
        <v>3034</v>
      </c>
      <c r="F170">
        <v>112.95088490000001</v>
      </c>
      <c r="G170" t="s">
        <v>3035</v>
      </c>
      <c r="H170">
        <v>44360</v>
      </c>
      <c r="I170" t="s">
        <v>3036</v>
      </c>
    </row>
    <row r="171" spans="1:9" x14ac:dyDescent="0.25">
      <c r="A171" t="s">
        <v>3033</v>
      </c>
      <c r="B171" t="s">
        <v>3058</v>
      </c>
      <c r="C171" t="s">
        <v>3037</v>
      </c>
      <c r="D171">
        <v>36.198208360000002</v>
      </c>
      <c r="E171" t="s">
        <v>3034</v>
      </c>
      <c r="F171">
        <v>113.0320037</v>
      </c>
      <c r="G171" t="s">
        <v>3035</v>
      </c>
      <c r="H171">
        <v>41006</v>
      </c>
      <c r="I171" t="s">
        <v>3036</v>
      </c>
    </row>
    <row r="172" spans="1:9" x14ac:dyDescent="0.25">
      <c r="A172" t="s">
        <v>3033</v>
      </c>
      <c r="B172" t="s">
        <v>3059</v>
      </c>
      <c r="C172" t="s">
        <v>3037</v>
      </c>
      <c r="D172">
        <v>36.358871219999997</v>
      </c>
      <c r="E172" t="s">
        <v>3034</v>
      </c>
      <c r="F172">
        <v>113.0744239</v>
      </c>
      <c r="G172" t="s">
        <v>3035</v>
      </c>
      <c r="H172">
        <v>35495</v>
      </c>
      <c r="I172" t="s">
        <v>3036</v>
      </c>
    </row>
    <row r="173" spans="1:9" x14ac:dyDescent="0.25">
      <c r="A173" t="s">
        <v>3033</v>
      </c>
      <c r="B173" t="s">
        <v>3251</v>
      </c>
      <c r="C173" t="s">
        <v>3037</v>
      </c>
      <c r="D173">
        <v>36.654697290000001</v>
      </c>
      <c r="E173" t="s">
        <v>3034</v>
      </c>
      <c r="F173">
        <v>111.1653397</v>
      </c>
      <c r="G173" t="s">
        <v>3035</v>
      </c>
      <c r="H173">
        <v>11469</v>
      </c>
      <c r="I173" t="s">
        <v>3036</v>
      </c>
    </row>
    <row r="174" spans="1:9" x14ac:dyDescent="0.25">
      <c r="A174" t="s">
        <v>3033</v>
      </c>
      <c r="B174" t="s">
        <v>3060</v>
      </c>
      <c r="C174" t="s">
        <v>3037</v>
      </c>
      <c r="D174">
        <v>36.806942669999998</v>
      </c>
      <c r="E174" t="s">
        <v>3034</v>
      </c>
      <c r="F174">
        <v>113.41934910000001</v>
      </c>
      <c r="G174" t="s">
        <v>3035</v>
      </c>
      <c r="H174">
        <v>13857</v>
      </c>
      <c r="I174" t="s">
        <v>3036</v>
      </c>
    </row>
    <row r="175" spans="1:9" x14ac:dyDescent="0.25">
      <c r="A175" t="s">
        <v>3033</v>
      </c>
      <c r="B175" t="s">
        <v>3397</v>
      </c>
      <c r="C175" t="s">
        <v>3037</v>
      </c>
      <c r="D175">
        <v>38.095385479999997</v>
      </c>
      <c r="E175" t="s">
        <v>3034</v>
      </c>
      <c r="F175">
        <v>112.6612616</v>
      </c>
      <c r="G175" t="s">
        <v>3035</v>
      </c>
      <c r="H175">
        <v>22233</v>
      </c>
      <c r="I175" t="s">
        <v>3036</v>
      </c>
    </row>
    <row r="176" spans="1:9" x14ac:dyDescent="0.25">
      <c r="A176" t="s">
        <v>3033</v>
      </c>
      <c r="B176" t="s">
        <v>3510</v>
      </c>
      <c r="C176" t="s">
        <v>3037</v>
      </c>
      <c r="D176">
        <v>35.653828220000001</v>
      </c>
      <c r="E176" t="s">
        <v>3034</v>
      </c>
      <c r="F176">
        <v>110.87095189999999</v>
      </c>
      <c r="G176" t="s">
        <v>3035</v>
      </c>
      <c r="H176">
        <v>39608</v>
      </c>
      <c r="I176" t="s">
        <v>3036</v>
      </c>
    </row>
    <row r="177" spans="1:9" x14ac:dyDescent="0.25">
      <c r="A177" t="s">
        <v>3033</v>
      </c>
      <c r="B177" t="s">
        <v>3194</v>
      </c>
      <c r="C177" t="s">
        <v>3037</v>
      </c>
      <c r="D177">
        <v>37.480700280000001</v>
      </c>
      <c r="E177" t="s">
        <v>3034</v>
      </c>
      <c r="F177">
        <v>112.62317210000001</v>
      </c>
      <c r="G177" t="s">
        <v>3035</v>
      </c>
      <c r="H177">
        <v>45359</v>
      </c>
      <c r="I177" t="s">
        <v>3036</v>
      </c>
    </row>
    <row r="178" spans="1:9" x14ac:dyDescent="0.25">
      <c r="A178" t="s">
        <v>3033</v>
      </c>
      <c r="B178" t="s">
        <v>3252</v>
      </c>
      <c r="C178" t="s">
        <v>3037</v>
      </c>
      <c r="D178">
        <v>36.133362429999998</v>
      </c>
      <c r="E178" t="s">
        <v>3034</v>
      </c>
      <c r="F178">
        <v>110.49684139999999</v>
      </c>
      <c r="G178" t="s">
        <v>3035</v>
      </c>
      <c r="H178">
        <v>3876</v>
      </c>
      <c r="I178" t="s">
        <v>3036</v>
      </c>
    </row>
    <row r="179" spans="1:9" x14ac:dyDescent="0.25">
      <c r="A179" t="s">
        <v>3033</v>
      </c>
      <c r="B179" t="s">
        <v>3111</v>
      </c>
      <c r="C179" t="s">
        <v>3037</v>
      </c>
      <c r="D179">
        <v>39.775335839999997</v>
      </c>
      <c r="E179" t="s">
        <v>3034</v>
      </c>
      <c r="F179">
        <v>114.2694865</v>
      </c>
      <c r="G179" t="s">
        <v>3035</v>
      </c>
      <c r="H179">
        <v>66271</v>
      </c>
      <c r="I179" t="s">
        <v>3036</v>
      </c>
    </row>
    <row r="180" spans="1:9" x14ac:dyDescent="0.25">
      <c r="A180" t="s">
        <v>3033</v>
      </c>
      <c r="B180" t="s">
        <v>3147</v>
      </c>
      <c r="C180" t="s">
        <v>3037</v>
      </c>
      <c r="D180">
        <v>35.607335229999997</v>
      </c>
      <c r="E180" t="s">
        <v>3034</v>
      </c>
      <c r="F180">
        <v>112.51156109999999</v>
      </c>
      <c r="G180" t="s">
        <v>3035</v>
      </c>
      <c r="H180">
        <v>38076</v>
      </c>
      <c r="I180" t="s">
        <v>3036</v>
      </c>
    </row>
    <row r="181" spans="1:9" x14ac:dyDescent="0.25">
      <c r="A181" t="s">
        <v>3033</v>
      </c>
      <c r="B181" t="s">
        <v>3310</v>
      </c>
      <c r="C181" t="s">
        <v>3037</v>
      </c>
      <c r="D181">
        <v>37.318716369999997</v>
      </c>
      <c r="E181" t="s">
        <v>3034</v>
      </c>
      <c r="F181">
        <v>111.8361182</v>
      </c>
      <c r="G181" t="s">
        <v>3035</v>
      </c>
      <c r="H181">
        <v>30070</v>
      </c>
      <c r="I181" t="s">
        <v>3036</v>
      </c>
    </row>
    <row r="182" spans="1:9" x14ac:dyDescent="0.25">
      <c r="A182" t="s">
        <v>3033</v>
      </c>
      <c r="B182" t="s">
        <v>3195</v>
      </c>
      <c r="C182" t="s">
        <v>3037</v>
      </c>
      <c r="D182">
        <v>37.433307859999999</v>
      </c>
      <c r="E182" t="s">
        <v>3034</v>
      </c>
      <c r="F182">
        <v>112.3627657</v>
      </c>
      <c r="G182" t="s">
        <v>3035</v>
      </c>
      <c r="H182">
        <v>25942</v>
      </c>
      <c r="I182" t="s">
        <v>3036</v>
      </c>
    </row>
    <row r="183" spans="1:9" x14ac:dyDescent="0.25">
      <c r="A183" t="s">
        <v>3033</v>
      </c>
      <c r="B183" t="s">
        <v>3061</v>
      </c>
      <c r="C183" t="s">
        <v>3037</v>
      </c>
      <c r="D183">
        <v>36.753485599999998</v>
      </c>
      <c r="E183" t="s">
        <v>3034</v>
      </c>
      <c r="F183">
        <v>113.0160561</v>
      </c>
      <c r="G183" t="s">
        <v>3035</v>
      </c>
      <c r="H183">
        <v>8683</v>
      </c>
      <c r="I183" t="s">
        <v>3036</v>
      </c>
    </row>
    <row r="184" spans="1:9" x14ac:dyDescent="0.25">
      <c r="A184" t="s">
        <v>3033</v>
      </c>
      <c r="B184" t="s">
        <v>3062</v>
      </c>
      <c r="C184" t="s">
        <v>3037</v>
      </c>
      <c r="D184">
        <v>36.10595386</v>
      </c>
      <c r="E184" t="s">
        <v>3034</v>
      </c>
      <c r="F184">
        <v>113.1495257</v>
      </c>
      <c r="G184" t="s">
        <v>3035</v>
      </c>
      <c r="H184">
        <v>15489</v>
      </c>
      <c r="I184" t="s">
        <v>3036</v>
      </c>
    </row>
    <row r="185" spans="1:9" x14ac:dyDescent="0.25">
      <c r="A185" t="s">
        <v>3033</v>
      </c>
      <c r="B185" t="s">
        <v>3253</v>
      </c>
      <c r="C185" t="s">
        <v>3037</v>
      </c>
      <c r="D185">
        <v>36.114659930000002</v>
      </c>
      <c r="E185" t="s">
        <v>3034</v>
      </c>
      <c r="F185">
        <v>110.6682854</v>
      </c>
      <c r="G185" t="s">
        <v>3035</v>
      </c>
      <c r="H185">
        <v>43389</v>
      </c>
      <c r="I185" t="s">
        <v>3036</v>
      </c>
    </row>
    <row r="186" spans="1:9" x14ac:dyDescent="0.25">
      <c r="A186" t="s">
        <v>3033</v>
      </c>
      <c r="B186" t="s">
        <v>3196</v>
      </c>
      <c r="C186" t="s">
        <v>3037</v>
      </c>
      <c r="D186">
        <v>37.076995740000001</v>
      </c>
      <c r="E186" t="s">
        <v>3034</v>
      </c>
      <c r="F186">
        <v>112.9915754</v>
      </c>
      <c r="G186" t="s">
        <v>3035</v>
      </c>
      <c r="H186">
        <v>43484</v>
      </c>
      <c r="I186" t="s">
        <v>3036</v>
      </c>
    </row>
    <row r="187" spans="1:9" x14ac:dyDescent="0.25">
      <c r="A187" t="s">
        <v>3033</v>
      </c>
      <c r="B187" t="s">
        <v>3311</v>
      </c>
      <c r="C187" t="s">
        <v>3037</v>
      </c>
      <c r="D187">
        <v>37.301279340000001</v>
      </c>
      <c r="E187" t="s">
        <v>3034</v>
      </c>
      <c r="F187">
        <v>111.95499959999999</v>
      </c>
      <c r="G187" t="s">
        <v>3035</v>
      </c>
      <c r="H187">
        <v>39138</v>
      </c>
      <c r="I187" t="s">
        <v>3036</v>
      </c>
    </row>
    <row r="188" spans="1:9" x14ac:dyDescent="0.25">
      <c r="A188" t="s">
        <v>3033</v>
      </c>
      <c r="B188" t="s">
        <v>3511</v>
      </c>
      <c r="C188" t="s">
        <v>3037</v>
      </c>
      <c r="D188">
        <v>35.417465900000003</v>
      </c>
      <c r="E188" t="s">
        <v>3034</v>
      </c>
      <c r="F188">
        <v>110.85217249999999</v>
      </c>
      <c r="G188" t="s">
        <v>3035</v>
      </c>
      <c r="H188">
        <v>81386</v>
      </c>
      <c r="I188" t="s">
        <v>3036</v>
      </c>
    </row>
    <row r="189" spans="1:9" x14ac:dyDescent="0.25">
      <c r="A189" t="s">
        <v>3033</v>
      </c>
      <c r="B189" t="s">
        <v>3312</v>
      </c>
      <c r="C189" t="s">
        <v>3037</v>
      </c>
      <c r="D189">
        <v>38.49982181</v>
      </c>
      <c r="E189" t="s">
        <v>3034</v>
      </c>
      <c r="F189">
        <v>111.48199630000001</v>
      </c>
      <c r="G189" t="s">
        <v>3035</v>
      </c>
      <c r="H189">
        <v>5371</v>
      </c>
      <c r="I189" t="s">
        <v>3036</v>
      </c>
    </row>
    <row r="190" spans="1:9" x14ac:dyDescent="0.25">
      <c r="A190" t="s">
        <v>3033</v>
      </c>
      <c r="B190" t="s">
        <v>3512</v>
      </c>
      <c r="C190" t="s">
        <v>3037</v>
      </c>
      <c r="D190">
        <v>34.912697999999999</v>
      </c>
      <c r="E190" t="s">
        <v>3034</v>
      </c>
      <c r="F190">
        <v>110.8850211</v>
      </c>
      <c r="G190" t="s">
        <v>3035</v>
      </c>
      <c r="H190">
        <v>57773</v>
      </c>
      <c r="I190" t="s">
        <v>3036</v>
      </c>
    </row>
    <row r="191" spans="1:9" x14ac:dyDescent="0.25">
      <c r="A191" t="s">
        <v>3033</v>
      </c>
      <c r="B191" t="s">
        <v>3513</v>
      </c>
      <c r="C191" t="s">
        <v>3037</v>
      </c>
      <c r="D191">
        <v>35.603558450000001</v>
      </c>
      <c r="E191" t="s">
        <v>3034</v>
      </c>
      <c r="F191">
        <v>110.97403319999999</v>
      </c>
      <c r="G191" t="s">
        <v>3035</v>
      </c>
      <c r="H191">
        <v>132509</v>
      </c>
      <c r="I191" t="s">
        <v>3036</v>
      </c>
    </row>
    <row r="192" spans="1:9" x14ac:dyDescent="0.25">
      <c r="A192" t="s">
        <v>3033</v>
      </c>
      <c r="B192" t="s">
        <v>3431</v>
      </c>
      <c r="C192" t="s">
        <v>3037</v>
      </c>
      <c r="D192">
        <v>38.48773637</v>
      </c>
      <c r="E192" t="s">
        <v>3034</v>
      </c>
      <c r="F192">
        <v>112.95883689999999</v>
      </c>
      <c r="G192" t="s">
        <v>3035</v>
      </c>
      <c r="H192">
        <v>54533</v>
      </c>
      <c r="I192" t="s">
        <v>3036</v>
      </c>
    </row>
    <row r="193" spans="1:9" x14ac:dyDescent="0.25">
      <c r="A193" t="s">
        <v>3033</v>
      </c>
      <c r="B193" t="s">
        <v>3376</v>
      </c>
      <c r="C193" t="s">
        <v>3037</v>
      </c>
      <c r="D193">
        <v>39.561761400000002</v>
      </c>
      <c r="E193" t="s">
        <v>3034</v>
      </c>
      <c r="F193">
        <v>113.1689155</v>
      </c>
      <c r="G193" t="s">
        <v>3035</v>
      </c>
      <c r="H193">
        <v>105038</v>
      </c>
      <c r="I193" t="s">
        <v>3036</v>
      </c>
    </row>
    <row r="194" spans="1:9" x14ac:dyDescent="0.25">
      <c r="A194" t="s">
        <v>3033</v>
      </c>
      <c r="B194" t="s">
        <v>3398</v>
      </c>
      <c r="C194" t="s">
        <v>3037</v>
      </c>
      <c r="D194">
        <v>37.710887800000002</v>
      </c>
      <c r="E194" t="s">
        <v>3034</v>
      </c>
      <c r="F194">
        <v>112.4146507</v>
      </c>
      <c r="G194" t="s">
        <v>3035</v>
      </c>
      <c r="H194">
        <v>40871</v>
      </c>
      <c r="I194" t="s">
        <v>3036</v>
      </c>
    </row>
    <row r="195" spans="1:9" x14ac:dyDescent="0.25">
      <c r="A195" t="s">
        <v>3033</v>
      </c>
      <c r="B195" t="s">
        <v>3148</v>
      </c>
      <c r="C195" t="s">
        <v>3037</v>
      </c>
      <c r="D195">
        <v>35.470387080000002</v>
      </c>
      <c r="E195" t="s">
        <v>3034</v>
      </c>
      <c r="F195">
        <v>112.9641701</v>
      </c>
      <c r="G195" t="s">
        <v>3035</v>
      </c>
      <c r="H195">
        <v>51880</v>
      </c>
      <c r="I195" t="s">
        <v>3036</v>
      </c>
    </row>
    <row r="196" spans="1:9" x14ac:dyDescent="0.25">
      <c r="A196" t="s">
        <v>3033</v>
      </c>
      <c r="B196" t="s">
        <v>3254</v>
      </c>
      <c r="C196" t="s">
        <v>3037</v>
      </c>
      <c r="D196">
        <v>36.075173360000001</v>
      </c>
      <c r="E196" t="s">
        <v>3034</v>
      </c>
      <c r="F196">
        <v>111.38427969999999</v>
      </c>
      <c r="G196" t="s">
        <v>3035</v>
      </c>
      <c r="H196">
        <v>65795</v>
      </c>
      <c r="I196" t="s">
        <v>3036</v>
      </c>
    </row>
    <row r="197" spans="1:9" x14ac:dyDescent="0.25">
      <c r="A197" t="s">
        <v>3033</v>
      </c>
      <c r="B197" t="s">
        <v>3377</v>
      </c>
      <c r="C197" t="s">
        <v>3037</v>
      </c>
      <c r="D197">
        <v>39.532071960000003</v>
      </c>
      <c r="E197" t="s">
        <v>3034</v>
      </c>
      <c r="F197">
        <v>112.25327729999999</v>
      </c>
      <c r="G197" t="s">
        <v>3035</v>
      </c>
      <c r="H197">
        <v>101297</v>
      </c>
      <c r="I197" t="s">
        <v>3036</v>
      </c>
    </row>
    <row r="198" spans="1:9" x14ac:dyDescent="0.25">
      <c r="A198" t="s">
        <v>3033</v>
      </c>
      <c r="B198" t="s">
        <v>3197</v>
      </c>
      <c r="C198" t="s">
        <v>3037</v>
      </c>
      <c r="D198">
        <v>36.902864649999998</v>
      </c>
      <c r="E198" t="s">
        <v>3034</v>
      </c>
      <c r="F198">
        <v>111.8563561</v>
      </c>
      <c r="G198" t="s">
        <v>3035</v>
      </c>
      <c r="H198">
        <v>28767</v>
      </c>
      <c r="I198" t="s">
        <v>3036</v>
      </c>
    </row>
    <row r="199" spans="1:9" x14ac:dyDescent="0.25">
      <c r="A199" t="s">
        <v>3033</v>
      </c>
      <c r="B199" t="s">
        <v>3399</v>
      </c>
      <c r="C199" t="s">
        <v>3037</v>
      </c>
      <c r="D199">
        <v>38.158584300000001</v>
      </c>
      <c r="E199" t="s">
        <v>3034</v>
      </c>
      <c r="F199">
        <v>111.7970318</v>
      </c>
      <c r="G199" t="s">
        <v>3035</v>
      </c>
      <c r="H199">
        <v>17921</v>
      </c>
      <c r="I199" t="s">
        <v>3036</v>
      </c>
    </row>
    <row r="200" spans="1:9" x14ac:dyDescent="0.25">
      <c r="A200" t="s">
        <v>3033</v>
      </c>
      <c r="B200" t="s">
        <v>3313</v>
      </c>
      <c r="C200" t="s">
        <v>3037</v>
      </c>
      <c r="D200">
        <v>37.42824057</v>
      </c>
      <c r="E200" t="s">
        <v>3034</v>
      </c>
      <c r="F200">
        <v>111.10995200000001</v>
      </c>
      <c r="G200" t="s">
        <v>3035</v>
      </c>
      <c r="H200">
        <v>21834</v>
      </c>
      <c r="I200" t="s">
        <v>3036</v>
      </c>
    </row>
    <row r="201" spans="1:9" x14ac:dyDescent="0.25">
      <c r="A201" t="s">
        <v>3033</v>
      </c>
      <c r="B201" t="s">
        <v>3149</v>
      </c>
      <c r="C201" t="s">
        <v>3037</v>
      </c>
      <c r="D201">
        <v>35.308577390000004</v>
      </c>
      <c r="E201" t="s">
        <v>3034</v>
      </c>
      <c r="F201">
        <v>112.8652809</v>
      </c>
      <c r="G201" t="s">
        <v>3035</v>
      </c>
      <c r="H201">
        <v>19107</v>
      </c>
      <c r="I201" t="s">
        <v>3036</v>
      </c>
    </row>
    <row r="202" spans="1:9" x14ac:dyDescent="0.25">
      <c r="A202" t="s">
        <v>3033</v>
      </c>
      <c r="B202" t="s">
        <v>3378</v>
      </c>
      <c r="C202" t="s">
        <v>3037</v>
      </c>
      <c r="D202">
        <v>39.674487569999997</v>
      </c>
      <c r="E202" t="s">
        <v>3034</v>
      </c>
      <c r="F202">
        <v>112.89985470000001</v>
      </c>
      <c r="G202" t="s">
        <v>3035</v>
      </c>
      <c r="H202">
        <v>21144</v>
      </c>
      <c r="I202" t="s">
        <v>3036</v>
      </c>
    </row>
    <row r="203" spans="1:9" x14ac:dyDescent="0.25">
      <c r="A203" t="s">
        <v>3033</v>
      </c>
      <c r="B203" t="s">
        <v>3400</v>
      </c>
      <c r="C203" t="s">
        <v>3037</v>
      </c>
      <c r="D203">
        <v>37.780345339999997</v>
      </c>
      <c r="E203" t="s">
        <v>3034</v>
      </c>
      <c r="F203">
        <v>112.479365</v>
      </c>
      <c r="G203" t="s">
        <v>3035</v>
      </c>
      <c r="H203">
        <v>39489</v>
      </c>
      <c r="I203" t="s">
        <v>3036</v>
      </c>
    </row>
    <row r="204" spans="1:9" x14ac:dyDescent="0.25">
      <c r="A204" t="s">
        <v>3033</v>
      </c>
      <c r="B204" t="s">
        <v>3063</v>
      </c>
      <c r="C204" t="s">
        <v>3037</v>
      </c>
      <c r="D204">
        <v>36.083664540000001</v>
      </c>
      <c r="E204" t="s">
        <v>3034</v>
      </c>
      <c r="F204">
        <v>113.3277523</v>
      </c>
      <c r="G204" t="s">
        <v>3035</v>
      </c>
      <c r="H204">
        <v>24848</v>
      </c>
      <c r="I204" t="s">
        <v>3036</v>
      </c>
    </row>
    <row r="205" spans="1:9" x14ac:dyDescent="0.25">
      <c r="A205" t="s">
        <v>3033</v>
      </c>
      <c r="B205" t="s">
        <v>3255</v>
      </c>
      <c r="C205" t="s">
        <v>3037</v>
      </c>
      <c r="D205">
        <v>36.047820100000003</v>
      </c>
      <c r="E205" t="s">
        <v>3034</v>
      </c>
      <c r="F205">
        <v>112.2374623</v>
      </c>
      <c r="G205" t="s">
        <v>3035</v>
      </c>
      <c r="H205">
        <v>9461</v>
      </c>
      <c r="I205" t="s">
        <v>3036</v>
      </c>
    </row>
    <row r="206" spans="1:9" x14ac:dyDescent="0.25">
      <c r="A206" t="s">
        <v>3033</v>
      </c>
      <c r="B206" t="s">
        <v>5036</v>
      </c>
      <c r="C206" t="s">
        <v>3037</v>
      </c>
      <c r="D206">
        <v>36.162333590000003</v>
      </c>
      <c r="E206" t="s">
        <v>3034</v>
      </c>
      <c r="F206">
        <v>111.9810916</v>
      </c>
      <c r="G206" t="s">
        <v>3035</v>
      </c>
      <c r="H206">
        <v>11098</v>
      </c>
      <c r="I206" t="s">
        <v>3036</v>
      </c>
    </row>
    <row r="207" spans="1:9" x14ac:dyDescent="0.25">
      <c r="A207" t="s">
        <v>3033</v>
      </c>
      <c r="B207" t="s">
        <v>5037</v>
      </c>
      <c r="C207" t="s">
        <v>3037</v>
      </c>
      <c r="D207">
        <v>39.158884329999999</v>
      </c>
      <c r="E207" t="s">
        <v>3034</v>
      </c>
      <c r="F207">
        <v>111.2055969</v>
      </c>
      <c r="G207" t="s">
        <v>3035</v>
      </c>
      <c r="H207">
        <v>6372</v>
      </c>
      <c r="I207" t="s">
        <v>3036</v>
      </c>
    </row>
    <row r="208" spans="1:9" x14ac:dyDescent="0.25">
      <c r="A208" t="s">
        <v>3033</v>
      </c>
      <c r="B208" t="s">
        <v>3472</v>
      </c>
      <c r="C208" t="s">
        <v>3037</v>
      </c>
      <c r="D208">
        <v>37.904191259999997</v>
      </c>
      <c r="E208" t="s">
        <v>3034</v>
      </c>
      <c r="F208">
        <v>113.74075809999999</v>
      </c>
      <c r="G208" t="s">
        <v>3035</v>
      </c>
      <c r="H208">
        <v>27018</v>
      </c>
      <c r="I208" t="s">
        <v>3036</v>
      </c>
    </row>
    <row r="209" spans="1:9" x14ac:dyDescent="0.25">
      <c r="A209" t="s">
        <v>3033</v>
      </c>
      <c r="B209" t="s">
        <v>3314</v>
      </c>
      <c r="C209" t="s">
        <v>3037</v>
      </c>
      <c r="D209">
        <v>37.514913559999997</v>
      </c>
      <c r="E209" t="s">
        <v>3034</v>
      </c>
      <c r="F209">
        <v>111.733017</v>
      </c>
      <c r="G209" t="s">
        <v>3035</v>
      </c>
      <c r="H209">
        <v>34205</v>
      </c>
      <c r="I209" t="s">
        <v>3036</v>
      </c>
    </row>
    <row r="210" spans="1:9" x14ac:dyDescent="0.25">
      <c r="A210" t="s">
        <v>3033</v>
      </c>
      <c r="B210" t="s">
        <v>3514</v>
      </c>
      <c r="C210" t="s">
        <v>3037</v>
      </c>
      <c r="D210">
        <v>34.952562290000003</v>
      </c>
      <c r="E210" t="s">
        <v>3034</v>
      </c>
      <c r="F210">
        <v>110.5884875</v>
      </c>
      <c r="G210" t="s">
        <v>3035</v>
      </c>
      <c r="H210">
        <v>38578</v>
      </c>
      <c r="I210" t="s">
        <v>3036</v>
      </c>
    </row>
    <row r="211" spans="1:9" x14ac:dyDescent="0.25">
      <c r="A211" t="s">
        <v>3033</v>
      </c>
      <c r="B211" t="s">
        <v>3315</v>
      </c>
      <c r="C211" t="s">
        <v>3037</v>
      </c>
      <c r="D211">
        <v>36.809830099999999</v>
      </c>
      <c r="E211" t="s">
        <v>3034</v>
      </c>
      <c r="F211">
        <v>111.2892701</v>
      </c>
      <c r="G211" t="s">
        <v>3035</v>
      </c>
      <c r="H211">
        <v>14867</v>
      </c>
      <c r="I211" t="s">
        <v>3036</v>
      </c>
    </row>
    <row r="212" spans="1:9" x14ac:dyDescent="0.25">
      <c r="A212" t="s">
        <v>3033</v>
      </c>
      <c r="B212" t="s">
        <v>3432</v>
      </c>
      <c r="C212" t="s">
        <v>3037</v>
      </c>
      <c r="D212">
        <v>38.32417289</v>
      </c>
      <c r="E212" t="s">
        <v>3034</v>
      </c>
      <c r="F212">
        <v>112.18797050000001</v>
      </c>
      <c r="G212" t="s">
        <v>3035</v>
      </c>
      <c r="H212">
        <v>6480</v>
      </c>
      <c r="I212" t="s">
        <v>3036</v>
      </c>
    </row>
    <row r="213" spans="1:9" x14ac:dyDescent="0.25">
      <c r="A213" t="s">
        <v>3033</v>
      </c>
      <c r="B213" t="s">
        <v>3316</v>
      </c>
      <c r="C213" t="s">
        <v>3037</v>
      </c>
      <c r="D213">
        <v>38.31217651</v>
      </c>
      <c r="E213" t="s">
        <v>3034</v>
      </c>
      <c r="F213">
        <v>111.0789134</v>
      </c>
      <c r="G213" t="s">
        <v>3035</v>
      </c>
      <c r="H213">
        <v>17826</v>
      </c>
      <c r="I213" t="s">
        <v>3036</v>
      </c>
    </row>
    <row r="214" spans="1:9" x14ac:dyDescent="0.25">
      <c r="A214" t="s">
        <v>3033</v>
      </c>
      <c r="B214" t="s">
        <v>3515</v>
      </c>
      <c r="C214" t="s">
        <v>3037</v>
      </c>
      <c r="D214">
        <v>34.949591689999998</v>
      </c>
      <c r="E214" t="s">
        <v>3034</v>
      </c>
      <c r="F214">
        <v>110.3924339</v>
      </c>
      <c r="G214" t="s">
        <v>3035</v>
      </c>
      <c r="H214">
        <v>47634</v>
      </c>
      <c r="I214" t="s">
        <v>3036</v>
      </c>
    </row>
    <row r="215" spans="1:9" x14ac:dyDescent="0.25">
      <c r="A215" t="s">
        <v>3033</v>
      </c>
      <c r="B215" t="s">
        <v>3256</v>
      </c>
      <c r="C215" t="s">
        <v>3037</v>
      </c>
      <c r="D215">
        <v>36.556640639999998</v>
      </c>
      <c r="E215" t="s">
        <v>3034</v>
      </c>
      <c r="F215">
        <v>111.2665305</v>
      </c>
      <c r="G215" t="s">
        <v>3035</v>
      </c>
      <c r="H215">
        <v>17148</v>
      </c>
      <c r="I215" t="s">
        <v>3036</v>
      </c>
    </row>
    <row r="216" spans="1:9" x14ac:dyDescent="0.25">
      <c r="A216" t="s">
        <v>3033</v>
      </c>
      <c r="B216" t="s">
        <v>3317</v>
      </c>
      <c r="C216" t="s">
        <v>3037</v>
      </c>
      <c r="D216">
        <v>38.00907076</v>
      </c>
      <c r="E216" t="s">
        <v>3034</v>
      </c>
      <c r="F216">
        <v>110.54469709999999</v>
      </c>
      <c r="G216" t="s">
        <v>3035</v>
      </c>
      <c r="H216">
        <v>11751</v>
      </c>
      <c r="I216" t="s">
        <v>3036</v>
      </c>
    </row>
    <row r="217" spans="1:9" x14ac:dyDescent="0.25">
      <c r="A217" t="s">
        <v>3033</v>
      </c>
      <c r="B217" t="s">
        <v>3198</v>
      </c>
      <c r="C217" t="s">
        <v>3037</v>
      </c>
      <c r="D217">
        <v>37.168183859999999</v>
      </c>
      <c r="E217" t="s">
        <v>3034</v>
      </c>
      <c r="F217">
        <v>112.54915440000001</v>
      </c>
      <c r="G217" t="s">
        <v>3035</v>
      </c>
      <c r="H217">
        <v>2011</v>
      </c>
      <c r="I217" t="s">
        <v>3036</v>
      </c>
    </row>
    <row r="218" spans="1:9" x14ac:dyDescent="0.25">
      <c r="A218" t="s">
        <v>3033</v>
      </c>
      <c r="B218" t="s">
        <v>3318</v>
      </c>
      <c r="C218" t="s">
        <v>3037</v>
      </c>
      <c r="D218">
        <v>38.412488830000001</v>
      </c>
      <c r="E218" t="s">
        <v>3034</v>
      </c>
      <c r="F218">
        <v>111.6659202</v>
      </c>
      <c r="G218" t="s">
        <v>3035</v>
      </c>
      <c r="H218">
        <v>10736</v>
      </c>
      <c r="I218" t="s">
        <v>3036</v>
      </c>
    </row>
    <row r="219" spans="1:9" x14ac:dyDescent="0.25">
      <c r="A219" t="s">
        <v>3033</v>
      </c>
      <c r="B219" t="s">
        <v>3433</v>
      </c>
      <c r="C219" t="s">
        <v>3037</v>
      </c>
      <c r="D219">
        <v>38.703029409999999</v>
      </c>
      <c r="E219" t="s">
        <v>3034</v>
      </c>
      <c r="F219">
        <v>111.56450630000001</v>
      </c>
      <c r="G219" t="s">
        <v>3035</v>
      </c>
      <c r="H219">
        <v>38431</v>
      </c>
      <c r="I219" t="s">
        <v>3036</v>
      </c>
    </row>
    <row r="220" spans="1:9" x14ac:dyDescent="0.25">
      <c r="A220" t="s">
        <v>3033</v>
      </c>
      <c r="B220" t="s">
        <v>3064</v>
      </c>
      <c r="C220" t="s">
        <v>3037</v>
      </c>
      <c r="D220">
        <v>36.209315259999997</v>
      </c>
      <c r="E220" t="s">
        <v>3034</v>
      </c>
      <c r="F220">
        <v>113.1626985</v>
      </c>
      <c r="G220" t="s">
        <v>3035</v>
      </c>
      <c r="H220">
        <v>39336</v>
      </c>
      <c r="I220" t="s">
        <v>3036</v>
      </c>
    </row>
    <row r="221" spans="1:9" x14ac:dyDescent="0.25">
      <c r="A221" t="s">
        <v>3033</v>
      </c>
      <c r="B221" t="s">
        <v>3434</v>
      </c>
      <c r="C221" t="s">
        <v>3037</v>
      </c>
      <c r="D221">
        <v>39.548607730000001</v>
      </c>
      <c r="E221" t="s">
        <v>3034</v>
      </c>
      <c r="F221">
        <v>111.8575021</v>
      </c>
      <c r="G221" t="s">
        <v>3035</v>
      </c>
      <c r="H221">
        <v>6524</v>
      </c>
      <c r="I221" t="s">
        <v>3036</v>
      </c>
    </row>
    <row r="222" spans="1:9" x14ac:dyDescent="0.25">
      <c r="A222" t="s">
        <v>3033</v>
      </c>
      <c r="B222" t="s">
        <v>3257</v>
      </c>
      <c r="C222" t="s">
        <v>3037</v>
      </c>
      <c r="D222">
        <v>35.646908029999999</v>
      </c>
      <c r="E222" t="s">
        <v>3034</v>
      </c>
      <c r="F222">
        <v>111.46943570000001</v>
      </c>
      <c r="G222" t="s">
        <v>3035</v>
      </c>
      <c r="H222">
        <v>64587</v>
      </c>
      <c r="I222" t="s">
        <v>3036</v>
      </c>
    </row>
    <row r="223" spans="1:9" x14ac:dyDescent="0.25">
      <c r="A223" t="s">
        <v>3033</v>
      </c>
      <c r="B223" t="s">
        <v>3199</v>
      </c>
      <c r="C223" t="s">
        <v>3037</v>
      </c>
      <c r="D223">
        <v>37.615953429999998</v>
      </c>
      <c r="E223" t="s">
        <v>3034</v>
      </c>
      <c r="F223">
        <v>113.6181344</v>
      </c>
      <c r="G223" t="s">
        <v>3035</v>
      </c>
      <c r="H223">
        <v>88559</v>
      </c>
      <c r="I223" t="s">
        <v>3036</v>
      </c>
    </row>
    <row r="224" spans="1:9" x14ac:dyDescent="0.25">
      <c r="A224" t="s">
        <v>3033</v>
      </c>
      <c r="B224" t="s">
        <v>3200</v>
      </c>
      <c r="C224" t="s">
        <v>3037</v>
      </c>
      <c r="D224">
        <v>37.03997339</v>
      </c>
      <c r="E224" t="s">
        <v>3034</v>
      </c>
      <c r="F224">
        <v>112.0701325</v>
      </c>
      <c r="G224" t="s">
        <v>3035</v>
      </c>
      <c r="H224">
        <v>28021</v>
      </c>
      <c r="I224" t="s">
        <v>3036</v>
      </c>
    </row>
    <row r="225" spans="1:9" x14ac:dyDescent="0.25">
      <c r="A225" t="s">
        <v>3033</v>
      </c>
      <c r="B225" t="s">
        <v>3201</v>
      </c>
      <c r="C225" t="s">
        <v>3037</v>
      </c>
      <c r="D225">
        <v>36.940944469999998</v>
      </c>
      <c r="E225" t="s">
        <v>3034</v>
      </c>
      <c r="F225">
        <v>111.764124</v>
      </c>
      <c r="G225" t="s">
        <v>3035</v>
      </c>
      <c r="H225">
        <v>27669</v>
      </c>
      <c r="I225" t="s">
        <v>3036</v>
      </c>
    </row>
    <row r="226" spans="1:9" x14ac:dyDescent="0.25">
      <c r="A226" t="s">
        <v>3033</v>
      </c>
      <c r="B226" t="s">
        <v>3202</v>
      </c>
      <c r="C226" t="s">
        <v>3037</v>
      </c>
      <c r="D226">
        <v>37.078732369999997</v>
      </c>
      <c r="E226" t="s">
        <v>3034</v>
      </c>
      <c r="F226">
        <v>113.4085379</v>
      </c>
      <c r="G226" t="s">
        <v>3035</v>
      </c>
      <c r="H226">
        <v>18638</v>
      </c>
      <c r="I226" t="s">
        <v>3036</v>
      </c>
    </row>
    <row r="227" spans="1:9" x14ac:dyDescent="0.25">
      <c r="A227" t="s">
        <v>3033</v>
      </c>
      <c r="B227" t="s">
        <v>3258</v>
      </c>
      <c r="C227" t="s">
        <v>3037</v>
      </c>
      <c r="D227">
        <v>36.586918930000003</v>
      </c>
      <c r="E227" t="s">
        <v>3034</v>
      </c>
      <c r="F227">
        <v>111.9214686</v>
      </c>
      <c r="G227" t="s">
        <v>3035</v>
      </c>
      <c r="H227">
        <v>25256</v>
      </c>
      <c r="I227" t="s">
        <v>3036</v>
      </c>
    </row>
    <row r="228" spans="1:9" x14ac:dyDescent="0.25">
      <c r="A228" t="s">
        <v>3033</v>
      </c>
      <c r="B228" t="s">
        <v>3150</v>
      </c>
      <c r="C228" t="s">
        <v>3037</v>
      </c>
      <c r="D228">
        <v>35.365860730000001</v>
      </c>
      <c r="E228" t="s">
        <v>3034</v>
      </c>
      <c r="F228">
        <v>112.75871530000001</v>
      </c>
      <c r="G228" t="s">
        <v>3035</v>
      </c>
      <c r="H228">
        <v>14404</v>
      </c>
      <c r="I228" t="s">
        <v>3036</v>
      </c>
    </row>
    <row r="229" spans="1:9" x14ac:dyDescent="0.25">
      <c r="A229" t="s">
        <v>3033</v>
      </c>
      <c r="B229" t="s">
        <v>3259</v>
      </c>
      <c r="C229" t="s">
        <v>3037</v>
      </c>
      <c r="D229">
        <v>35.767702900000003</v>
      </c>
      <c r="E229" t="s">
        <v>3034</v>
      </c>
      <c r="F229">
        <v>111.45765470000001</v>
      </c>
      <c r="G229" t="s">
        <v>3035</v>
      </c>
      <c r="H229">
        <v>17986</v>
      </c>
      <c r="I229" t="s">
        <v>3036</v>
      </c>
    </row>
    <row r="230" spans="1:9" x14ac:dyDescent="0.25">
      <c r="A230" t="s">
        <v>3033</v>
      </c>
      <c r="B230" t="s">
        <v>3065</v>
      </c>
      <c r="C230" t="s">
        <v>3037</v>
      </c>
      <c r="D230">
        <v>36.492161529999997</v>
      </c>
      <c r="E230" t="s">
        <v>3034</v>
      </c>
      <c r="F230">
        <v>113.43781509999999</v>
      </c>
      <c r="G230" t="s">
        <v>3035</v>
      </c>
      <c r="H230">
        <v>56904</v>
      </c>
      <c r="I230" t="s">
        <v>3036</v>
      </c>
    </row>
    <row r="231" spans="1:9" x14ac:dyDescent="0.25">
      <c r="A231" t="s">
        <v>3033</v>
      </c>
      <c r="B231" t="s">
        <v>3379</v>
      </c>
      <c r="C231" t="s">
        <v>3037</v>
      </c>
      <c r="D231">
        <v>39.345057439999998</v>
      </c>
      <c r="E231" t="s">
        <v>3034</v>
      </c>
      <c r="F231">
        <v>112.1538216</v>
      </c>
      <c r="G231" t="s">
        <v>3035</v>
      </c>
      <c r="H231">
        <v>7925</v>
      </c>
      <c r="I231" t="s">
        <v>3036</v>
      </c>
    </row>
    <row r="232" spans="1:9" x14ac:dyDescent="0.25">
      <c r="A232" t="s">
        <v>3033</v>
      </c>
      <c r="B232" t="s">
        <v>3066</v>
      </c>
      <c r="C232" t="s">
        <v>3037</v>
      </c>
      <c r="D232">
        <v>36.573587969999998</v>
      </c>
      <c r="E232" t="s">
        <v>3034</v>
      </c>
      <c r="F232">
        <v>112.12923240000001</v>
      </c>
      <c r="G232" t="s">
        <v>3035</v>
      </c>
      <c r="H232">
        <v>9611</v>
      </c>
      <c r="I232" t="s">
        <v>3036</v>
      </c>
    </row>
    <row r="233" spans="1:9" x14ac:dyDescent="0.25">
      <c r="A233" t="s">
        <v>3033</v>
      </c>
      <c r="B233" t="s">
        <v>3319</v>
      </c>
      <c r="C233" t="s">
        <v>3037</v>
      </c>
      <c r="D233">
        <v>36.977845569999999</v>
      </c>
      <c r="E233" t="s">
        <v>3034</v>
      </c>
      <c r="F233">
        <v>110.8029717</v>
      </c>
      <c r="G233" t="s">
        <v>3035</v>
      </c>
      <c r="H233">
        <v>41996</v>
      </c>
      <c r="I233" t="s">
        <v>3036</v>
      </c>
    </row>
    <row r="234" spans="1:9" x14ac:dyDescent="0.25">
      <c r="A234" t="s">
        <v>3033</v>
      </c>
      <c r="B234" t="s">
        <v>3320</v>
      </c>
      <c r="C234" t="s">
        <v>3037</v>
      </c>
      <c r="D234">
        <v>37.690131340000001</v>
      </c>
      <c r="E234" t="s">
        <v>3034</v>
      </c>
      <c r="F234">
        <v>110.88064300000001</v>
      </c>
      <c r="G234" t="s">
        <v>3035</v>
      </c>
      <c r="H234">
        <v>24445</v>
      </c>
      <c r="I234" t="s">
        <v>3036</v>
      </c>
    </row>
    <row r="235" spans="1:9" x14ac:dyDescent="0.25">
      <c r="A235" t="s">
        <v>3033</v>
      </c>
      <c r="B235" t="s">
        <v>3516</v>
      </c>
      <c r="C235" t="s">
        <v>3037</v>
      </c>
      <c r="D235">
        <v>35.086659849999997</v>
      </c>
      <c r="E235" t="s">
        <v>3034</v>
      </c>
      <c r="F235">
        <v>110.548391</v>
      </c>
      <c r="G235" t="s">
        <v>3035</v>
      </c>
      <c r="H235">
        <v>38100</v>
      </c>
      <c r="I235" t="s">
        <v>3036</v>
      </c>
    </row>
    <row r="236" spans="1:9" x14ac:dyDescent="0.25">
      <c r="A236" t="s">
        <v>3033</v>
      </c>
      <c r="B236" t="s">
        <v>3321</v>
      </c>
      <c r="C236" t="s">
        <v>3037</v>
      </c>
      <c r="D236">
        <v>37.985851599999997</v>
      </c>
      <c r="E236" t="s">
        <v>3034</v>
      </c>
      <c r="F236">
        <v>110.9609191</v>
      </c>
      <c r="G236" t="s">
        <v>3035</v>
      </c>
      <c r="H236">
        <v>91670</v>
      </c>
      <c r="I236" t="s">
        <v>3036</v>
      </c>
    </row>
    <row r="237" spans="1:9" x14ac:dyDescent="0.25">
      <c r="A237" t="s">
        <v>3033</v>
      </c>
      <c r="B237" t="s">
        <v>3517</v>
      </c>
      <c r="C237" t="s">
        <v>3037</v>
      </c>
      <c r="D237">
        <v>35.32155539</v>
      </c>
      <c r="E237" t="s">
        <v>3034</v>
      </c>
      <c r="F237">
        <v>111.90703980000001</v>
      </c>
      <c r="G237" t="s">
        <v>3035</v>
      </c>
      <c r="H237">
        <v>13755</v>
      </c>
      <c r="I237" t="s">
        <v>3036</v>
      </c>
    </row>
    <row r="238" spans="1:9" x14ac:dyDescent="0.25">
      <c r="A238" t="s">
        <v>3033</v>
      </c>
      <c r="B238" t="s">
        <v>3260</v>
      </c>
      <c r="C238" t="s">
        <v>3037</v>
      </c>
      <c r="D238">
        <v>36.119499709999999</v>
      </c>
      <c r="E238" t="s">
        <v>3034</v>
      </c>
      <c r="F238">
        <v>111.4433904</v>
      </c>
      <c r="G238" t="s">
        <v>3035</v>
      </c>
      <c r="H238">
        <v>56850</v>
      </c>
      <c r="I238" t="s">
        <v>3036</v>
      </c>
    </row>
    <row r="239" spans="1:9" x14ac:dyDescent="0.25">
      <c r="A239" t="s">
        <v>3033</v>
      </c>
      <c r="B239" t="s">
        <v>3322</v>
      </c>
      <c r="C239" t="s">
        <v>3037</v>
      </c>
      <c r="D239">
        <v>37.386519280000002</v>
      </c>
      <c r="E239" t="s">
        <v>3034</v>
      </c>
      <c r="F239">
        <v>112.1988899</v>
      </c>
      <c r="G239" t="s">
        <v>3035</v>
      </c>
      <c r="H239">
        <v>37235</v>
      </c>
      <c r="I239" t="s">
        <v>3036</v>
      </c>
    </row>
    <row r="240" spans="1:9" x14ac:dyDescent="0.25">
      <c r="A240" t="s">
        <v>3033</v>
      </c>
      <c r="B240" t="s">
        <v>3323</v>
      </c>
      <c r="C240" t="s">
        <v>3037</v>
      </c>
      <c r="D240">
        <v>37.790364940000003</v>
      </c>
      <c r="E240" t="s">
        <v>3034</v>
      </c>
      <c r="F240">
        <v>110.82847289999999</v>
      </c>
      <c r="G240" t="s">
        <v>3035</v>
      </c>
      <c r="H240">
        <v>29131</v>
      </c>
      <c r="I240" t="s">
        <v>3036</v>
      </c>
    </row>
    <row r="241" spans="1:9" x14ac:dyDescent="0.25">
      <c r="A241" t="s">
        <v>3033</v>
      </c>
      <c r="B241" t="s">
        <v>3435</v>
      </c>
      <c r="C241" t="s">
        <v>3037</v>
      </c>
      <c r="D241">
        <v>39.383950130000002</v>
      </c>
      <c r="E241" t="s">
        <v>3034</v>
      </c>
      <c r="F241">
        <v>111.3620002</v>
      </c>
      <c r="G241" t="s">
        <v>3035</v>
      </c>
      <c r="H241">
        <v>9694</v>
      </c>
      <c r="I241" t="s">
        <v>3036</v>
      </c>
    </row>
    <row r="242" spans="1:9" x14ac:dyDescent="0.25">
      <c r="A242" t="s">
        <v>3033</v>
      </c>
      <c r="B242" t="s">
        <v>3261</v>
      </c>
      <c r="C242" t="s">
        <v>3037</v>
      </c>
      <c r="D242">
        <v>36.438932110000003</v>
      </c>
      <c r="E242" t="s">
        <v>3034</v>
      </c>
      <c r="F242">
        <v>111.5245972</v>
      </c>
      <c r="G242" t="s">
        <v>3035</v>
      </c>
      <c r="H242">
        <v>26486</v>
      </c>
      <c r="I242" t="s">
        <v>3036</v>
      </c>
    </row>
    <row r="243" spans="1:9" x14ac:dyDescent="0.25">
      <c r="A243" t="s">
        <v>3033</v>
      </c>
      <c r="B243" t="s">
        <v>3324</v>
      </c>
      <c r="C243" t="s">
        <v>3037</v>
      </c>
      <c r="D243">
        <v>37.476212230000002</v>
      </c>
      <c r="E243" t="s">
        <v>3034</v>
      </c>
      <c r="F243">
        <v>110.94322219999999</v>
      </c>
      <c r="G243" t="s">
        <v>3035</v>
      </c>
      <c r="H243">
        <v>112913</v>
      </c>
      <c r="I243" t="s">
        <v>3036</v>
      </c>
    </row>
    <row r="244" spans="1:9" x14ac:dyDescent="0.25">
      <c r="A244" t="s">
        <v>3033</v>
      </c>
      <c r="B244" t="s">
        <v>3151</v>
      </c>
      <c r="C244" t="s">
        <v>3037</v>
      </c>
      <c r="D244">
        <v>35.452701730000001</v>
      </c>
      <c r="E244" t="s">
        <v>3034</v>
      </c>
      <c r="F244">
        <v>113.10431819999999</v>
      </c>
      <c r="G244" t="s">
        <v>3035</v>
      </c>
      <c r="H244">
        <v>14951</v>
      </c>
      <c r="I244" t="s">
        <v>3036</v>
      </c>
    </row>
    <row r="245" spans="1:9" x14ac:dyDescent="0.25">
      <c r="A245" t="s">
        <v>3033</v>
      </c>
      <c r="B245" t="s">
        <v>3325</v>
      </c>
      <c r="C245" t="s">
        <v>3037</v>
      </c>
      <c r="D245">
        <v>37.225232099999999</v>
      </c>
      <c r="E245" t="s">
        <v>3034</v>
      </c>
      <c r="F245">
        <v>110.8734772</v>
      </c>
      <c r="G245" t="s">
        <v>3035</v>
      </c>
      <c r="H245">
        <v>12606</v>
      </c>
      <c r="I245" t="s">
        <v>3036</v>
      </c>
    </row>
    <row r="246" spans="1:9" x14ac:dyDescent="0.25">
      <c r="A246" t="s">
        <v>3033</v>
      </c>
      <c r="B246" t="s">
        <v>3203</v>
      </c>
      <c r="C246" t="s">
        <v>3037</v>
      </c>
      <c r="D246">
        <v>37.421198850000003</v>
      </c>
      <c r="E246" t="s">
        <v>3034</v>
      </c>
      <c r="F246">
        <v>113.5954548</v>
      </c>
      <c r="G246" t="s">
        <v>3035</v>
      </c>
      <c r="H246">
        <v>17748</v>
      </c>
      <c r="I246" t="s">
        <v>3036</v>
      </c>
    </row>
    <row r="247" spans="1:9" x14ac:dyDescent="0.25">
      <c r="A247" t="s">
        <v>3033</v>
      </c>
      <c r="B247" t="s">
        <v>3152</v>
      </c>
      <c r="C247" t="s">
        <v>3037</v>
      </c>
      <c r="D247">
        <v>35.790471670000002</v>
      </c>
      <c r="E247" t="s">
        <v>3034</v>
      </c>
      <c r="F247">
        <v>113.15508</v>
      </c>
      <c r="G247" t="s">
        <v>3035</v>
      </c>
      <c r="H247">
        <v>28408</v>
      </c>
      <c r="I247" t="s">
        <v>3036</v>
      </c>
    </row>
    <row r="248" spans="1:9" x14ac:dyDescent="0.25">
      <c r="A248" t="s">
        <v>3033</v>
      </c>
      <c r="B248" t="s">
        <v>5038</v>
      </c>
      <c r="C248" t="s">
        <v>3037</v>
      </c>
      <c r="D248">
        <v>36.58610333</v>
      </c>
      <c r="E248" t="s">
        <v>3034</v>
      </c>
      <c r="F248">
        <v>112.23546880000001</v>
      </c>
      <c r="G248" t="s">
        <v>3035</v>
      </c>
      <c r="H248">
        <v>14695</v>
      </c>
      <c r="I248" t="s">
        <v>3036</v>
      </c>
    </row>
    <row r="249" spans="1:9" x14ac:dyDescent="0.25">
      <c r="A249" t="s">
        <v>3033</v>
      </c>
      <c r="B249" t="s">
        <v>5039</v>
      </c>
      <c r="C249" t="s">
        <v>3037</v>
      </c>
      <c r="D249">
        <v>35.519873709999999</v>
      </c>
      <c r="E249" t="s">
        <v>3034</v>
      </c>
      <c r="F249">
        <v>111.3336948</v>
      </c>
      <c r="G249" t="s">
        <v>3035</v>
      </c>
      <c r="H249">
        <v>31921</v>
      </c>
      <c r="I249" t="s">
        <v>3036</v>
      </c>
    </row>
    <row r="250" spans="1:9" x14ac:dyDescent="0.25">
      <c r="A250" t="s">
        <v>3033</v>
      </c>
      <c r="B250" t="s">
        <v>3262</v>
      </c>
      <c r="C250" t="s">
        <v>3037</v>
      </c>
      <c r="D250">
        <v>35.786966870000001</v>
      </c>
      <c r="E250" t="s">
        <v>3034</v>
      </c>
      <c r="F250">
        <v>111.6175571</v>
      </c>
      <c r="G250" t="s">
        <v>3035</v>
      </c>
      <c r="H250">
        <v>29011</v>
      </c>
      <c r="I250" t="s">
        <v>3036</v>
      </c>
    </row>
    <row r="251" spans="1:9" x14ac:dyDescent="0.25">
      <c r="A251" t="s">
        <v>3033</v>
      </c>
      <c r="B251" t="s">
        <v>3204</v>
      </c>
      <c r="C251" t="s">
        <v>3037</v>
      </c>
      <c r="D251">
        <v>36.95818611</v>
      </c>
      <c r="E251" t="s">
        <v>3034</v>
      </c>
      <c r="F251">
        <v>112.0079641</v>
      </c>
      <c r="G251" t="s">
        <v>3035</v>
      </c>
      <c r="H251">
        <v>12666</v>
      </c>
      <c r="I251" t="s">
        <v>3036</v>
      </c>
    </row>
    <row r="252" spans="1:9" x14ac:dyDescent="0.25">
      <c r="A252" t="s">
        <v>3033</v>
      </c>
      <c r="B252" t="s">
        <v>3153</v>
      </c>
      <c r="C252" t="s">
        <v>3037</v>
      </c>
      <c r="D252">
        <v>35.692988800000002</v>
      </c>
      <c r="E252" t="s">
        <v>3034</v>
      </c>
      <c r="F252">
        <v>112.1425</v>
      </c>
      <c r="G252" t="s">
        <v>3035</v>
      </c>
      <c r="H252">
        <v>58660</v>
      </c>
      <c r="I252" t="s">
        <v>3036</v>
      </c>
    </row>
    <row r="253" spans="1:9" x14ac:dyDescent="0.25">
      <c r="A253" t="s">
        <v>3033</v>
      </c>
      <c r="B253" t="s">
        <v>3263</v>
      </c>
      <c r="C253" t="s">
        <v>3037</v>
      </c>
      <c r="D253">
        <v>35.764446599999999</v>
      </c>
      <c r="E253" t="s">
        <v>3034</v>
      </c>
      <c r="F253">
        <v>111.9072184</v>
      </c>
      <c r="G253" t="s">
        <v>3035</v>
      </c>
      <c r="H253">
        <v>36426</v>
      </c>
      <c r="I253" t="s">
        <v>3036</v>
      </c>
    </row>
    <row r="254" spans="1:9" x14ac:dyDescent="0.25">
      <c r="A254" t="s">
        <v>3033</v>
      </c>
      <c r="B254" t="s">
        <v>3518</v>
      </c>
      <c r="C254" t="s">
        <v>3037</v>
      </c>
      <c r="D254">
        <v>35.004897210000003</v>
      </c>
      <c r="E254" t="s">
        <v>3034</v>
      </c>
      <c r="F254">
        <v>110.8843693</v>
      </c>
      <c r="G254" t="s">
        <v>3035</v>
      </c>
      <c r="H254">
        <v>34720</v>
      </c>
      <c r="I254" t="s">
        <v>3036</v>
      </c>
    </row>
    <row r="255" spans="1:9" x14ac:dyDescent="0.25">
      <c r="A255" t="s">
        <v>3033</v>
      </c>
      <c r="B255" t="s">
        <v>5040</v>
      </c>
      <c r="C255" t="s">
        <v>3037</v>
      </c>
      <c r="D255">
        <v>36.089410800000003</v>
      </c>
      <c r="E255" t="s">
        <v>3034</v>
      </c>
      <c r="F255">
        <v>113.20316870000001</v>
      </c>
      <c r="G255" t="s">
        <v>3035</v>
      </c>
      <c r="H255">
        <v>74611</v>
      </c>
      <c r="I255" t="s">
        <v>3036</v>
      </c>
    </row>
    <row r="256" spans="1:9" x14ac:dyDescent="0.25">
      <c r="A256" t="s">
        <v>3033</v>
      </c>
      <c r="B256" t="s">
        <v>5041</v>
      </c>
      <c r="C256" t="s">
        <v>3037</v>
      </c>
      <c r="D256">
        <v>40.38283096</v>
      </c>
      <c r="E256" t="s">
        <v>3034</v>
      </c>
      <c r="F256">
        <v>113.7313157</v>
      </c>
      <c r="G256" t="s">
        <v>3035</v>
      </c>
      <c r="H256">
        <v>95849</v>
      </c>
      <c r="I256" t="s">
        <v>3036</v>
      </c>
    </row>
    <row r="257" spans="1:9" x14ac:dyDescent="0.25">
      <c r="A257" t="s">
        <v>3033</v>
      </c>
      <c r="B257" t="s">
        <v>5042</v>
      </c>
      <c r="C257" t="s">
        <v>3037</v>
      </c>
      <c r="D257">
        <v>36.701285079999998</v>
      </c>
      <c r="E257" t="s">
        <v>3034</v>
      </c>
      <c r="F257">
        <v>110.99420979999999</v>
      </c>
      <c r="G257" t="s">
        <v>3035</v>
      </c>
      <c r="H257">
        <v>39622</v>
      </c>
      <c r="I257" t="s">
        <v>3036</v>
      </c>
    </row>
    <row r="258" spans="1:9" x14ac:dyDescent="0.25">
      <c r="A258" t="s">
        <v>3033</v>
      </c>
      <c r="B258" t="s">
        <v>5043</v>
      </c>
      <c r="C258" t="s">
        <v>3037</v>
      </c>
      <c r="D258">
        <v>39.111197959999998</v>
      </c>
      <c r="E258" t="s">
        <v>3034</v>
      </c>
      <c r="F258">
        <v>112.2292522</v>
      </c>
      <c r="G258" t="s">
        <v>3035</v>
      </c>
      <c r="H258">
        <v>40562</v>
      </c>
      <c r="I258" t="s">
        <v>3036</v>
      </c>
    </row>
    <row r="259" spans="1:9" x14ac:dyDescent="0.25">
      <c r="A259" t="s">
        <v>3033</v>
      </c>
      <c r="B259" t="s">
        <v>3067</v>
      </c>
      <c r="C259" t="s">
        <v>3037</v>
      </c>
      <c r="D259">
        <v>36.055474359999998</v>
      </c>
      <c r="E259" t="s">
        <v>3034</v>
      </c>
      <c r="F259">
        <v>113.44572479999999</v>
      </c>
      <c r="G259" t="s">
        <v>3035</v>
      </c>
      <c r="H259">
        <v>17622</v>
      </c>
      <c r="I259" t="s">
        <v>3036</v>
      </c>
    </row>
    <row r="260" spans="1:9" x14ac:dyDescent="0.25">
      <c r="A260" t="s">
        <v>3033</v>
      </c>
      <c r="B260" t="s">
        <v>3519</v>
      </c>
      <c r="C260" t="s">
        <v>3037</v>
      </c>
      <c r="D260">
        <v>35.645837120000003</v>
      </c>
      <c r="E260" t="s">
        <v>3034</v>
      </c>
      <c r="F260">
        <v>111.2536951</v>
      </c>
      <c r="G260" t="s">
        <v>3035</v>
      </c>
      <c r="H260">
        <v>56381</v>
      </c>
      <c r="I260" t="s">
        <v>3036</v>
      </c>
    </row>
    <row r="261" spans="1:9" x14ac:dyDescent="0.25">
      <c r="A261" t="s">
        <v>3033</v>
      </c>
      <c r="B261" t="s">
        <v>3401</v>
      </c>
      <c r="C261" t="s">
        <v>3037</v>
      </c>
      <c r="D261">
        <v>38.057858639999999</v>
      </c>
      <c r="E261" t="s">
        <v>3034</v>
      </c>
      <c r="F261">
        <v>111.81881799999999</v>
      </c>
      <c r="G261" t="s">
        <v>3035</v>
      </c>
      <c r="H261">
        <v>42520</v>
      </c>
      <c r="I261" t="s">
        <v>3036</v>
      </c>
    </row>
    <row r="262" spans="1:9" x14ac:dyDescent="0.25">
      <c r="A262" t="s">
        <v>3033</v>
      </c>
      <c r="B262" t="s">
        <v>3436</v>
      </c>
      <c r="C262" t="s">
        <v>3037</v>
      </c>
      <c r="D262">
        <v>39.383571840000002</v>
      </c>
      <c r="E262" t="s">
        <v>3034</v>
      </c>
      <c r="F262">
        <v>111.2566879</v>
      </c>
      <c r="G262" t="s">
        <v>3035</v>
      </c>
      <c r="H262">
        <v>7207</v>
      </c>
      <c r="I262" t="s">
        <v>3036</v>
      </c>
    </row>
    <row r="263" spans="1:9" x14ac:dyDescent="0.25">
      <c r="A263" t="s">
        <v>3033</v>
      </c>
      <c r="B263" t="s">
        <v>3154</v>
      </c>
      <c r="C263" t="s">
        <v>3037</v>
      </c>
      <c r="D263">
        <v>35.695919189999998</v>
      </c>
      <c r="E263" t="s">
        <v>3034</v>
      </c>
      <c r="F263">
        <v>113.3158147</v>
      </c>
      <c r="G263" t="s">
        <v>3035</v>
      </c>
      <c r="H263">
        <v>14308</v>
      </c>
      <c r="I263" t="s">
        <v>3036</v>
      </c>
    </row>
    <row r="264" spans="1:9" x14ac:dyDescent="0.25">
      <c r="A264" t="s">
        <v>3033</v>
      </c>
      <c r="B264" t="s">
        <v>3473</v>
      </c>
      <c r="C264" t="s">
        <v>3037</v>
      </c>
      <c r="D264">
        <v>38.011865110000002</v>
      </c>
      <c r="E264" t="s">
        <v>3034</v>
      </c>
      <c r="F264">
        <v>113.4479813</v>
      </c>
      <c r="G264" t="s">
        <v>3035</v>
      </c>
      <c r="H264">
        <v>24579</v>
      </c>
      <c r="I264" t="s">
        <v>3036</v>
      </c>
    </row>
    <row r="265" spans="1:9" x14ac:dyDescent="0.25">
      <c r="A265" t="s">
        <v>3033</v>
      </c>
      <c r="B265" t="s">
        <v>3112</v>
      </c>
      <c r="C265" t="s">
        <v>3037</v>
      </c>
      <c r="D265">
        <v>40.52804699</v>
      </c>
      <c r="E265" t="s">
        <v>3034</v>
      </c>
      <c r="F265">
        <v>114.17879720000001</v>
      </c>
      <c r="G265" t="s">
        <v>3035</v>
      </c>
      <c r="H265">
        <v>12899</v>
      </c>
      <c r="I265" t="s">
        <v>3036</v>
      </c>
    </row>
    <row r="266" spans="1:9" x14ac:dyDescent="0.25">
      <c r="A266" t="s">
        <v>3033</v>
      </c>
      <c r="B266" t="s">
        <v>3326</v>
      </c>
      <c r="C266" t="s">
        <v>3037</v>
      </c>
      <c r="D266">
        <v>36.973555760000004</v>
      </c>
      <c r="E266" t="s">
        <v>3034</v>
      </c>
      <c r="F266">
        <v>110.9723879</v>
      </c>
      <c r="G266" t="s">
        <v>3035</v>
      </c>
      <c r="H266">
        <v>11656</v>
      </c>
      <c r="I266" t="s">
        <v>3036</v>
      </c>
    </row>
    <row r="267" spans="1:9" x14ac:dyDescent="0.25">
      <c r="A267" t="s">
        <v>3033</v>
      </c>
      <c r="B267" t="s">
        <v>3113</v>
      </c>
      <c r="C267" t="s">
        <v>3037</v>
      </c>
      <c r="D267">
        <v>40.444290930000001</v>
      </c>
      <c r="E267" t="s">
        <v>3034</v>
      </c>
      <c r="F267">
        <v>113.8713824</v>
      </c>
      <c r="G267" t="s">
        <v>3035</v>
      </c>
      <c r="H267">
        <v>27042</v>
      </c>
      <c r="I267" t="s">
        <v>3036</v>
      </c>
    </row>
    <row r="268" spans="1:9" x14ac:dyDescent="0.25">
      <c r="A268" t="s">
        <v>3033</v>
      </c>
      <c r="B268" t="s">
        <v>3327</v>
      </c>
      <c r="C268" t="s">
        <v>3037</v>
      </c>
      <c r="D268">
        <v>38.33274557</v>
      </c>
      <c r="E268" t="s">
        <v>3034</v>
      </c>
      <c r="F268">
        <v>110.76998279999999</v>
      </c>
      <c r="G268" t="s">
        <v>3035</v>
      </c>
      <c r="H268">
        <v>6893</v>
      </c>
      <c r="I268" t="s">
        <v>3036</v>
      </c>
    </row>
    <row r="269" spans="1:9" x14ac:dyDescent="0.25">
      <c r="A269" t="s">
        <v>3033</v>
      </c>
      <c r="B269" t="s">
        <v>3068</v>
      </c>
      <c r="C269" t="s">
        <v>3037</v>
      </c>
      <c r="D269">
        <v>36.303647490000003</v>
      </c>
      <c r="E269" t="s">
        <v>3034</v>
      </c>
      <c r="F269">
        <v>113.09518559999999</v>
      </c>
      <c r="G269" t="s">
        <v>3035</v>
      </c>
      <c r="H269">
        <v>33441</v>
      </c>
      <c r="I269" t="s">
        <v>3036</v>
      </c>
    </row>
    <row r="270" spans="1:9" x14ac:dyDescent="0.25">
      <c r="A270" t="s">
        <v>3033</v>
      </c>
      <c r="B270" t="s">
        <v>3155</v>
      </c>
      <c r="C270" t="s">
        <v>3037</v>
      </c>
      <c r="D270">
        <v>35.716298639999998</v>
      </c>
      <c r="E270" t="s">
        <v>3034</v>
      </c>
      <c r="F270">
        <v>112.7926229</v>
      </c>
      <c r="G270" t="s">
        <v>3035</v>
      </c>
      <c r="H270">
        <v>31569</v>
      </c>
      <c r="I270" t="s">
        <v>3036</v>
      </c>
    </row>
    <row r="271" spans="1:9" x14ac:dyDescent="0.25">
      <c r="A271" t="s">
        <v>3033</v>
      </c>
      <c r="B271" t="s">
        <v>3328</v>
      </c>
      <c r="C271" t="s">
        <v>3037</v>
      </c>
      <c r="D271">
        <v>38.045980579999998</v>
      </c>
      <c r="E271" t="s">
        <v>3034</v>
      </c>
      <c r="F271">
        <v>111.4356507</v>
      </c>
      <c r="G271" t="s">
        <v>3035</v>
      </c>
      <c r="H271">
        <v>16652</v>
      </c>
      <c r="I271" t="s">
        <v>3036</v>
      </c>
    </row>
    <row r="272" spans="1:9" x14ac:dyDescent="0.25">
      <c r="A272" t="s">
        <v>3033</v>
      </c>
      <c r="B272" t="s">
        <v>3402</v>
      </c>
      <c r="C272" t="s">
        <v>3037</v>
      </c>
      <c r="D272">
        <v>37.852596980000001</v>
      </c>
      <c r="E272" t="s">
        <v>3034</v>
      </c>
      <c r="F272">
        <v>111.9932046</v>
      </c>
      <c r="G272" t="s">
        <v>3035</v>
      </c>
      <c r="H272">
        <v>21056</v>
      </c>
      <c r="I272" t="s">
        <v>3036</v>
      </c>
    </row>
    <row r="273" spans="1:9" x14ac:dyDescent="0.25">
      <c r="A273" t="s">
        <v>3033</v>
      </c>
      <c r="B273" t="s">
        <v>3156</v>
      </c>
      <c r="C273" t="s">
        <v>3037</v>
      </c>
      <c r="D273">
        <v>35.317233649999999</v>
      </c>
      <c r="E273" t="s">
        <v>3034</v>
      </c>
      <c r="F273">
        <v>112.40867780000001</v>
      </c>
      <c r="G273" t="s">
        <v>3035</v>
      </c>
      <c r="H273">
        <v>19646</v>
      </c>
      <c r="I273" t="s">
        <v>3036</v>
      </c>
    </row>
    <row r="274" spans="1:9" x14ac:dyDescent="0.25">
      <c r="A274" t="s">
        <v>3033</v>
      </c>
      <c r="B274" t="s">
        <v>3520</v>
      </c>
      <c r="C274" t="s">
        <v>3037</v>
      </c>
      <c r="D274">
        <v>35.171676529999999</v>
      </c>
      <c r="E274" t="s">
        <v>3034</v>
      </c>
      <c r="F274">
        <v>111.6094526</v>
      </c>
      <c r="G274" t="s">
        <v>3035</v>
      </c>
      <c r="H274">
        <v>10832</v>
      </c>
      <c r="I274" t="s">
        <v>3036</v>
      </c>
    </row>
    <row r="275" spans="1:9" x14ac:dyDescent="0.25">
      <c r="A275" t="s">
        <v>3033</v>
      </c>
      <c r="B275" t="s">
        <v>3380</v>
      </c>
      <c r="C275" t="s">
        <v>3037</v>
      </c>
      <c r="D275">
        <v>39.906189699999999</v>
      </c>
      <c r="E275" t="s">
        <v>3034</v>
      </c>
      <c r="F275">
        <v>113.2337236</v>
      </c>
      <c r="G275" t="s">
        <v>3035</v>
      </c>
      <c r="H275">
        <v>12800</v>
      </c>
      <c r="I275" t="s">
        <v>3036</v>
      </c>
    </row>
    <row r="276" spans="1:9" x14ac:dyDescent="0.25">
      <c r="A276" t="s">
        <v>3033</v>
      </c>
      <c r="B276" t="s">
        <v>3205</v>
      </c>
      <c r="C276" t="s">
        <v>3037</v>
      </c>
      <c r="D276">
        <v>36.830972780000003</v>
      </c>
      <c r="E276" t="s">
        <v>3034</v>
      </c>
      <c r="F276">
        <v>113.57925779999999</v>
      </c>
      <c r="G276" t="s">
        <v>3035</v>
      </c>
      <c r="H276">
        <v>18168</v>
      </c>
      <c r="I276" t="s">
        <v>3036</v>
      </c>
    </row>
    <row r="277" spans="1:9" x14ac:dyDescent="0.25">
      <c r="A277" t="s">
        <v>3033</v>
      </c>
      <c r="B277" t="s">
        <v>3521</v>
      </c>
      <c r="C277" t="s">
        <v>3037</v>
      </c>
      <c r="D277">
        <v>35.089061899999997</v>
      </c>
      <c r="E277" t="s">
        <v>3034</v>
      </c>
      <c r="F277">
        <v>110.68645720000001</v>
      </c>
      <c r="G277" t="s">
        <v>3035</v>
      </c>
      <c r="H277">
        <v>26948</v>
      </c>
      <c r="I277" t="s">
        <v>3036</v>
      </c>
    </row>
    <row r="278" spans="1:9" x14ac:dyDescent="0.25">
      <c r="A278" t="s">
        <v>3033</v>
      </c>
      <c r="B278" t="s">
        <v>3403</v>
      </c>
      <c r="C278" t="s">
        <v>3037</v>
      </c>
      <c r="D278">
        <v>37.49869932</v>
      </c>
      <c r="E278" t="s">
        <v>3034</v>
      </c>
      <c r="F278">
        <v>112.39106769999999</v>
      </c>
      <c r="G278" t="s">
        <v>3035</v>
      </c>
      <c r="H278">
        <v>31488</v>
      </c>
      <c r="I278" t="s">
        <v>3036</v>
      </c>
    </row>
    <row r="279" spans="1:9" x14ac:dyDescent="0.25">
      <c r="A279" t="s">
        <v>3033</v>
      </c>
      <c r="B279" t="s">
        <v>3329</v>
      </c>
      <c r="C279" t="s">
        <v>3037</v>
      </c>
      <c r="D279">
        <v>37.550959659999997</v>
      </c>
      <c r="E279" t="s">
        <v>3034</v>
      </c>
      <c r="F279">
        <v>110.8184013</v>
      </c>
      <c r="G279" t="s">
        <v>3035</v>
      </c>
      <c r="H279">
        <v>15825</v>
      </c>
      <c r="I279" t="s">
        <v>3036</v>
      </c>
    </row>
    <row r="280" spans="1:9" x14ac:dyDescent="0.25">
      <c r="A280" t="s">
        <v>3033</v>
      </c>
      <c r="B280" t="s">
        <v>3206</v>
      </c>
      <c r="C280" t="s">
        <v>3037</v>
      </c>
      <c r="D280">
        <v>36.930418539999998</v>
      </c>
      <c r="E280" t="s">
        <v>3034</v>
      </c>
      <c r="F280">
        <v>111.9299189</v>
      </c>
      <c r="G280" t="s">
        <v>3035</v>
      </c>
      <c r="H280">
        <v>29578</v>
      </c>
      <c r="I280" t="s">
        <v>3036</v>
      </c>
    </row>
    <row r="281" spans="1:9" x14ac:dyDescent="0.25">
      <c r="A281" t="s">
        <v>3033</v>
      </c>
      <c r="B281" t="s">
        <v>3522</v>
      </c>
      <c r="C281" t="s">
        <v>3037</v>
      </c>
      <c r="D281">
        <v>35.048439760000001</v>
      </c>
      <c r="E281" t="s">
        <v>3034</v>
      </c>
      <c r="F281">
        <v>111.2281888</v>
      </c>
      <c r="G281" t="s">
        <v>3035</v>
      </c>
      <c r="H281">
        <v>28471</v>
      </c>
      <c r="I281" t="s">
        <v>3036</v>
      </c>
    </row>
    <row r="282" spans="1:9" x14ac:dyDescent="0.25">
      <c r="A282" t="s">
        <v>3033</v>
      </c>
      <c r="B282" t="s">
        <v>3069</v>
      </c>
      <c r="C282" t="s">
        <v>3037</v>
      </c>
      <c r="D282">
        <v>36.203763340000002</v>
      </c>
      <c r="E282" t="s">
        <v>3034</v>
      </c>
      <c r="F282">
        <v>113.3030026</v>
      </c>
      <c r="G282" t="s">
        <v>3035</v>
      </c>
      <c r="H282">
        <v>8719</v>
      </c>
      <c r="I282" t="s">
        <v>3036</v>
      </c>
    </row>
    <row r="283" spans="1:9" x14ac:dyDescent="0.25">
      <c r="A283" t="s">
        <v>3033</v>
      </c>
      <c r="B283" t="s">
        <v>3264</v>
      </c>
      <c r="C283" t="s">
        <v>3037</v>
      </c>
      <c r="D283">
        <v>36.348519869999997</v>
      </c>
      <c r="E283" t="s">
        <v>3034</v>
      </c>
      <c r="F283">
        <v>111.7872551</v>
      </c>
      <c r="G283" t="s">
        <v>3035</v>
      </c>
      <c r="H283">
        <v>47416</v>
      </c>
      <c r="I283" t="s">
        <v>3036</v>
      </c>
    </row>
    <row r="284" spans="1:9" x14ac:dyDescent="0.25">
      <c r="A284" t="s">
        <v>3033</v>
      </c>
      <c r="B284" t="s">
        <v>3207</v>
      </c>
      <c r="C284" t="s">
        <v>3037</v>
      </c>
      <c r="D284">
        <v>37.431581010000002</v>
      </c>
      <c r="E284" t="s">
        <v>3034</v>
      </c>
      <c r="F284">
        <v>112.5131532</v>
      </c>
      <c r="G284" t="s">
        <v>3035</v>
      </c>
      <c r="H284">
        <v>82981</v>
      </c>
      <c r="I284" t="s">
        <v>3036</v>
      </c>
    </row>
    <row r="285" spans="1:9" x14ac:dyDescent="0.25">
      <c r="A285" t="s">
        <v>3033</v>
      </c>
      <c r="B285" t="s">
        <v>3157</v>
      </c>
      <c r="C285" t="s">
        <v>3037</v>
      </c>
      <c r="D285">
        <v>35.774192069999998</v>
      </c>
      <c r="E285" t="s">
        <v>3034</v>
      </c>
      <c r="F285">
        <v>113.002866</v>
      </c>
      <c r="G285" t="s">
        <v>3035</v>
      </c>
      <c r="H285">
        <v>29906</v>
      </c>
      <c r="I285" t="s">
        <v>3036</v>
      </c>
    </row>
    <row r="286" spans="1:9" x14ac:dyDescent="0.25">
      <c r="A286" t="s">
        <v>3033</v>
      </c>
      <c r="B286" t="s">
        <v>3114</v>
      </c>
      <c r="C286" t="s">
        <v>3037</v>
      </c>
      <c r="D286">
        <v>40.326579299999999</v>
      </c>
      <c r="E286" t="s">
        <v>3034</v>
      </c>
      <c r="F286">
        <v>114.1956696</v>
      </c>
      <c r="G286" t="s">
        <v>3035</v>
      </c>
      <c r="H286">
        <v>17379</v>
      </c>
      <c r="I286" t="s">
        <v>3036</v>
      </c>
    </row>
    <row r="287" spans="1:9" x14ac:dyDescent="0.25">
      <c r="A287" t="s">
        <v>3033</v>
      </c>
      <c r="B287" t="s">
        <v>3523</v>
      </c>
      <c r="C287" t="s">
        <v>3037</v>
      </c>
      <c r="D287">
        <v>35.511222680000003</v>
      </c>
      <c r="E287" t="s">
        <v>3034</v>
      </c>
      <c r="F287">
        <v>111.7791847</v>
      </c>
      <c r="G287" t="s">
        <v>3035</v>
      </c>
      <c r="H287">
        <v>9747</v>
      </c>
      <c r="I287" t="s">
        <v>3036</v>
      </c>
    </row>
    <row r="288" spans="1:9" x14ac:dyDescent="0.25">
      <c r="A288" t="s">
        <v>3033</v>
      </c>
      <c r="B288" t="s">
        <v>3524</v>
      </c>
      <c r="C288" t="s">
        <v>3037</v>
      </c>
      <c r="D288">
        <v>34.753832950000003</v>
      </c>
      <c r="E288" t="s">
        <v>3034</v>
      </c>
      <c r="F288">
        <v>110.875441</v>
      </c>
      <c r="G288" t="s">
        <v>3035</v>
      </c>
      <c r="H288">
        <v>43851</v>
      </c>
      <c r="I288" t="s">
        <v>3036</v>
      </c>
    </row>
    <row r="289" spans="1:9" x14ac:dyDescent="0.25">
      <c r="A289" t="s">
        <v>3033</v>
      </c>
      <c r="B289" t="s">
        <v>3330</v>
      </c>
      <c r="C289" t="s">
        <v>3037</v>
      </c>
      <c r="D289">
        <v>37.413036609999999</v>
      </c>
      <c r="E289" t="s">
        <v>3034</v>
      </c>
      <c r="F289">
        <v>110.8468051</v>
      </c>
      <c r="G289" t="s">
        <v>3035</v>
      </c>
      <c r="H289">
        <v>34914</v>
      </c>
      <c r="I289" t="s">
        <v>3036</v>
      </c>
    </row>
    <row r="290" spans="1:9" x14ac:dyDescent="0.25">
      <c r="A290" t="s">
        <v>3033</v>
      </c>
      <c r="B290" t="s">
        <v>3331</v>
      </c>
      <c r="C290" t="s">
        <v>3037</v>
      </c>
      <c r="D290">
        <v>37.479842810000001</v>
      </c>
      <c r="E290" t="s">
        <v>3034</v>
      </c>
      <c r="F290">
        <v>112.263966</v>
      </c>
      <c r="G290" t="s">
        <v>3035</v>
      </c>
      <c r="H290">
        <v>34229</v>
      </c>
      <c r="I290" t="s">
        <v>3036</v>
      </c>
    </row>
    <row r="291" spans="1:9" x14ac:dyDescent="0.25">
      <c r="A291" t="s">
        <v>3033</v>
      </c>
      <c r="B291" t="s">
        <v>5044</v>
      </c>
      <c r="C291" t="s">
        <v>3037</v>
      </c>
      <c r="D291">
        <v>39.698378859999998</v>
      </c>
      <c r="E291" t="s">
        <v>3034</v>
      </c>
      <c r="F291">
        <v>114.05712</v>
      </c>
      <c r="G291" t="s">
        <v>3035</v>
      </c>
      <c r="H291">
        <v>25710</v>
      </c>
      <c r="I291" t="s">
        <v>3036</v>
      </c>
    </row>
    <row r="292" spans="1:9" x14ac:dyDescent="0.25">
      <c r="A292" t="s">
        <v>3033</v>
      </c>
      <c r="B292" t="s">
        <v>5045</v>
      </c>
      <c r="C292" t="s">
        <v>3037</v>
      </c>
      <c r="D292">
        <v>35.449943759999996</v>
      </c>
      <c r="E292" t="s">
        <v>3034</v>
      </c>
      <c r="F292">
        <v>112.7576214</v>
      </c>
      <c r="G292" t="s">
        <v>3035</v>
      </c>
      <c r="H292">
        <v>48926</v>
      </c>
      <c r="I292" t="s">
        <v>3036</v>
      </c>
    </row>
    <row r="293" spans="1:9" x14ac:dyDescent="0.25">
      <c r="A293" t="s">
        <v>3033</v>
      </c>
      <c r="B293" t="s">
        <v>3525</v>
      </c>
      <c r="C293" t="s">
        <v>3037</v>
      </c>
      <c r="D293">
        <v>35.578004270000001</v>
      </c>
      <c r="E293" t="s">
        <v>3034</v>
      </c>
      <c r="F293">
        <v>111.6036922</v>
      </c>
      <c r="G293" t="s">
        <v>3035</v>
      </c>
      <c r="H293">
        <v>24060</v>
      </c>
      <c r="I293" t="s">
        <v>3036</v>
      </c>
    </row>
    <row r="294" spans="1:9" x14ac:dyDescent="0.25">
      <c r="A294" t="s">
        <v>3033</v>
      </c>
      <c r="B294" t="s">
        <v>3208</v>
      </c>
      <c r="C294" t="s">
        <v>3037</v>
      </c>
      <c r="D294">
        <v>36.730824980000001</v>
      </c>
      <c r="E294" t="s">
        <v>3034</v>
      </c>
      <c r="F294">
        <v>111.8041891</v>
      </c>
      <c r="G294" t="s">
        <v>3035</v>
      </c>
      <c r="H294">
        <v>34627</v>
      </c>
      <c r="I294" t="s">
        <v>3036</v>
      </c>
    </row>
    <row r="295" spans="1:9" x14ac:dyDescent="0.25">
      <c r="A295" t="s">
        <v>3033</v>
      </c>
      <c r="B295" t="s">
        <v>3381</v>
      </c>
      <c r="C295" t="s">
        <v>3037</v>
      </c>
      <c r="D295">
        <v>39.465174949999998</v>
      </c>
      <c r="E295" t="s">
        <v>3034</v>
      </c>
      <c r="F295">
        <v>113.23112930000001</v>
      </c>
      <c r="G295" t="s">
        <v>3035</v>
      </c>
      <c r="H295">
        <v>38602</v>
      </c>
      <c r="I295" t="s">
        <v>3036</v>
      </c>
    </row>
    <row r="296" spans="1:9" x14ac:dyDescent="0.25">
      <c r="A296" t="s">
        <v>3033</v>
      </c>
      <c r="B296" t="s">
        <v>3265</v>
      </c>
      <c r="C296" t="s">
        <v>3037</v>
      </c>
      <c r="D296">
        <v>35.809219159999998</v>
      </c>
      <c r="E296" t="s">
        <v>3034</v>
      </c>
      <c r="F296">
        <v>111.381111</v>
      </c>
      <c r="G296" t="s">
        <v>3035</v>
      </c>
      <c r="H296">
        <v>27292</v>
      </c>
      <c r="I296" t="s">
        <v>3036</v>
      </c>
    </row>
    <row r="297" spans="1:9" x14ac:dyDescent="0.25">
      <c r="A297" t="s">
        <v>3033</v>
      </c>
      <c r="B297" t="s">
        <v>3266</v>
      </c>
      <c r="C297" t="s">
        <v>3037</v>
      </c>
      <c r="D297">
        <v>35.652031450000003</v>
      </c>
      <c r="E297" t="s">
        <v>3034</v>
      </c>
      <c r="F297">
        <v>111.7660356</v>
      </c>
      <c r="G297" t="s">
        <v>3035</v>
      </c>
      <c r="H297">
        <v>45098</v>
      </c>
      <c r="I297" t="s">
        <v>3036</v>
      </c>
    </row>
    <row r="298" spans="1:9" x14ac:dyDescent="0.25">
      <c r="A298" t="s">
        <v>3033</v>
      </c>
      <c r="B298" t="s">
        <v>3474</v>
      </c>
      <c r="C298" t="s">
        <v>3037</v>
      </c>
      <c r="D298">
        <v>38.048223</v>
      </c>
      <c r="E298" t="s">
        <v>3034</v>
      </c>
      <c r="F298">
        <v>113.32245829999999</v>
      </c>
      <c r="G298" t="s">
        <v>3035</v>
      </c>
      <c r="H298">
        <v>31187</v>
      </c>
      <c r="I298" t="s">
        <v>3036</v>
      </c>
    </row>
    <row r="299" spans="1:9" x14ac:dyDescent="0.25">
      <c r="A299" t="s">
        <v>3033</v>
      </c>
      <c r="B299" t="s">
        <v>3526</v>
      </c>
      <c r="C299" t="s">
        <v>3037</v>
      </c>
      <c r="D299">
        <v>34.700457999999998</v>
      </c>
      <c r="E299" t="s">
        <v>3034</v>
      </c>
      <c r="F299">
        <v>110.71730460000001</v>
      </c>
      <c r="G299" t="s">
        <v>3035</v>
      </c>
      <c r="H299">
        <v>30615</v>
      </c>
      <c r="I299" t="s">
        <v>3036</v>
      </c>
    </row>
    <row r="300" spans="1:9" x14ac:dyDescent="0.25">
      <c r="A300" t="s">
        <v>3033</v>
      </c>
      <c r="B300" t="s">
        <v>3209</v>
      </c>
      <c r="C300" t="s">
        <v>3037</v>
      </c>
      <c r="D300">
        <v>37.884937960000002</v>
      </c>
      <c r="E300" t="s">
        <v>3034</v>
      </c>
      <c r="F300">
        <v>112.99370209999999</v>
      </c>
      <c r="G300" t="s">
        <v>3035</v>
      </c>
      <c r="H300">
        <v>13691</v>
      </c>
      <c r="I300" t="s">
        <v>3036</v>
      </c>
    </row>
    <row r="301" spans="1:9" x14ac:dyDescent="0.25">
      <c r="A301" t="s">
        <v>3033</v>
      </c>
      <c r="B301" t="s">
        <v>3070</v>
      </c>
      <c r="C301" t="s">
        <v>3037</v>
      </c>
      <c r="D301">
        <v>36.08811807</v>
      </c>
      <c r="E301" t="s">
        <v>3034</v>
      </c>
      <c r="F301">
        <v>112.9692792</v>
      </c>
      <c r="G301" t="s">
        <v>3035</v>
      </c>
      <c r="H301">
        <v>24760</v>
      </c>
      <c r="I301" t="s">
        <v>3036</v>
      </c>
    </row>
    <row r="302" spans="1:9" x14ac:dyDescent="0.25">
      <c r="A302" t="s">
        <v>3033</v>
      </c>
      <c r="B302" t="s">
        <v>3332</v>
      </c>
      <c r="C302" t="s">
        <v>3037</v>
      </c>
      <c r="D302">
        <v>37.455483510000001</v>
      </c>
      <c r="E302" t="s">
        <v>3034</v>
      </c>
      <c r="F302">
        <v>112.2085683</v>
      </c>
      <c r="G302" t="s">
        <v>3035</v>
      </c>
      <c r="H302">
        <v>20195</v>
      </c>
      <c r="I302" t="s">
        <v>3036</v>
      </c>
    </row>
    <row r="303" spans="1:9" x14ac:dyDescent="0.25">
      <c r="A303" t="s">
        <v>3033</v>
      </c>
      <c r="B303" t="s">
        <v>3475</v>
      </c>
      <c r="C303" t="s">
        <v>3037</v>
      </c>
      <c r="D303">
        <v>37.955184699999997</v>
      </c>
      <c r="E303" t="s">
        <v>3034</v>
      </c>
      <c r="F303">
        <v>113.8467134</v>
      </c>
      <c r="G303" t="s">
        <v>3035</v>
      </c>
      <c r="H303">
        <v>16561</v>
      </c>
      <c r="I303" t="s">
        <v>3036</v>
      </c>
    </row>
    <row r="304" spans="1:9" x14ac:dyDescent="0.25">
      <c r="A304" t="s">
        <v>3033</v>
      </c>
      <c r="B304" t="s">
        <v>3527</v>
      </c>
      <c r="C304" t="s">
        <v>3037</v>
      </c>
      <c r="D304">
        <v>35.24096866</v>
      </c>
      <c r="E304" t="s">
        <v>3034</v>
      </c>
      <c r="F304">
        <v>111.34252410000001</v>
      </c>
      <c r="G304" t="s">
        <v>3035</v>
      </c>
      <c r="H304">
        <v>12263</v>
      </c>
      <c r="I304" t="s">
        <v>3036</v>
      </c>
    </row>
    <row r="305" spans="1:9" x14ac:dyDescent="0.25">
      <c r="A305" t="s">
        <v>3033</v>
      </c>
      <c r="B305" t="s">
        <v>3437</v>
      </c>
      <c r="C305" t="s">
        <v>3037</v>
      </c>
      <c r="D305">
        <v>39.055756199999998</v>
      </c>
      <c r="E305" t="s">
        <v>3034</v>
      </c>
      <c r="F305">
        <v>113.1995356</v>
      </c>
      <c r="G305" t="s">
        <v>3035</v>
      </c>
      <c r="H305">
        <v>11628</v>
      </c>
      <c r="I305" t="s">
        <v>3036</v>
      </c>
    </row>
    <row r="306" spans="1:9" x14ac:dyDescent="0.25">
      <c r="A306" t="s">
        <v>3033</v>
      </c>
      <c r="B306" t="s">
        <v>3210</v>
      </c>
      <c r="C306" t="s">
        <v>3037</v>
      </c>
      <c r="D306">
        <v>37.203948029999999</v>
      </c>
      <c r="E306" t="s">
        <v>3034</v>
      </c>
      <c r="F306">
        <v>112.04973440000001</v>
      </c>
      <c r="G306" t="s">
        <v>3035</v>
      </c>
      <c r="H306">
        <v>36708</v>
      </c>
      <c r="I306" t="s">
        <v>3036</v>
      </c>
    </row>
    <row r="307" spans="1:9" x14ac:dyDescent="0.25">
      <c r="A307" t="s">
        <v>3033</v>
      </c>
      <c r="B307" t="s">
        <v>3333</v>
      </c>
      <c r="C307" t="s">
        <v>3037</v>
      </c>
      <c r="D307">
        <v>37.209760520000003</v>
      </c>
      <c r="E307" t="s">
        <v>3034</v>
      </c>
      <c r="F307">
        <v>111.2186822</v>
      </c>
      <c r="G307" t="s">
        <v>3035</v>
      </c>
      <c r="H307">
        <v>76490</v>
      </c>
      <c r="I307" t="s">
        <v>3036</v>
      </c>
    </row>
    <row r="308" spans="1:9" x14ac:dyDescent="0.25">
      <c r="A308" t="s">
        <v>3033</v>
      </c>
      <c r="B308" t="s">
        <v>3404</v>
      </c>
      <c r="C308" t="s">
        <v>3037</v>
      </c>
      <c r="D308">
        <v>38.163186230000001</v>
      </c>
      <c r="E308" t="s">
        <v>3034</v>
      </c>
      <c r="F308">
        <v>112.4990603</v>
      </c>
      <c r="G308" t="s">
        <v>3035</v>
      </c>
      <c r="H308">
        <v>16854</v>
      </c>
      <c r="I308" t="s">
        <v>3036</v>
      </c>
    </row>
    <row r="309" spans="1:9" x14ac:dyDescent="0.25">
      <c r="A309" t="s">
        <v>3033</v>
      </c>
      <c r="B309" t="s">
        <v>3476</v>
      </c>
      <c r="C309" t="s">
        <v>3037</v>
      </c>
      <c r="D309">
        <v>38.092923300000002</v>
      </c>
      <c r="E309" t="s">
        <v>3034</v>
      </c>
      <c r="F309">
        <v>113.53095519999999</v>
      </c>
      <c r="G309" t="s">
        <v>3035</v>
      </c>
      <c r="H309">
        <v>19280</v>
      </c>
      <c r="I309" t="s">
        <v>3036</v>
      </c>
    </row>
    <row r="310" spans="1:9" x14ac:dyDescent="0.25">
      <c r="A310" t="s">
        <v>3033</v>
      </c>
      <c r="B310" t="s">
        <v>3528</v>
      </c>
      <c r="C310" t="s">
        <v>3037</v>
      </c>
      <c r="D310">
        <v>35.077276740000002</v>
      </c>
      <c r="E310" t="s">
        <v>3034</v>
      </c>
      <c r="F310">
        <v>110.78011309999999</v>
      </c>
      <c r="G310" t="s">
        <v>3035</v>
      </c>
      <c r="H310">
        <v>34970</v>
      </c>
      <c r="I310" t="s">
        <v>3036</v>
      </c>
    </row>
    <row r="311" spans="1:9" x14ac:dyDescent="0.25">
      <c r="A311" t="s">
        <v>3033</v>
      </c>
      <c r="B311" t="s">
        <v>3334</v>
      </c>
      <c r="C311" t="s">
        <v>3037</v>
      </c>
      <c r="D311">
        <v>37.13504125</v>
      </c>
      <c r="E311" t="s">
        <v>3034</v>
      </c>
      <c r="F311">
        <v>111.00219060000001</v>
      </c>
      <c r="G311" t="s">
        <v>3035</v>
      </c>
      <c r="H311">
        <v>10728</v>
      </c>
      <c r="I311" t="s">
        <v>3036</v>
      </c>
    </row>
    <row r="312" spans="1:9" x14ac:dyDescent="0.25">
      <c r="A312" t="s">
        <v>3033</v>
      </c>
      <c r="B312" t="s">
        <v>3335</v>
      </c>
      <c r="C312" t="s">
        <v>3037</v>
      </c>
      <c r="D312">
        <v>37.79888596</v>
      </c>
      <c r="E312" t="s">
        <v>3034</v>
      </c>
      <c r="F312">
        <v>111.50102339999999</v>
      </c>
      <c r="G312" t="s">
        <v>3035</v>
      </c>
      <c r="H312">
        <v>1706</v>
      </c>
      <c r="I312" t="s">
        <v>3036</v>
      </c>
    </row>
    <row r="313" spans="1:9" x14ac:dyDescent="0.25">
      <c r="A313" t="s">
        <v>3033</v>
      </c>
      <c r="B313" t="s">
        <v>3071</v>
      </c>
      <c r="C313" t="s">
        <v>3037</v>
      </c>
      <c r="D313">
        <v>36.79539922</v>
      </c>
      <c r="E313" t="s">
        <v>3034</v>
      </c>
      <c r="F313">
        <v>113.1737315</v>
      </c>
      <c r="G313" t="s">
        <v>3035</v>
      </c>
      <c r="H313">
        <v>21228</v>
      </c>
      <c r="I313" t="s">
        <v>3036</v>
      </c>
    </row>
    <row r="314" spans="1:9" x14ac:dyDescent="0.25">
      <c r="A314" t="s">
        <v>3033</v>
      </c>
      <c r="B314" t="s">
        <v>3529</v>
      </c>
      <c r="C314" t="s">
        <v>3037</v>
      </c>
      <c r="D314">
        <v>35.115133649999997</v>
      </c>
      <c r="E314" t="s">
        <v>3034</v>
      </c>
      <c r="F314">
        <v>111.14567340000001</v>
      </c>
      <c r="G314" t="s">
        <v>3035</v>
      </c>
      <c r="H314">
        <v>49502</v>
      </c>
      <c r="I314" t="s">
        <v>3036</v>
      </c>
    </row>
    <row r="315" spans="1:9" x14ac:dyDescent="0.25">
      <c r="A315" t="s">
        <v>3033</v>
      </c>
      <c r="B315" t="s">
        <v>3530</v>
      </c>
      <c r="C315" t="s">
        <v>3037</v>
      </c>
      <c r="D315">
        <v>35.468058679999999</v>
      </c>
      <c r="E315" t="s">
        <v>3034</v>
      </c>
      <c r="F315">
        <v>110.60009239999999</v>
      </c>
      <c r="G315" t="s">
        <v>3035</v>
      </c>
      <c r="H315">
        <v>27453</v>
      </c>
      <c r="I315" t="s">
        <v>3036</v>
      </c>
    </row>
    <row r="316" spans="1:9" x14ac:dyDescent="0.25">
      <c r="A316" t="s">
        <v>3033</v>
      </c>
      <c r="B316" t="s">
        <v>3158</v>
      </c>
      <c r="C316" t="s">
        <v>3037</v>
      </c>
      <c r="D316">
        <v>35.84602581</v>
      </c>
      <c r="E316" t="s">
        <v>3034</v>
      </c>
      <c r="F316">
        <v>113.3108299</v>
      </c>
      <c r="G316" t="s">
        <v>3035</v>
      </c>
      <c r="H316">
        <v>21742</v>
      </c>
      <c r="I316" t="s">
        <v>3036</v>
      </c>
    </row>
    <row r="317" spans="1:9" x14ac:dyDescent="0.25">
      <c r="A317" t="s">
        <v>3033</v>
      </c>
      <c r="B317" t="s">
        <v>3477</v>
      </c>
      <c r="C317" t="s">
        <v>3037</v>
      </c>
      <c r="D317">
        <v>37.876894890000003</v>
      </c>
      <c r="E317" t="s">
        <v>3034</v>
      </c>
      <c r="F317">
        <v>113.4643396</v>
      </c>
      <c r="G317" t="s">
        <v>3035</v>
      </c>
      <c r="H317">
        <v>30240</v>
      </c>
      <c r="I317" t="s">
        <v>3036</v>
      </c>
    </row>
    <row r="318" spans="1:9" x14ac:dyDescent="0.25">
      <c r="A318" t="s">
        <v>3033</v>
      </c>
      <c r="B318" t="s">
        <v>3211</v>
      </c>
      <c r="C318" t="s">
        <v>3037</v>
      </c>
      <c r="D318">
        <v>37.935334730000001</v>
      </c>
      <c r="E318" t="s">
        <v>3034</v>
      </c>
      <c r="F318">
        <v>112.8627125</v>
      </c>
      <c r="G318" t="s">
        <v>3035</v>
      </c>
      <c r="H318">
        <v>21273</v>
      </c>
      <c r="I318" t="s">
        <v>3036</v>
      </c>
    </row>
    <row r="319" spans="1:9" x14ac:dyDescent="0.25">
      <c r="A319" t="s">
        <v>3033</v>
      </c>
      <c r="B319" t="s">
        <v>3438</v>
      </c>
      <c r="C319" t="s">
        <v>3037</v>
      </c>
      <c r="D319">
        <v>39.264440829999998</v>
      </c>
      <c r="E319" t="s">
        <v>3034</v>
      </c>
      <c r="F319">
        <v>113.86921510000001</v>
      </c>
      <c r="G319" t="s">
        <v>3035</v>
      </c>
      <c r="H319">
        <v>12053</v>
      </c>
      <c r="I319" t="s">
        <v>3036</v>
      </c>
    </row>
    <row r="320" spans="1:9" x14ac:dyDescent="0.25">
      <c r="A320" t="s">
        <v>3033</v>
      </c>
      <c r="B320" t="s">
        <v>3267</v>
      </c>
      <c r="C320" t="s">
        <v>3037</v>
      </c>
      <c r="D320">
        <v>36.319980889999997</v>
      </c>
      <c r="E320" t="s">
        <v>3034</v>
      </c>
      <c r="F320">
        <v>111.10649359999999</v>
      </c>
      <c r="G320" t="s">
        <v>3035</v>
      </c>
      <c r="H320">
        <v>32240</v>
      </c>
      <c r="I320" t="s">
        <v>3036</v>
      </c>
    </row>
    <row r="321" spans="1:9" x14ac:dyDescent="0.25">
      <c r="A321" t="s">
        <v>3033</v>
      </c>
      <c r="B321" t="s">
        <v>3336</v>
      </c>
      <c r="C321" t="s">
        <v>3037</v>
      </c>
      <c r="D321">
        <v>38.260195160000002</v>
      </c>
      <c r="E321" t="s">
        <v>3034</v>
      </c>
      <c r="F321">
        <v>111.5496771</v>
      </c>
      <c r="G321" t="s">
        <v>3035</v>
      </c>
      <c r="H321">
        <v>20875</v>
      </c>
      <c r="I321" t="s">
        <v>3036</v>
      </c>
    </row>
    <row r="322" spans="1:9" x14ac:dyDescent="0.25">
      <c r="A322" t="s">
        <v>3033</v>
      </c>
      <c r="B322" t="s">
        <v>3531</v>
      </c>
      <c r="C322" t="s">
        <v>3037</v>
      </c>
      <c r="D322">
        <v>34.857856730000002</v>
      </c>
      <c r="E322" t="s">
        <v>3034</v>
      </c>
      <c r="F322">
        <v>110.3076512</v>
      </c>
      <c r="G322" t="s">
        <v>3035</v>
      </c>
      <c r="H322">
        <v>40817</v>
      </c>
      <c r="I322" t="s">
        <v>3036</v>
      </c>
    </row>
    <row r="323" spans="1:9" x14ac:dyDescent="0.25">
      <c r="A323" t="s">
        <v>3033</v>
      </c>
      <c r="B323" t="s">
        <v>3268</v>
      </c>
      <c r="C323" t="s">
        <v>3037</v>
      </c>
      <c r="D323">
        <v>36.13186451</v>
      </c>
      <c r="E323" t="s">
        <v>3034</v>
      </c>
      <c r="F323">
        <v>111.60391970000001</v>
      </c>
      <c r="G323" t="s">
        <v>3035</v>
      </c>
      <c r="H323">
        <v>18105</v>
      </c>
      <c r="I323" t="s">
        <v>3036</v>
      </c>
    </row>
    <row r="324" spans="1:9" x14ac:dyDescent="0.25">
      <c r="A324" t="s">
        <v>3033</v>
      </c>
      <c r="B324" t="s">
        <v>3072</v>
      </c>
      <c r="C324" t="s">
        <v>3037</v>
      </c>
      <c r="D324">
        <v>35.703011629999999</v>
      </c>
      <c r="E324" t="s">
        <v>3034</v>
      </c>
      <c r="F324">
        <v>111.9658091</v>
      </c>
      <c r="G324" t="s">
        <v>3035</v>
      </c>
      <c r="H324">
        <v>9712</v>
      </c>
      <c r="I324" t="s">
        <v>3036</v>
      </c>
    </row>
    <row r="325" spans="1:9" x14ac:dyDescent="0.25">
      <c r="A325" t="s">
        <v>3033</v>
      </c>
      <c r="B325" t="s">
        <v>3072</v>
      </c>
      <c r="C325" t="s">
        <v>3037</v>
      </c>
      <c r="D325">
        <v>35.930838489999999</v>
      </c>
      <c r="E325" t="s">
        <v>3034</v>
      </c>
      <c r="F325">
        <v>113.55106979999999</v>
      </c>
      <c r="G325" t="s">
        <v>3035</v>
      </c>
      <c r="H325">
        <v>8621</v>
      </c>
      <c r="I325" t="s">
        <v>3036</v>
      </c>
    </row>
    <row r="326" spans="1:9" x14ac:dyDescent="0.25">
      <c r="A326" t="s">
        <v>3033</v>
      </c>
      <c r="B326" t="s">
        <v>3439</v>
      </c>
      <c r="C326" t="s">
        <v>3037</v>
      </c>
      <c r="D326">
        <v>38.928472040000003</v>
      </c>
      <c r="E326" t="s">
        <v>3034</v>
      </c>
      <c r="F326">
        <v>111.1353763</v>
      </c>
      <c r="G326" t="s">
        <v>3035</v>
      </c>
      <c r="H326">
        <v>17083</v>
      </c>
      <c r="I326" t="s">
        <v>3036</v>
      </c>
    </row>
    <row r="327" spans="1:9" x14ac:dyDescent="0.25">
      <c r="A327" t="s">
        <v>3033</v>
      </c>
      <c r="B327" t="s">
        <v>3440</v>
      </c>
      <c r="C327" t="s">
        <v>3037</v>
      </c>
      <c r="D327">
        <v>38.587055290000002</v>
      </c>
      <c r="E327" t="s">
        <v>3034</v>
      </c>
      <c r="F327">
        <v>112.56586110000001</v>
      </c>
      <c r="G327" t="s">
        <v>3035</v>
      </c>
      <c r="H327">
        <v>28318</v>
      </c>
      <c r="I327" t="s">
        <v>3036</v>
      </c>
    </row>
    <row r="328" spans="1:9" x14ac:dyDescent="0.25">
      <c r="A328" t="s">
        <v>3033</v>
      </c>
      <c r="B328" t="s">
        <v>3532</v>
      </c>
      <c r="C328" t="s">
        <v>3037</v>
      </c>
      <c r="D328">
        <v>35.01864252</v>
      </c>
      <c r="E328" t="s">
        <v>3034</v>
      </c>
      <c r="F328">
        <v>110.5447525</v>
      </c>
      <c r="G328" t="s">
        <v>3035</v>
      </c>
      <c r="H328">
        <v>28865</v>
      </c>
      <c r="I328" t="s">
        <v>3036</v>
      </c>
    </row>
    <row r="329" spans="1:9" x14ac:dyDescent="0.25">
      <c r="A329" t="s">
        <v>3033</v>
      </c>
      <c r="B329" t="s">
        <v>3337</v>
      </c>
      <c r="C329" t="s">
        <v>3037</v>
      </c>
      <c r="D329">
        <v>37.671101040000003</v>
      </c>
      <c r="E329" t="s">
        <v>3034</v>
      </c>
      <c r="F329">
        <v>110.7916939</v>
      </c>
      <c r="G329" t="s">
        <v>3035</v>
      </c>
      <c r="H329">
        <v>30009</v>
      </c>
      <c r="I329" t="s">
        <v>3036</v>
      </c>
    </row>
    <row r="330" spans="1:9" x14ac:dyDescent="0.25">
      <c r="A330" t="s">
        <v>3033</v>
      </c>
      <c r="B330" t="s">
        <v>3159</v>
      </c>
      <c r="C330" t="s">
        <v>3037</v>
      </c>
      <c r="D330">
        <v>35.613314770000002</v>
      </c>
      <c r="E330" t="s">
        <v>3034</v>
      </c>
      <c r="F330">
        <v>112.2781303</v>
      </c>
      <c r="G330" t="s">
        <v>3035</v>
      </c>
      <c r="H330">
        <v>15502</v>
      </c>
      <c r="I330" t="s">
        <v>3036</v>
      </c>
    </row>
    <row r="331" spans="1:9" x14ac:dyDescent="0.25">
      <c r="A331" t="s">
        <v>3033</v>
      </c>
      <c r="B331" t="s">
        <v>3212</v>
      </c>
      <c r="C331" t="s">
        <v>3037</v>
      </c>
      <c r="D331">
        <v>37.2937838</v>
      </c>
      <c r="E331" t="s">
        <v>3034</v>
      </c>
      <c r="F331">
        <v>113.8249261</v>
      </c>
      <c r="G331" t="s">
        <v>3035</v>
      </c>
      <c r="H331">
        <v>7546</v>
      </c>
      <c r="I331" t="s">
        <v>3036</v>
      </c>
    </row>
    <row r="332" spans="1:9" x14ac:dyDescent="0.25">
      <c r="A332" t="s">
        <v>3033</v>
      </c>
      <c r="B332" t="s">
        <v>3533</v>
      </c>
      <c r="C332" t="s">
        <v>3037</v>
      </c>
      <c r="D332">
        <v>35.542543879999997</v>
      </c>
      <c r="E332" t="s">
        <v>3034</v>
      </c>
      <c r="F332">
        <v>111.02594000000001</v>
      </c>
      <c r="G332" t="s">
        <v>3035</v>
      </c>
      <c r="H332">
        <v>30151</v>
      </c>
      <c r="I332" t="s">
        <v>3036</v>
      </c>
    </row>
    <row r="333" spans="1:9" x14ac:dyDescent="0.25">
      <c r="A333" t="s">
        <v>3033</v>
      </c>
      <c r="B333" t="s">
        <v>3534</v>
      </c>
      <c r="C333" t="s">
        <v>3037</v>
      </c>
      <c r="D333">
        <v>34.959577369999998</v>
      </c>
      <c r="E333" t="s">
        <v>3034</v>
      </c>
      <c r="F333">
        <v>110.7038507</v>
      </c>
      <c r="G333" t="s">
        <v>3035</v>
      </c>
      <c r="H333">
        <v>47607</v>
      </c>
      <c r="I333" t="s">
        <v>3036</v>
      </c>
    </row>
    <row r="334" spans="1:9" x14ac:dyDescent="0.25">
      <c r="A334" t="s">
        <v>3033</v>
      </c>
      <c r="B334" t="s">
        <v>3269</v>
      </c>
      <c r="C334" t="s">
        <v>3037</v>
      </c>
      <c r="D334">
        <v>36.702405419999998</v>
      </c>
      <c r="E334" t="s">
        <v>3034</v>
      </c>
      <c r="F334">
        <v>111.3343296</v>
      </c>
      <c r="G334" t="s">
        <v>3035</v>
      </c>
      <c r="H334">
        <v>17654</v>
      </c>
      <c r="I334" t="s">
        <v>3036</v>
      </c>
    </row>
    <row r="335" spans="1:9" x14ac:dyDescent="0.25">
      <c r="A335" t="s">
        <v>3033</v>
      </c>
      <c r="B335" t="s">
        <v>3073</v>
      </c>
      <c r="C335" t="s">
        <v>3037</v>
      </c>
      <c r="D335">
        <v>36.189182580000001</v>
      </c>
      <c r="E335" t="s">
        <v>3034</v>
      </c>
      <c r="F335">
        <v>113.4049551</v>
      </c>
      <c r="G335" t="s">
        <v>3035</v>
      </c>
      <c r="H335">
        <v>34098</v>
      </c>
      <c r="I335" t="s">
        <v>3036</v>
      </c>
    </row>
    <row r="336" spans="1:9" x14ac:dyDescent="0.25">
      <c r="A336" t="s">
        <v>3033</v>
      </c>
      <c r="B336" t="s">
        <v>3405</v>
      </c>
      <c r="C336" t="s">
        <v>3037</v>
      </c>
      <c r="D336">
        <v>37.590660319999998</v>
      </c>
      <c r="E336" t="s">
        <v>3034</v>
      </c>
      <c r="F336">
        <v>112.3299281</v>
      </c>
      <c r="G336" t="s">
        <v>3035</v>
      </c>
      <c r="H336">
        <v>116598</v>
      </c>
      <c r="I336" t="s">
        <v>3036</v>
      </c>
    </row>
    <row r="337" spans="1:9" x14ac:dyDescent="0.25">
      <c r="A337" t="s">
        <v>3033</v>
      </c>
      <c r="B337" t="s">
        <v>3074</v>
      </c>
      <c r="C337" t="s">
        <v>3037</v>
      </c>
      <c r="D337">
        <v>36.492106110000002</v>
      </c>
      <c r="E337" t="s">
        <v>3034</v>
      </c>
      <c r="F337">
        <v>112.3470366</v>
      </c>
      <c r="G337" t="s">
        <v>3035</v>
      </c>
      <c r="H337">
        <v>50143</v>
      </c>
      <c r="I337" t="s">
        <v>3036</v>
      </c>
    </row>
    <row r="338" spans="1:9" x14ac:dyDescent="0.25">
      <c r="A338" t="s">
        <v>3033</v>
      </c>
      <c r="B338" t="s">
        <v>3213</v>
      </c>
      <c r="C338" t="s">
        <v>3037</v>
      </c>
      <c r="D338">
        <v>36.998293390000001</v>
      </c>
      <c r="E338" t="s">
        <v>3034</v>
      </c>
      <c r="F338">
        <v>113.6710901</v>
      </c>
      <c r="G338" t="s">
        <v>3035</v>
      </c>
      <c r="H338">
        <v>12599</v>
      </c>
      <c r="I338" t="s">
        <v>3036</v>
      </c>
    </row>
    <row r="339" spans="1:9" x14ac:dyDescent="0.25">
      <c r="A339" t="s">
        <v>3033</v>
      </c>
      <c r="B339" t="s">
        <v>3535</v>
      </c>
      <c r="C339" t="s">
        <v>3037</v>
      </c>
      <c r="D339">
        <v>35.655814399999997</v>
      </c>
      <c r="E339" t="s">
        <v>3034</v>
      </c>
      <c r="F339">
        <v>111.1026624</v>
      </c>
      <c r="G339" t="s">
        <v>3035</v>
      </c>
      <c r="H339">
        <v>17578</v>
      </c>
      <c r="I339" t="s">
        <v>3036</v>
      </c>
    </row>
    <row r="340" spans="1:9" x14ac:dyDescent="0.25">
      <c r="A340" t="s">
        <v>3033</v>
      </c>
      <c r="B340" t="s">
        <v>3270</v>
      </c>
      <c r="C340" t="s">
        <v>3037</v>
      </c>
      <c r="D340">
        <v>35.745147199999998</v>
      </c>
      <c r="E340" t="s">
        <v>3034</v>
      </c>
      <c r="F340">
        <v>111.5317177</v>
      </c>
      <c r="G340" t="s">
        <v>3035</v>
      </c>
      <c r="H340">
        <v>25135</v>
      </c>
      <c r="I340" t="s">
        <v>3036</v>
      </c>
    </row>
    <row r="341" spans="1:9" x14ac:dyDescent="0.25">
      <c r="A341" t="s">
        <v>3033</v>
      </c>
      <c r="B341" t="s">
        <v>3271</v>
      </c>
      <c r="C341" t="s">
        <v>3037</v>
      </c>
      <c r="D341">
        <v>36.420862880000001</v>
      </c>
      <c r="E341" t="s">
        <v>3034</v>
      </c>
      <c r="F341">
        <v>110.6697221</v>
      </c>
      <c r="G341" t="s">
        <v>3035</v>
      </c>
      <c r="H341">
        <v>8103</v>
      </c>
      <c r="I341" t="s">
        <v>3036</v>
      </c>
    </row>
    <row r="342" spans="1:9" x14ac:dyDescent="0.25">
      <c r="A342" t="s">
        <v>3033</v>
      </c>
      <c r="B342" t="s">
        <v>3115</v>
      </c>
      <c r="C342" t="s">
        <v>3037</v>
      </c>
      <c r="D342">
        <v>40.129140249999999</v>
      </c>
      <c r="E342" t="s">
        <v>3034</v>
      </c>
      <c r="F342">
        <v>112.919102</v>
      </c>
      <c r="G342" t="s">
        <v>3035</v>
      </c>
      <c r="H342">
        <v>11948</v>
      </c>
      <c r="I342" t="s">
        <v>3036</v>
      </c>
    </row>
    <row r="343" spans="1:9" x14ac:dyDescent="0.25">
      <c r="A343" t="s">
        <v>3033</v>
      </c>
      <c r="B343" t="s">
        <v>3272</v>
      </c>
      <c r="C343" t="s">
        <v>3037</v>
      </c>
      <c r="D343">
        <v>36.181296680000003</v>
      </c>
      <c r="E343" t="s">
        <v>3034</v>
      </c>
      <c r="F343">
        <v>111.78184950000001</v>
      </c>
      <c r="G343" t="s">
        <v>3035</v>
      </c>
      <c r="H343">
        <v>51800</v>
      </c>
      <c r="I343" t="s">
        <v>3036</v>
      </c>
    </row>
    <row r="344" spans="1:9" x14ac:dyDescent="0.25">
      <c r="A344" t="s">
        <v>3033</v>
      </c>
      <c r="B344" t="s">
        <v>3338</v>
      </c>
      <c r="C344" t="s">
        <v>3037</v>
      </c>
      <c r="D344">
        <v>37.879148389999997</v>
      </c>
      <c r="E344" t="s">
        <v>3034</v>
      </c>
      <c r="F344">
        <v>110.6753923</v>
      </c>
      <c r="G344" t="s">
        <v>3035</v>
      </c>
      <c r="H344">
        <v>26119</v>
      </c>
      <c r="I344" t="s">
        <v>3036</v>
      </c>
    </row>
    <row r="345" spans="1:9" x14ac:dyDescent="0.25">
      <c r="A345" t="s">
        <v>3033</v>
      </c>
      <c r="B345" t="s">
        <v>3536</v>
      </c>
      <c r="C345" t="s">
        <v>3037</v>
      </c>
      <c r="D345">
        <v>35.352025249999997</v>
      </c>
      <c r="E345" t="s">
        <v>3034</v>
      </c>
      <c r="F345">
        <v>110.506838</v>
      </c>
      <c r="G345" t="s">
        <v>3035</v>
      </c>
      <c r="H345">
        <v>42855</v>
      </c>
      <c r="I345" t="s">
        <v>3036</v>
      </c>
    </row>
    <row r="346" spans="1:9" x14ac:dyDescent="0.25">
      <c r="A346" t="s">
        <v>3033</v>
      </c>
      <c r="B346" t="s">
        <v>3160</v>
      </c>
      <c r="C346" t="s">
        <v>3037</v>
      </c>
      <c r="D346">
        <v>35.512769929999997</v>
      </c>
      <c r="E346" t="s">
        <v>3034</v>
      </c>
      <c r="F346">
        <v>112.505424</v>
      </c>
      <c r="G346" t="s">
        <v>3035</v>
      </c>
      <c r="H346">
        <v>34051</v>
      </c>
      <c r="I346" t="s">
        <v>3036</v>
      </c>
    </row>
    <row r="347" spans="1:9" x14ac:dyDescent="0.25">
      <c r="A347" t="s">
        <v>3033</v>
      </c>
      <c r="B347" t="s">
        <v>3441</v>
      </c>
      <c r="C347" t="s">
        <v>3037</v>
      </c>
      <c r="D347">
        <v>39.178570809999997</v>
      </c>
      <c r="E347" t="s">
        <v>3034</v>
      </c>
      <c r="F347">
        <v>111.6778995</v>
      </c>
      <c r="G347" t="s">
        <v>3035</v>
      </c>
      <c r="H347">
        <v>12861</v>
      </c>
      <c r="I347" t="s">
        <v>3036</v>
      </c>
    </row>
    <row r="348" spans="1:9" x14ac:dyDescent="0.25">
      <c r="A348" t="s">
        <v>3033</v>
      </c>
      <c r="B348" t="s">
        <v>3273</v>
      </c>
      <c r="C348" t="s">
        <v>3037</v>
      </c>
      <c r="D348">
        <v>36.67379296</v>
      </c>
      <c r="E348" t="s">
        <v>3034</v>
      </c>
      <c r="F348">
        <v>110.7205795</v>
      </c>
      <c r="G348" t="s">
        <v>3035</v>
      </c>
      <c r="H348">
        <v>5376</v>
      </c>
      <c r="I348" t="s">
        <v>3036</v>
      </c>
    </row>
    <row r="349" spans="1:9" x14ac:dyDescent="0.25">
      <c r="A349" t="s">
        <v>3033</v>
      </c>
      <c r="B349" t="s">
        <v>3537</v>
      </c>
      <c r="C349" t="s">
        <v>3037</v>
      </c>
      <c r="D349">
        <v>35.222639469999997</v>
      </c>
      <c r="E349" t="s">
        <v>3034</v>
      </c>
      <c r="F349">
        <v>110.82713270000001</v>
      </c>
      <c r="G349" t="s">
        <v>3035</v>
      </c>
      <c r="H349">
        <v>18782</v>
      </c>
      <c r="I349" t="s">
        <v>3036</v>
      </c>
    </row>
    <row r="350" spans="1:9" x14ac:dyDescent="0.25">
      <c r="A350" t="s">
        <v>3033</v>
      </c>
      <c r="B350" t="s">
        <v>3161</v>
      </c>
      <c r="C350" t="s">
        <v>3037</v>
      </c>
      <c r="D350">
        <v>35.849186510000003</v>
      </c>
      <c r="E350" t="s">
        <v>3034</v>
      </c>
      <c r="F350">
        <v>112.9649972</v>
      </c>
      <c r="G350" t="s">
        <v>3035</v>
      </c>
      <c r="H350">
        <v>22916</v>
      </c>
      <c r="I350" t="s">
        <v>3036</v>
      </c>
    </row>
    <row r="351" spans="1:9" x14ac:dyDescent="0.25">
      <c r="A351" t="s">
        <v>3033</v>
      </c>
      <c r="B351" t="s">
        <v>5046</v>
      </c>
      <c r="C351" t="s">
        <v>3037</v>
      </c>
      <c r="D351">
        <v>37.767288069999999</v>
      </c>
      <c r="E351" t="s">
        <v>3034</v>
      </c>
      <c r="F351">
        <v>110.956183</v>
      </c>
      <c r="G351" t="s">
        <v>3035</v>
      </c>
      <c r="H351">
        <v>51252</v>
      </c>
      <c r="I351" t="s">
        <v>3036</v>
      </c>
    </row>
    <row r="352" spans="1:9" x14ac:dyDescent="0.25">
      <c r="A352" t="s">
        <v>3033</v>
      </c>
      <c r="B352" t="s">
        <v>5047</v>
      </c>
      <c r="C352" t="s">
        <v>3037</v>
      </c>
      <c r="D352">
        <v>37.274081219999999</v>
      </c>
      <c r="E352" t="s">
        <v>3034</v>
      </c>
      <c r="F352">
        <v>110.73076349999999</v>
      </c>
      <c r="G352" t="s">
        <v>3035</v>
      </c>
      <c r="H352">
        <v>11972</v>
      </c>
      <c r="I352" t="s">
        <v>3036</v>
      </c>
    </row>
    <row r="353" spans="1:9" x14ac:dyDescent="0.25">
      <c r="A353" t="s">
        <v>3033</v>
      </c>
      <c r="B353" t="s">
        <v>5048</v>
      </c>
      <c r="C353" t="s">
        <v>3037</v>
      </c>
      <c r="D353">
        <v>38.360057419999997</v>
      </c>
      <c r="E353" t="s">
        <v>3034</v>
      </c>
      <c r="F353">
        <v>112.4198695</v>
      </c>
      <c r="G353" t="s">
        <v>3035</v>
      </c>
      <c r="H353">
        <v>7930</v>
      </c>
      <c r="I353" t="s">
        <v>3036</v>
      </c>
    </row>
    <row r="354" spans="1:9" x14ac:dyDescent="0.25">
      <c r="A354" t="s">
        <v>3033</v>
      </c>
      <c r="B354" t="s">
        <v>3442</v>
      </c>
      <c r="C354" t="s">
        <v>3037</v>
      </c>
      <c r="D354">
        <v>38.818678859999999</v>
      </c>
      <c r="E354" t="s">
        <v>3034</v>
      </c>
      <c r="F354">
        <v>111.67273369999999</v>
      </c>
      <c r="G354" t="s">
        <v>3035</v>
      </c>
      <c r="H354">
        <v>6796</v>
      </c>
      <c r="I354" t="s">
        <v>3036</v>
      </c>
    </row>
    <row r="355" spans="1:9" x14ac:dyDescent="0.25">
      <c r="A355" t="s">
        <v>3033</v>
      </c>
      <c r="B355" t="s">
        <v>3538</v>
      </c>
      <c r="C355" t="s">
        <v>3037</v>
      </c>
      <c r="D355">
        <v>35.296581430000003</v>
      </c>
      <c r="E355" t="s">
        <v>3034</v>
      </c>
      <c r="F355">
        <v>110.9807287</v>
      </c>
      <c r="G355" t="s">
        <v>3035</v>
      </c>
      <c r="H355">
        <v>11940</v>
      </c>
      <c r="I355" t="s">
        <v>3036</v>
      </c>
    </row>
    <row r="356" spans="1:9" x14ac:dyDescent="0.25">
      <c r="A356" t="s">
        <v>3033</v>
      </c>
      <c r="B356" t="s">
        <v>3539</v>
      </c>
      <c r="C356" t="s">
        <v>3037</v>
      </c>
      <c r="D356">
        <v>34.866856259999999</v>
      </c>
      <c r="E356" t="s">
        <v>3034</v>
      </c>
      <c r="F356">
        <v>111.349818</v>
      </c>
      <c r="G356" t="s">
        <v>3035</v>
      </c>
      <c r="H356">
        <v>9234</v>
      </c>
      <c r="I356" t="s">
        <v>3036</v>
      </c>
    </row>
    <row r="357" spans="1:9" x14ac:dyDescent="0.25">
      <c r="A357" t="s">
        <v>3033</v>
      </c>
      <c r="B357" t="s">
        <v>5049</v>
      </c>
      <c r="C357" t="s">
        <v>3037</v>
      </c>
      <c r="D357">
        <v>37.200912690000003</v>
      </c>
      <c r="E357" t="s">
        <v>3034</v>
      </c>
      <c r="F357">
        <v>111.68700509999999</v>
      </c>
      <c r="G357" t="s">
        <v>3035</v>
      </c>
      <c r="H357">
        <v>32948</v>
      </c>
      <c r="I357" t="s">
        <v>3036</v>
      </c>
    </row>
    <row r="358" spans="1:9" x14ac:dyDescent="0.25">
      <c r="A358" t="s">
        <v>3033</v>
      </c>
      <c r="B358" t="s">
        <v>5050</v>
      </c>
      <c r="C358" t="s">
        <v>3037</v>
      </c>
      <c r="D358">
        <v>35.675339610000002</v>
      </c>
      <c r="E358" t="s">
        <v>3034</v>
      </c>
      <c r="F358">
        <v>111.1906875</v>
      </c>
      <c r="G358" t="s">
        <v>3035</v>
      </c>
      <c r="H358">
        <v>40227</v>
      </c>
      <c r="I358" t="s">
        <v>3036</v>
      </c>
    </row>
    <row r="359" spans="1:9" x14ac:dyDescent="0.25">
      <c r="A359" t="s">
        <v>3033</v>
      </c>
      <c r="B359" t="s">
        <v>3540</v>
      </c>
      <c r="C359" t="s">
        <v>3037</v>
      </c>
      <c r="D359">
        <v>35.682721129999997</v>
      </c>
      <c r="E359" t="s">
        <v>3034</v>
      </c>
      <c r="F359">
        <v>110.7744045</v>
      </c>
      <c r="G359" t="s">
        <v>3035</v>
      </c>
      <c r="H359">
        <v>50893</v>
      </c>
      <c r="I359" t="s">
        <v>3036</v>
      </c>
    </row>
    <row r="360" spans="1:9" x14ac:dyDescent="0.25">
      <c r="A360" t="s">
        <v>3033</v>
      </c>
      <c r="B360" t="s">
        <v>3274</v>
      </c>
      <c r="C360" t="s">
        <v>3037</v>
      </c>
      <c r="D360">
        <v>36.594466650000001</v>
      </c>
      <c r="E360" t="s">
        <v>3034</v>
      </c>
      <c r="F360">
        <v>111.5640288</v>
      </c>
      <c r="G360" t="s">
        <v>3035</v>
      </c>
      <c r="H360">
        <v>14233</v>
      </c>
      <c r="I360" t="s">
        <v>3036</v>
      </c>
    </row>
    <row r="361" spans="1:9" x14ac:dyDescent="0.25">
      <c r="A361" t="s">
        <v>3033</v>
      </c>
      <c r="B361" t="s">
        <v>3075</v>
      </c>
      <c r="C361" t="s">
        <v>3037</v>
      </c>
      <c r="D361">
        <v>35.952349290000001</v>
      </c>
      <c r="E361" t="s">
        <v>3034</v>
      </c>
      <c r="F361">
        <v>112.9308261</v>
      </c>
      <c r="G361" t="s">
        <v>3035</v>
      </c>
      <c r="H361">
        <v>19277</v>
      </c>
      <c r="I361" t="s">
        <v>3036</v>
      </c>
    </row>
    <row r="362" spans="1:9" x14ac:dyDescent="0.25">
      <c r="A362" t="s">
        <v>3033</v>
      </c>
      <c r="B362" t="s">
        <v>3116</v>
      </c>
      <c r="C362" t="s">
        <v>3037</v>
      </c>
      <c r="D362">
        <v>39.796025559999997</v>
      </c>
      <c r="E362" t="s">
        <v>3034</v>
      </c>
      <c r="F362">
        <v>113.8029368</v>
      </c>
      <c r="G362" t="s">
        <v>3035</v>
      </c>
      <c r="H362">
        <v>24233</v>
      </c>
      <c r="I362" t="s">
        <v>3036</v>
      </c>
    </row>
    <row r="363" spans="1:9" x14ac:dyDescent="0.25">
      <c r="A363" t="s">
        <v>3033</v>
      </c>
      <c r="B363" t="s">
        <v>3443</v>
      </c>
      <c r="C363" t="s">
        <v>3037</v>
      </c>
      <c r="D363">
        <v>39.327621819999997</v>
      </c>
      <c r="E363" t="s">
        <v>3034</v>
      </c>
      <c r="F363">
        <v>113.5368435</v>
      </c>
      <c r="G363" t="s">
        <v>3035</v>
      </c>
      <c r="H363">
        <v>60724</v>
      </c>
      <c r="I363" t="s">
        <v>3036</v>
      </c>
    </row>
    <row r="364" spans="1:9" x14ac:dyDescent="0.25">
      <c r="A364" t="s">
        <v>3033</v>
      </c>
      <c r="B364" t="s">
        <v>3076</v>
      </c>
      <c r="C364" t="s">
        <v>3037</v>
      </c>
      <c r="D364">
        <v>36.309784899999997</v>
      </c>
      <c r="E364" t="s">
        <v>3034</v>
      </c>
      <c r="F364">
        <v>112.98865979999999</v>
      </c>
      <c r="G364" t="s">
        <v>3035</v>
      </c>
      <c r="H364">
        <v>20742</v>
      </c>
      <c r="I364" t="s">
        <v>3036</v>
      </c>
    </row>
    <row r="365" spans="1:9" x14ac:dyDescent="0.25">
      <c r="A365" t="s">
        <v>3033</v>
      </c>
      <c r="B365" t="s">
        <v>3444</v>
      </c>
      <c r="C365" t="s">
        <v>3037</v>
      </c>
      <c r="D365">
        <v>39.096351779999999</v>
      </c>
      <c r="E365" t="s">
        <v>3034</v>
      </c>
      <c r="F365">
        <v>112.93764969999999</v>
      </c>
      <c r="G365" t="s">
        <v>3035</v>
      </c>
      <c r="H365">
        <v>65960</v>
      </c>
      <c r="I365" t="s">
        <v>3036</v>
      </c>
    </row>
    <row r="366" spans="1:9" x14ac:dyDescent="0.25">
      <c r="A366" t="s">
        <v>3033</v>
      </c>
      <c r="B366" t="s">
        <v>3478</v>
      </c>
      <c r="C366" t="s">
        <v>3037</v>
      </c>
      <c r="D366">
        <v>38.296507679999998</v>
      </c>
      <c r="E366" t="s">
        <v>3034</v>
      </c>
      <c r="F366">
        <v>113.4146673</v>
      </c>
      <c r="G366" t="s">
        <v>3035</v>
      </c>
      <c r="H366">
        <v>14478</v>
      </c>
      <c r="I366" t="s">
        <v>3036</v>
      </c>
    </row>
    <row r="367" spans="1:9" x14ac:dyDescent="0.25">
      <c r="A367" t="s">
        <v>3033</v>
      </c>
      <c r="B367" t="s">
        <v>3077</v>
      </c>
      <c r="C367" t="s">
        <v>3037</v>
      </c>
      <c r="D367">
        <v>36.581843390000003</v>
      </c>
      <c r="E367" t="s">
        <v>3034</v>
      </c>
      <c r="F367">
        <v>113.2580241</v>
      </c>
      <c r="G367" t="s">
        <v>3035</v>
      </c>
      <c r="H367">
        <v>17224</v>
      </c>
      <c r="I367" t="s">
        <v>3036</v>
      </c>
    </row>
    <row r="368" spans="1:9" x14ac:dyDescent="0.25">
      <c r="A368" t="s">
        <v>3033</v>
      </c>
      <c r="B368" t="s">
        <v>3117</v>
      </c>
      <c r="C368" t="s">
        <v>3037</v>
      </c>
      <c r="D368">
        <v>39.215743269999997</v>
      </c>
      <c r="E368" t="s">
        <v>3034</v>
      </c>
      <c r="F368">
        <v>114.33376079999999</v>
      </c>
      <c r="G368" t="s">
        <v>3035</v>
      </c>
      <c r="H368">
        <v>14792</v>
      </c>
      <c r="I368" t="s">
        <v>3036</v>
      </c>
    </row>
    <row r="369" spans="1:9" x14ac:dyDescent="0.25">
      <c r="A369" t="s">
        <v>3033</v>
      </c>
      <c r="B369" t="s">
        <v>3162</v>
      </c>
      <c r="C369" t="s">
        <v>3037</v>
      </c>
      <c r="D369">
        <v>35.280918819999997</v>
      </c>
      <c r="E369" t="s">
        <v>3034</v>
      </c>
      <c r="F369">
        <v>112.7158443</v>
      </c>
      <c r="G369" t="s">
        <v>3035</v>
      </c>
      <c r="H369">
        <v>22400</v>
      </c>
      <c r="I369" t="s">
        <v>3036</v>
      </c>
    </row>
    <row r="370" spans="1:9" x14ac:dyDescent="0.25">
      <c r="A370" t="s">
        <v>3033</v>
      </c>
      <c r="B370" t="s">
        <v>3445</v>
      </c>
      <c r="C370" t="s">
        <v>3037</v>
      </c>
      <c r="D370">
        <v>39.058158030000001</v>
      </c>
      <c r="E370" t="s">
        <v>3034</v>
      </c>
      <c r="F370">
        <v>111.38594999999999</v>
      </c>
      <c r="G370" t="s">
        <v>3035</v>
      </c>
      <c r="H370">
        <v>7421</v>
      </c>
      <c r="I370" t="s">
        <v>3036</v>
      </c>
    </row>
    <row r="371" spans="1:9" x14ac:dyDescent="0.25">
      <c r="A371" t="s">
        <v>3033</v>
      </c>
      <c r="B371" t="s">
        <v>3214</v>
      </c>
      <c r="C371" t="s">
        <v>3037</v>
      </c>
      <c r="D371">
        <v>37.273601550000002</v>
      </c>
      <c r="E371" t="s">
        <v>3034</v>
      </c>
      <c r="F371">
        <v>112.95912180000001</v>
      </c>
      <c r="G371" t="s">
        <v>3035</v>
      </c>
      <c r="H371">
        <v>6546</v>
      </c>
      <c r="I371" t="s">
        <v>3036</v>
      </c>
    </row>
    <row r="372" spans="1:9" x14ac:dyDescent="0.25">
      <c r="A372" t="s">
        <v>3033</v>
      </c>
      <c r="B372" t="s">
        <v>3541</v>
      </c>
      <c r="C372" t="s">
        <v>3037</v>
      </c>
      <c r="D372">
        <v>34.904202239999996</v>
      </c>
      <c r="E372" t="s">
        <v>3034</v>
      </c>
      <c r="F372">
        <v>111.2716327</v>
      </c>
      <c r="G372" t="s">
        <v>3035</v>
      </c>
      <c r="H372">
        <v>84329</v>
      </c>
      <c r="I372" t="s">
        <v>3036</v>
      </c>
    </row>
    <row r="373" spans="1:9" x14ac:dyDescent="0.25">
      <c r="A373" t="s">
        <v>3033</v>
      </c>
      <c r="B373" t="s">
        <v>3163</v>
      </c>
      <c r="C373" t="s">
        <v>3037</v>
      </c>
      <c r="D373">
        <v>35.901875769999997</v>
      </c>
      <c r="E373" t="s">
        <v>3034</v>
      </c>
      <c r="F373">
        <v>112.9609122</v>
      </c>
      <c r="G373" t="s">
        <v>3035</v>
      </c>
      <c r="H373">
        <v>21020</v>
      </c>
      <c r="I373" t="s">
        <v>3036</v>
      </c>
    </row>
    <row r="374" spans="1:9" x14ac:dyDescent="0.25">
      <c r="A374" t="s">
        <v>3033</v>
      </c>
      <c r="B374" t="s">
        <v>3382</v>
      </c>
      <c r="C374" t="s">
        <v>3037</v>
      </c>
      <c r="D374">
        <v>39.388975930000001</v>
      </c>
      <c r="E374" t="s">
        <v>3034</v>
      </c>
      <c r="F374">
        <v>112.62095189999999</v>
      </c>
      <c r="G374" t="s">
        <v>3035</v>
      </c>
      <c r="H374">
        <v>29458</v>
      </c>
      <c r="I374" t="s">
        <v>3036</v>
      </c>
    </row>
    <row r="375" spans="1:9" x14ac:dyDescent="0.25">
      <c r="A375" t="s">
        <v>3033</v>
      </c>
      <c r="B375" t="s">
        <v>3078</v>
      </c>
      <c r="C375" t="s">
        <v>3037</v>
      </c>
      <c r="D375">
        <v>36.372978459999999</v>
      </c>
      <c r="E375" t="s">
        <v>3034</v>
      </c>
      <c r="F375">
        <v>113.6586466</v>
      </c>
      <c r="G375" t="s">
        <v>3035</v>
      </c>
      <c r="H375">
        <v>12663</v>
      </c>
      <c r="I375" t="s">
        <v>3036</v>
      </c>
    </row>
    <row r="376" spans="1:9" x14ac:dyDescent="0.25">
      <c r="A376" t="s">
        <v>3033</v>
      </c>
      <c r="B376" t="s">
        <v>3275</v>
      </c>
      <c r="C376" t="s">
        <v>3037</v>
      </c>
      <c r="D376">
        <v>35.67740113</v>
      </c>
      <c r="E376" t="s">
        <v>3034</v>
      </c>
      <c r="F376">
        <v>111.55647860000001</v>
      </c>
      <c r="G376" t="s">
        <v>3035</v>
      </c>
      <c r="H376">
        <v>41197</v>
      </c>
      <c r="I376" t="s">
        <v>3036</v>
      </c>
    </row>
    <row r="377" spans="1:9" x14ac:dyDescent="0.25">
      <c r="A377" t="s">
        <v>3033</v>
      </c>
      <c r="B377" t="s">
        <v>3079</v>
      </c>
      <c r="C377" t="s">
        <v>3037</v>
      </c>
      <c r="D377">
        <v>36.373093169999997</v>
      </c>
      <c r="E377" t="s">
        <v>3034</v>
      </c>
      <c r="F377">
        <v>113.14774389999999</v>
      </c>
      <c r="G377" t="s">
        <v>3035</v>
      </c>
      <c r="H377">
        <v>19162</v>
      </c>
      <c r="I377" t="s">
        <v>3036</v>
      </c>
    </row>
    <row r="378" spans="1:9" x14ac:dyDescent="0.25">
      <c r="A378" t="s">
        <v>3033</v>
      </c>
      <c r="B378" t="s">
        <v>3446</v>
      </c>
      <c r="C378" t="s">
        <v>3037</v>
      </c>
      <c r="D378">
        <v>38.568117770000001</v>
      </c>
      <c r="E378" t="s">
        <v>3034</v>
      </c>
      <c r="F378">
        <v>112.0052282</v>
      </c>
      <c r="G378" t="s">
        <v>3035</v>
      </c>
      <c r="H378">
        <v>3731</v>
      </c>
      <c r="I378" t="s">
        <v>3036</v>
      </c>
    </row>
    <row r="379" spans="1:9" x14ac:dyDescent="0.25">
      <c r="A379" t="s">
        <v>3033</v>
      </c>
      <c r="B379" t="s">
        <v>3215</v>
      </c>
      <c r="C379" t="s">
        <v>3037</v>
      </c>
      <c r="D379">
        <v>37.79675082</v>
      </c>
      <c r="E379" t="s">
        <v>3034</v>
      </c>
      <c r="F379">
        <v>112.8559152</v>
      </c>
      <c r="G379" t="s">
        <v>3035</v>
      </c>
      <c r="H379">
        <v>12294</v>
      </c>
      <c r="I379" t="s">
        <v>3036</v>
      </c>
    </row>
    <row r="380" spans="1:9" x14ac:dyDescent="0.25">
      <c r="A380" t="s">
        <v>3033</v>
      </c>
      <c r="B380" t="s">
        <v>3080</v>
      </c>
      <c r="C380" t="s">
        <v>3037</v>
      </c>
      <c r="D380">
        <v>36.110605669999998</v>
      </c>
      <c r="E380" t="s">
        <v>3034</v>
      </c>
      <c r="F380">
        <v>112.6447837</v>
      </c>
      <c r="G380" t="s">
        <v>3035</v>
      </c>
      <c r="H380">
        <v>27643</v>
      </c>
      <c r="I380" t="s">
        <v>3036</v>
      </c>
    </row>
    <row r="381" spans="1:9" x14ac:dyDescent="0.25">
      <c r="A381" t="s">
        <v>3033</v>
      </c>
      <c r="B381" t="s">
        <v>3339</v>
      </c>
      <c r="C381" t="s">
        <v>3037</v>
      </c>
      <c r="D381">
        <v>37.266714350000001</v>
      </c>
      <c r="E381" t="s">
        <v>3034</v>
      </c>
      <c r="F381">
        <v>111.5191458</v>
      </c>
      <c r="G381" t="s">
        <v>3035</v>
      </c>
      <c r="H381">
        <v>8785</v>
      </c>
      <c r="I381" t="s">
        <v>3036</v>
      </c>
    </row>
    <row r="382" spans="1:9" x14ac:dyDescent="0.25">
      <c r="A382" t="s">
        <v>3033</v>
      </c>
      <c r="B382" t="s">
        <v>3164</v>
      </c>
      <c r="C382" t="s">
        <v>3037</v>
      </c>
      <c r="D382">
        <v>35.890478360000003</v>
      </c>
      <c r="E382" t="s">
        <v>3034</v>
      </c>
      <c r="F382">
        <v>112.6941265</v>
      </c>
      <c r="G382" t="s">
        <v>3035</v>
      </c>
      <c r="H382">
        <v>9568</v>
      </c>
      <c r="I382" t="s">
        <v>3036</v>
      </c>
    </row>
    <row r="383" spans="1:9" x14ac:dyDescent="0.25">
      <c r="A383" t="s">
        <v>3033</v>
      </c>
      <c r="B383" t="s">
        <v>3340</v>
      </c>
      <c r="C383" t="s">
        <v>3037</v>
      </c>
      <c r="D383">
        <v>36.92630535</v>
      </c>
      <c r="E383" t="s">
        <v>3034</v>
      </c>
      <c r="F383">
        <v>111.4950766</v>
      </c>
      <c r="G383" t="s">
        <v>3035</v>
      </c>
      <c r="H383">
        <v>22926</v>
      </c>
      <c r="I383" t="s">
        <v>3036</v>
      </c>
    </row>
    <row r="384" spans="1:9" x14ac:dyDescent="0.25">
      <c r="A384" t="s">
        <v>3033</v>
      </c>
      <c r="B384" t="s">
        <v>3447</v>
      </c>
      <c r="C384" t="s">
        <v>3037</v>
      </c>
      <c r="D384">
        <v>39.576140610000003</v>
      </c>
      <c r="E384" t="s">
        <v>3034</v>
      </c>
      <c r="F384">
        <v>111.6807694</v>
      </c>
      <c r="G384" t="s">
        <v>3035</v>
      </c>
      <c r="H384">
        <v>3653</v>
      </c>
      <c r="I384" t="s">
        <v>3036</v>
      </c>
    </row>
    <row r="385" spans="1:9" x14ac:dyDescent="0.25">
      <c r="A385" t="s">
        <v>3033</v>
      </c>
      <c r="B385" t="s">
        <v>5051</v>
      </c>
      <c r="C385" t="s">
        <v>3037</v>
      </c>
      <c r="D385">
        <v>36.988249740000001</v>
      </c>
      <c r="E385" t="s">
        <v>3034</v>
      </c>
      <c r="F385">
        <v>111.17639560000001</v>
      </c>
      <c r="G385" t="s">
        <v>3035</v>
      </c>
      <c r="H385">
        <v>29755</v>
      </c>
      <c r="I385" t="s">
        <v>3036</v>
      </c>
    </row>
    <row r="386" spans="1:9" x14ac:dyDescent="0.25">
      <c r="A386" t="s">
        <v>3033</v>
      </c>
      <c r="B386" t="s">
        <v>5052</v>
      </c>
      <c r="C386" t="s">
        <v>3037</v>
      </c>
      <c r="D386">
        <v>35.23861849</v>
      </c>
      <c r="E386" t="s">
        <v>3034</v>
      </c>
      <c r="F386">
        <v>111.0983954</v>
      </c>
      <c r="G386" t="s">
        <v>3035</v>
      </c>
      <c r="H386">
        <v>45914</v>
      </c>
      <c r="I386" t="s">
        <v>3036</v>
      </c>
    </row>
    <row r="387" spans="1:9" x14ac:dyDescent="0.25">
      <c r="A387" t="s">
        <v>3033</v>
      </c>
      <c r="B387" t="s">
        <v>3341</v>
      </c>
      <c r="C387" t="s">
        <v>3037</v>
      </c>
      <c r="D387">
        <v>37.677744730000001</v>
      </c>
      <c r="E387" t="s">
        <v>3034</v>
      </c>
      <c r="F387">
        <v>111.91098890000001</v>
      </c>
      <c r="G387" t="s">
        <v>3035</v>
      </c>
      <c r="H387">
        <v>13292</v>
      </c>
      <c r="I387" t="s">
        <v>3036</v>
      </c>
    </row>
    <row r="388" spans="1:9" x14ac:dyDescent="0.25">
      <c r="A388" t="s">
        <v>3033</v>
      </c>
      <c r="B388" t="s">
        <v>3081</v>
      </c>
      <c r="C388" t="s">
        <v>3037</v>
      </c>
      <c r="D388">
        <v>35.887997509999998</v>
      </c>
      <c r="E388" t="s">
        <v>3034</v>
      </c>
      <c r="F388">
        <v>113.40898919999999</v>
      </c>
      <c r="G388" t="s">
        <v>3035</v>
      </c>
      <c r="H388">
        <v>11057</v>
      </c>
      <c r="I388" t="s">
        <v>3036</v>
      </c>
    </row>
    <row r="389" spans="1:9" x14ac:dyDescent="0.25">
      <c r="A389" t="s">
        <v>3033</v>
      </c>
      <c r="B389" t="s">
        <v>3542</v>
      </c>
      <c r="C389" t="s">
        <v>3037</v>
      </c>
      <c r="D389">
        <v>35.0974906</v>
      </c>
      <c r="E389" t="s">
        <v>3034</v>
      </c>
      <c r="F389">
        <v>111.4464566</v>
      </c>
      <c r="G389" t="s">
        <v>3035</v>
      </c>
      <c r="H389">
        <v>9326</v>
      </c>
      <c r="I389" t="s">
        <v>3036</v>
      </c>
    </row>
    <row r="390" spans="1:9" x14ac:dyDescent="0.25">
      <c r="A390" t="s">
        <v>3033</v>
      </c>
      <c r="B390" t="s">
        <v>3165</v>
      </c>
      <c r="C390" t="s">
        <v>3037</v>
      </c>
      <c r="D390">
        <v>35.909473490000003</v>
      </c>
      <c r="E390" t="s">
        <v>3034</v>
      </c>
      <c r="F390">
        <v>112.8297962</v>
      </c>
      <c r="G390" t="s">
        <v>3035</v>
      </c>
      <c r="H390">
        <v>42936</v>
      </c>
      <c r="I390" t="s">
        <v>3036</v>
      </c>
    </row>
    <row r="391" spans="1:9" x14ac:dyDescent="0.25">
      <c r="A391" t="s">
        <v>3033</v>
      </c>
      <c r="B391" t="s">
        <v>3216</v>
      </c>
      <c r="C391" t="s">
        <v>3037</v>
      </c>
      <c r="D391">
        <v>37.661356400000003</v>
      </c>
      <c r="E391" t="s">
        <v>3034</v>
      </c>
      <c r="F391">
        <v>113.2884998</v>
      </c>
      <c r="G391" t="s">
        <v>3035</v>
      </c>
      <c r="H391">
        <v>7802</v>
      </c>
      <c r="I391" t="s">
        <v>3036</v>
      </c>
    </row>
    <row r="392" spans="1:9" x14ac:dyDescent="0.25">
      <c r="A392" t="s">
        <v>3033</v>
      </c>
      <c r="B392" t="s">
        <v>3217</v>
      </c>
      <c r="C392" t="s">
        <v>3037</v>
      </c>
      <c r="D392">
        <v>37.171044129999999</v>
      </c>
      <c r="E392" t="s">
        <v>3034</v>
      </c>
      <c r="F392">
        <v>113.7044635</v>
      </c>
      <c r="G392" t="s">
        <v>3035</v>
      </c>
      <c r="H392">
        <v>13521</v>
      </c>
      <c r="I392" t="s">
        <v>3036</v>
      </c>
    </row>
    <row r="393" spans="1:9" x14ac:dyDescent="0.25">
      <c r="A393" t="s">
        <v>3033</v>
      </c>
      <c r="B393" t="s">
        <v>3276</v>
      </c>
      <c r="C393" t="s">
        <v>3037</v>
      </c>
      <c r="D393">
        <v>36.252919609999999</v>
      </c>
      <c r="E393" t="s">
        <v>3034</v>
      </c>
      <c r="F393">
        <v>111.8186882</v>
      </c>
      <c r="G393" t="s">
        <v>3035</v>
      </c>
      <c r="H393">
        <v>27875</v>
      </c>
      <c r="I393" t="s">
        <v>3036</v>
      </c>
    </row>
    <row r="394" spans="1:9" x14ac:dyDescent="0.25">
      <c r="A394" t="s">
        <v>3033</v>
      </c>
      <c r="B394" t="s">
        <v>3082</v>
      </c>
      <c r="C394" t="s">
        <v>3037</v>
      </c>
      <c r="D394">
        <v>36.107470769999999</v>
      </c>
      <c r="E394" t="s">
        <v>3034</v>
      </c>
      <c r="F394">
        <v>113.07500899999999</v>
      </c>
      <c r="G394" t="s">
        <v>3035</v>
      </c>
      <c r="H394">
        <v>42732</v>
      </c>
      <c r="I394" t="s">
        <v>3036</v>
      </c>
    </row>
    <row r="395" spans="1:9" x14ac:dyDescent="0.25">
      <c r="A395" t="s">
        <v>3033</v>
      </c>
      <c r="B395" t="s">
        <v>3448</v>
      </c>
      <c r="C395" t="s">
        <v>3037</v>
      </c>
      <c r="D395">
        <v>38.873461399999997</v>
      </c>
      <c r="E395" t="s">
        <v>3034</v>
      </c>
      <c r="F395">
        <v>112.90430430000001</v>
      </c>
      <c r="G395" t="s">
        <v>3035</v>
      </c>
      <c r="H395">
        <v>15347</v>
      </c>
      <c r="I395" t="s">
        <v>3036</v>
      </c>
    </row>
    <row r="396" spans="1:9" x14ac:dyDescent="0.25">
      <c r="A396" t="s">
        <v>3033</v>
      </c>
      <c r="B396" t="s">
        <v>3543</v>
      </c>
      <c r="C396" t="s">
        <v>3037</v>
      </c>
      <c r="D396">
        <v>35.235326639999997</v>
      </c>
      <c r="E396" t="s">
        <v>3034</v>
      </c>
      <c r="F396">
        <v>110.4508721</v>
      </c>
      <c r="G396" t="s">
        <v>3035</v>
      </c>
      <c r="H396">
        <v>54976</v>
      </c>
      <c r="I396" t="s">
        <v>3036</v>
      </c>
    </row>
    <row r="397" spans="1:9" x14ac:dyDescent="0.25">
      <c r="A397" t="s">
        <v>3033</v>
      </c>
      <c r="B397" t="s">
        <v>3479</v>
      </c>
      <c r="C397" t="s">
        <v>3037</v>
      </c>
      <c r="D397">
        <v>38.146874060000002</v>
      </c>
      <c r="E397" t="s">
        <v>3034</v>
      </c>
      <c r="F397">
        <v>113.4594689</v>
      </c>
      <c r="G397" t="s">
        <v>3035</v>
      </c>
      <c r="H397">
        <v>26898</v>
      </c>
      <c r="I397" t="s">
        <v>3036</v>
      </c>
    </row>
    <row r="398" spans="1:9" x14ac:dyDescent="0.25">
      <c r="A398" t="s">
        <v>3033</v>
      </c>
      <c r="B398" t="s">
        <v>3480</v>
      </c>
      <c r="C398" t="s">
        <v>3037</v>
      </c>
      <c r="D398">
        <v>37.737771789999996</v>
      </c>
      <c r="E398" t="s">
        <v>3034</v>
      </c>
      <c r="F398">
        <v>113.68104750000001</v>
      </c>
      <c r="G398" t="s">
        <v>3035</v>
      </c>
      <c r="H398">
        <v>31978</v>
      </c>
      <c r="I398" t="s">
        <v>3036</v>
      </c>
    </row>
    <row r="399" spans="1:9" x14ac:dyDescent="0.25">
      <c r="A399" t="s">
        <v>3033</v>
      </c>
      <c r="B399" t="s">
        <v>3449</v>
      </c>
      <c r="C399" t="s">
        <v>3037</v>
      </c>
      <c r="D399">
        <v>38.741332450000002</v>
      </c>
      <c r="E399" t="s">
        <v>3034</v>
      </c>
      <c r="F399">
        <v>113.2058937</v>
      </c>
      <c r="G399" t="s">
        <v>3035</v>
      </c>
      <c r="H399">
        <v>40145</v>
      </c>
      <c r="I399" t="s">
        <v>3036</v>
      </c>
    </row>
    <row r="400" spans="1:9" x14ac:dyDescent="0.25">
      <c r="A400" t="s">
        <v>3033</v>
      </c>
      <c r="B400" t="s">
        <v>3450</v>
      </c>
      <c r="C400" t="s">
        <v>3037</v>
      </c>
      <c r="D400">
        <v>38.992550950000002</v>
      </c>
      <c r="E400" t="s">
        <v>3034</v>
      </c>
      <c r="F400">
        <v>113.579503</v>
      </c>
      <c r="G400" t="s">
        <v>3035</v>
      </c>
      <c r="H400">
        <v>11814</v>
      </c>
      <c r="I400" t="s">
        <v>3036</v>
      </c>
    </row>
    <row r="401" spans="1:9" x14ac:dyDescent="0.25">
      <c r="A401" t="s">
        <v>3033</v>
      </c>
      <c r="B401" t="s">
        <v>3277</v>
      </c>
      <c r="C401" t="s">
        <v>3037</v>
      </c>
      <c r="D401">
        <v>36.095430499999999</v>
      </c>
      <c r="E401" t="s">
        <v>3034</v>
      </c>
      <c r="F401">
        <v>111.1162424</v>
      </c>
      <c r="G401" t="s">
        <v>3035</v>
      </c>
      <c r="H401">
        <v>13588</v>
      </c>
      <c r="I401" t="s">
        <v>3036</v>
      </c>
    </row>
    <row r="402" spans="1:9" x14ac:dyDescent="0.25">
      <c r="A402" t="s">
        <v>3033</v>
      </c>
      <c r="B402" t="s">
        <v>3278</v>
      </c>
      <c r="C402" t="s">
        <v>3037</v>
      </c>
      <c r="D402">
        <v>36.394598469999998</v>
      </c>
      <c r="E402" t="s">
        <v>3034</v>
      </c>
      <c r="F402">
        <v>112.15613810000001</v>
      </c>
      <c r="G402" t="s">
        <v>3035</v>
      </c>
      <c r="H402">
        <v>11944</v>
      </c>
      <c r="I402" t="s">
        <v>3036</v>
      </c>
    </row>
    <row r="403" spans="1:9" x14ac:dyDescent="0.25">
      <c r="A403" t="s">
        <v>3033</v>
      </c>
      <c r="B403" t="s">
        <v>3279</v>
      </c>
      <c r="C403" t="s">
        <v>3037</v>
      </c>
      <c r="D403">
        <v>35.742604249999999</v>
      </c>
      <c r="E403" t="s">
        <v>3034</v>
      </c>
      <c r="F403">
        <v>111.6994608</v>
      </c>
      <c r="G403" t="s">
        <v>3035</v>
      </c>
      <c r="H403">
        <v>86862</v>
      </c>
      <c r="I403" t="s">
        <v>3036</v>
      </c>
    </row>
    <row r="404" spans="1:9" x14ac:dyDescent="0.25">
      <c r="A404" t="s">
        <v>3033</v>
      </c>
      <c r="B404" t="s">
        <v>3451</v>
      </c>
      <c r="C404" t="s">
        <v>3037</v>
      </c>
      <c r="D404">
        <v>38.941938380000003</v>
      </c>
      <c r="E404" t="s">
        <v>3034</v>
      </c>
      <c r="F404">
        <v>113.16791069999999</v>
      </c>
      <c r="G404" t="s">
        <v>3035</v>
      </c>
      <c r="H404">
        <v>5811</v>
      </c>
      <c r="I404" t="s">
        <v>3036</v>
      </c>
    </row>
    <row r="405" spans="1:9" x14ac:dyDescent="0.25">
      <c r="A405" t="s">
        <v>3033</v>
      </c>
      <c r="B405" t="s">
        <v>3544</v>
      </c>
      <c r="C405" t="s">
        <v>3037</v>
      </c>
      <c r="D405">
        <v>35.141713289999998</v>
      </c>
      <c r="E405" t="s">
        <v>3034</v>
      </c>
      <c r="F405">
        <v>111.06108810000001</v>
      </c>
      <c r="G405" t="s">
        <v>3035</v>
      </c>
      <c r="H405">
        <v>24943</v>
      </c>
      <c r="I405" t="s">
        <v>3036</v>
      </c>
    </row>
    <row r="406" spans="1:9" x14ac:dyDescent="0.25">
      <c r="A406" t="s">
        <v>3033</v>
      </c>
      <c r="B406" t="s">
        <v>3342</v>
      </c>
      <c r="C406" t="s">
        <v>3037</v>
      </c>
      <c r="D406">
        <v>37.022382120000003</v>
      </c>
      <c r="E406" t="s">
        <v>3034</v>
      </c>
      <c r="F406">
        <v>111.3642624</v>
      </c>
      <c r="G406" t="s">
        <v>3035</v>
      </c>
      <c r="H406">
        <v>16378</v>
      </c>
      <c r="I406" t="s">
        <v>3036</v>
      </c>
    </row>
    <row r="407" spans="1:9" x14ac:dyDescent="0.25">
      <c r="A407" t="s">
        <v>3033</v>
      </c>
      <c r="B407" t="s">
        <v>3452</v>
      </c>
      <c r="C407" t="s">
        <v>3037</v>
      </c>
      <c r="D407">
        <v>39.482975000000003</v>
      </c>
      <c r="E407" t="s">
        <v>3034</v>
      </c>
      <c r="F407">
        <v>111.4241351</v>
      </c>
      <c r="G407" t="s">
        <v>3035</v>
      </c>
      <c r="H407">
        <v>6337</v>
      </c>
      <c r="I407" t="s">
        <v>3036</v>
      </c>
    </row>
    <row r="408" spans="1:9" x14ac:dyDescent="0.25">
      <c r="A408" t="s">
        <v>3033</v>
      </c>
      <c r="B408" t="s">
        <v>3343</v>
      </c>
      <c r="C408" t="s">
        <v>3037</v>
      </c>
      <c r="D408">
        <v>37.565162010000002</v>
      </c>
      <c r="E408" t="s">
        <v>3034</v>
      </c>
      <c r="F408">
        <v>112.14595129999999</v>
      </c>
      <c r="G408" t="s">
        <v>3035</v>
      </c>
      <c r="H408">
        <v>100523</v>
      </c>
      <c r="I408" t="s">
        <v>3036</v>
      </c>
    </row>
    <row r="409" spans="1:9" x14ac:dyDescent="0.25">
      <c r="A409" t="s">
        <v>3033</v>
      </c>
      <c r="B409" t="s">
        <v>3280</v>
      </c>
      <c r="C409" t="s">
        <v>3037</v>
      </c>
      <c r="D409">
        <v>35.965616650000001</v>
      </c>
      <c r="E409" t="s">
        <v>3034</v>
      </c>
      <c r="F409">
        <v>111.90855430000001</v>
      </c>
      <c r="G409" t="s">
        <v>3035</v>
      </c>
      <c r="H409">
        <v>47736</v>
      </c>
      <c r="I409" t="s">
        <v>3036</v>
      </c>
    </row>
    <row r="410" spans="1:9" x14ac:dyDescent="0.25">
      <c r="A410" t="s">
        <v>3033</v>
      </c>
      <c r="B410" t="s">
        <v>3545</v>
      </c>
      <c r="C410" t="s">
        <v>3037</v>
      </c>
      <c r="D410">
        <v>35.371405359999997</v>
      </c>
      <c r="E410" t="s">
        <v>3034</v>
      </c>
      <c r="F410">
        <v>111.2200789</v>
      </c>
      <c r="G410" t="s">
        <v>3035</v>
      </c>
      <c r="H410">
        <v>118513</v>
      </c>
      <c r="I410" t="s">
        <v>3036</v>
      </c>
    </row>
    <row r="411" spans="1:9" x14ac:dyDescent="0.25">
      <c r="A411" t="s">
        <v>3033</v>
      </c>
      <c r="B411" t="s">
        <v>3546</v>
      </c>
      <c r="C411" t="s">
        <v>3037</v>
      </c>
      <c r="D411">
        <v>35.464152830000003</v>
      </c>
      <c r="E411" t="s">
        <v>3034</v>
      </c>
      <c r="F411">
        <v>110.71358669999999</v>
      </c>
      <c r="G411" t="s">
        <v>3035</v>
      </c>
      <c r="H411">
        <v>29718</v>
      </c>
      <c r="I411" t="s">
        <v>3036</v>
      </c>
    </row>
    <row r="412" spans="1:9" x14ac:dyDescent="0.25">
      <c r="A412" t="s">
        <v>3033</v>
      </c>
      <c r="B412" t="s">
        <v>3218</v>
      </c>
      <c r="C412" t="s">
        <v>3037</v>
      </c>
      <c r="D412">
        <v>36.896678360000003</v>
      </c>
      <c r="E412" t="s">
        <v>3034</v>
      </c>
      <c r="F412">
        <v>113.45488400000001</v>
      </c>
      <c r="G412" t="s">
        <v>3035</v>
      </c>
      <c r="H412">
        <v>9423</v>
      </c>
      <c r="I412" t="s">
        <v>3036</v>
      </c>
    </row>
    <row r="413" spans="1:9" x14ac:dyDescent="0.25">
      <c r="A413" t="s">
        <v>3033</v>
      </c>
      <c r="B413" t="s">
        <v>3344</v>
      </c>
      <c r="C413" t="s">
        <v>3037</v>
      </c>
      <c r="D413">
        <v>37.743105479999997</v>
      </c>
      <c r="E413" t="s">
        <v>3034</v>
      </c>
      <c r="F413">
        <v>111.0945586</v>
      </c>
      <c r="G413" t="s">
        <v>3035</v>
      </c>
      <c r="H413">
        <v>16687</v>
      </c>
      <c r="I413" t="s">
        <v>3036</v>
      </c>
    </row>
    <row r="414" spans="1:9" x14ac:dyDescent="0.25">
      <c r="A414" t="s">
        <v>3033</v>
      </c>
      <c r="B414" t="s">
        <v>3345</v>
      </c>
      <c r="C414" t="s">
        <v>3037</v>
      </c>
      <c r="D414">
        <v>38.024850129999997</v>
      </c>
      <c r="E414" t="s">
        <v>3034</v>
      </c>
      <c r="F414">
        <v>110.6446893</v>
      </c>
      <c r="G414" t="s">
        <v>3035</v>
      </c>
      <c r="H414">
        <v>21710</v>
      </c>
      <c r="I414" t="s">
        <v>3036</v>
      </c>
    </row>
    <row r="415" spans="1:9" x14ac:dyDescent="0.25">
      <c r="A415" t="s">
        <v>3033</v>
      </c>
      <c r="B415" t="s">
        <v>3281</v>
      </c>
      <c r="C415" t="s">
        <v>3037</v>
      </c>
      <c r="D415">
        <v>36.19226999</v>
      </c>
      <c r="E415" t="s">
        <v>3034</v>
      </c>
      <c r="F415">
        <v>111.4155155</v>
      </c>
      <c r="G415" t="s">
        <v>3035</v>
      </c>
      <c r="H415">
        <v>29948</v>
      </c>
      <c r="I415" t="s">
        <v>3036</v>
      </c>
    </row>
    <row r="416" spans="1:9" x14ac:dyDescent="0.25">
      <c r="A416" t="s">
        <v>3033</v>
      </c>
      <c r="B416" t="s">
        <v>5053</v>
      </c>
      <c r="C416" t="s">
        <v>3037</v>
      </c>
      <c r="D416">
        <v>36.136168980000001</v>
      </c>
      <c r="E416" t="s">
        <v>3034</v>
      </c>
      <c r="F416">
        <v>111.5426571</v>
      </c>
      <c r="G416" t="s">
        <v>3035</v>
      </c>
      <c r="H416">
        <v>20530</v>
      </c>
      <c r="I416" t="s">
        <v>3036</v>
      </c>
    </row>
    <row r="417" spans="1:9" x14ac:dyDescent="0.25">
      <c r="A417" t="s">
        <v>3033</v>
      </c>
      <c r="B417" t="s">
        <v>5054</v>
      </c>
      <c r="C417" t="s">
        <v>3037</v>
      </c>
      <c r="D417">
        <v>36.218147389999999</v>
      </c>
      <c r="E417" t="s">
        <v>3034</v>
      </c>
      <c r="F417">
        <v>110.915869</v>
      </c>
      <c r="G417" t="s">
        <v>3035</v>
      </c>
      <c r="H417">
        <v>12535</v>
      </c>
      <c r="I417" t="s">
        <v>3036</v>
      </c>
    </row>
    <row r="418" spans="1:9" x14ac:dyDescent="0.25">
      <c r="A418" t="s">
        <v>3033</v>
      </c>
      <c r="B418" t="s">
        <v>3547</v>
      </c>
      <c r="C418" t="s">
        <v>3037</v>
      </c>
      <c r="D418">
        <v>35.447782230000001</v>
      </c>
      <c r="E418" t="s">
        <v>3034</v>
      </c>
      <c r="F418">
        <v>111.12893889999999</v>
      </c>
      <c r="G418" t="s">
        <v>3035</v>
      </c>
      <c r="H418">
        <v>28357</v>
      </c>
      <c r="I418" t="s">
        <v>3036</v>
      </c>
    </row>
    <row r="419" spans="1:9" x14ac:dyDescent="0.25">
      <c r="A419" t="s">
        <v>3033</v>
      </c>
      <c r="B419" t="s">
        <v>5055</v>
      </c>
      <c r="C419" t="s">
        <v>3037</v>
      </c>
      <c r="D419">
        <v>36.339291469999999</v>
      </c>
      <c r="E419" t="s">
        <v>3034</v>
      </c>
      <c r="F419">
        <v>111.53342189999999</v>
      </c>
      <c r="G419" t="s">
        <v>3035</v>
      </c>
      <c r="H419">
        <v>64458</v>
      </c>
      <c r="I419" t="s">
        <v>3036</v>
      </c>
    </row>
    <row r="420" spans="1:9" x14ac:dyDescent="0.25">
      <c r="A420" t="s">
        <v>3033</v>
      </c>
      <c r="B420" t="s">
        <v>5056</v>
      </c>
      <c r="C420" t="s">
        <v>3037</v>
      </c>
      <c r="D420">
        <v>35.553182329999999</v>
      </c>
      <c r="E420" t="s">
        <v>3034</v>
      </c>
      <c r="F420">
        <v>111.1215996</v>
      </c>
      <c r="G420" t="s">
        <v>3035</v>
      </c>
      <c r="H420">
        <v>18575</v>
      </c>
      <c r="I420" t="s">
        <v>3036</v>
      </c>
    </row>
    <row r="421" spans="1:9" x14ac:dyDescent="0.25">
      <c r="A421" t="s">
        <v>3033</v>
      </c>
      <c r="B421" t="s">
        <v>3083</v>
      </c>
      <c r="C421" t="s">
        <v>3037</v>
      </c>
      <c r="D421">
        <v>36.671393449999997</v>
      </c>
      <c r="E421" t="s">
        <v>3034</v>
      </c>
      <c r="F421">
        <v>112.9241955</v>
      </c>
      <c r="G421" t="s">
        <v>3035</v>
      </c>
      <c r="H421">
        <v>14273</v>
      </c>
      <c r="I421" t="s">
        <v>3036</v>
      </c>
    </row>
    <row r="422" spans="1:9" x14ac:dyDescent="0.25">
      <c r="A422" t="s">
        <v>3033</v>
      </c>
      <c r="B422" t="s">
        <v>3118</v>
      </c>
      <c r="C422" t="s">
        <v>3037</v>
      </c>
      <c r="D422">
        <v>40.232157469999997</v>
      </c>
      <c r="E422" t="s">
        <v>3034</v>
      </c>
      <c r="F422">
        <v>113.6612006</v>
      </c>
      <c r="G422" t="s">
        <v>3035</v>
      </c>
      <c r="H422">
        <v>20488</v>
      </c>
      <c r="I422" t="s">
        <v>3036</v>
      </c>
    </row>
    <row r="423" spans="1:9" x14ac:dyDescent="0.25">
      <c r="A423" t="s">
        <v>3033</v>
      </c>
      <c r="B423" t="s">
        <v>3084</v>
      </c>
      <c r="C423" t="s">
        <v>3037</v>
      </c>
      <c r="D423">
        <v>36.955773260000001</v>
      </c>
      <c r="E423" t="s">
        <v>3034</v>
      </c>
      <c r="F423">
        <v>112.1837398</v>
      </c>
      <c r="G423" t="s">
        <v>3035</v>
      </c>
      <c r="H423">
        <v>11123</v>
      </c>
      <c r="I423" t="s">
        <v>3036</v>
      </c>
    </row>
    <row r="424" spans="1:9" x14ac:dyDescent="0.25">
      <c r="A424" t="s">
        <v>3033</v>
      </c>
      <c r="B424" t="s">
        <v>3548</v>
      </c>
      <c r="C424" t="s">
        <v>3037</v>
      </c>
      <c r="D424">
        <v>35.14692367</v>
      </c>
      <c r="E424" t="s">
        <v>3034</v>
      </c>
      <c r="F424">
        <v>111.79058670000001</v>
      </c>
      <c r="G424" t="s">
        <v>3035</v>
      </c>
      <c r="H424">
        <v>10516</v>
      </c>
      <c r="I424" t="s">
        <v>3036</v>
      </c>
    </row>
    <row r="425" spans="1:9" x14ac:dyDescent="0.25">
      <c r="A425" t="s">
        <v>3033</v>
      </c>
      <c r="B425" t="s">
        <v>3085</v>
      </c>
      <c r="C425" t="s">
        <v>3037</v>
      </c>
      <c r="D425">
        <v>36.482487069999998</v>
      </c>
      <c r="E425" t="s">
        <v>3034</v>
      </c>
      <c r="F425">
        <v>113.13015780000001</v>
      </c>
      <c r="G425" t="s">
        <v>3035</v>
      </c>
      <c r="H425">
        <v>33594</v>
      </c>
      <c r="I425" t="s">
        <v>3036</v>
      </c>
    </row>
    <row r="426" spans="1:9" x14ac:dyDescent="0.25">
      <c r="A426" t="s">
        <v>3033</v>
      </c>
      <c r="B426" t="s">
        <v>3086</v>
      </c>
      <c r="C426" t="s">
        <v>3037</v>
      </c>
      <c r="D426">
        <v>36.846854120000003</v>
      </c>
      <c r="E426" t="s">
        <v>3034</v>
      </c>
      <c r="F426">
        <v>112.1195836</v>
      </c>
      <c r="G426" t="s">
        <v>3035</v>
      </c>
      <c r="H426">
        <v>9521</v>
      </c>
      <c r="I426" t="s">
        <v>3036</v>
      </c>
    </row>
    <row r="427" spans="1:9" x14ac:dyDescent="0.25">
      <c r="A427" t="s">
        <v>3033</v>
      </c>
      <c r="B427" t="s">
        <v>3119</v>
      </c>
      <c r="C427" t="s">
        <v>3037</v>
      </c>
      <c r="D427">
        <v>39.428573239999999</v>
      </c>
      <c r="E427" t="s">
        <v>3034</v>
      </c>
      <c r="F427">
        <v>113.872533</v>
      </c>
      <c r="G427" t="s">
        <v>3035</v>
      </c>
      <c r="H427">
        <v>17032</v>
      </c>
      <c r="I427" t="s">
        <v>3036</v>
      </c>
    </row>
    <row r="428" spans="1:9" x14ac:dyDescent="0.25">
      <c r="A428" t="s">
        <v>3033</v>
      </c>
      <c r="B428" t="s">
        <v>3453</v>
      </c>
      <c r="C428" t="s">
        <v>3037</v>
      </c>
      <c r="D428">
        <v>39.586104290000002</v>
      </c>
      <c r="E428" t="s">
        <v>3034</v>
      </c>
      <c r="F428">
        <v>111.5161439</v>
      </c>
      <c r="G428" t="s">
        <v>3035</v>
      </c>
      <c r="H428">
        <v>7451</v>
      </c>
      <c r="I428" t="s">
        <v>3036</v>
      </c>
    </row>
    <row r="429" spans="1:9" x14ac:dyDescent="0.25">
      <c r="A429" t="s">
        <v>3033</v>
      </c>
      <c r="B429" t="s">
        <v>3346</v>
      </c>
      <c r="C429" t="s">
        <v>3037</v>
      </c>
      <c r="D429">
        <v>38.628704810000002</v>
      </c>
      <c r="E429" t="s">
        <v>3034</v>
      </c>
      <c r="F429">
        <v>110.9591465</v>
      </c>
      <c r="G429" t="s">
        <v>3035</v>
      </c>
      <c r="H429">
        <v>15840</v>
      </c>
      <c r="I429" t="s">
        <v>3036</v>
      </c>
    </row>
    <row r="430" spans="1:9" x14ac:dyDescent="0.25">
      <c r="A430" t="s">
        <v>3033</v>
      </c>
      <c r="B430" t="s">
        <v>3282</v>
      </c>
      <c r="C430" t="s">
        <v>3037</v>
      </c>
      <c r="D430">
        <v>36.256201939999997</v>
      </c>
      <c r="E430" t="s">
        <v>3034</v>
      </c>
      <c r="F430">
        <v>111.4713895</v>
      </c>
      <c r="G430" t="s">
        <v>3035</v>
      </c>
      <c r="H430">
        <v>14364</v>
      </c>
      <c r="I430" t="s">
        <v>3036</v>
      </c>
    </row>
    <row r="431" spans="1:9" x14ac:dyDescent="0.25">
      <c r="A431" t="s">
        <v>3033</v>
      </c>
      <c r="B431" t="s">
        <v>3347</v>
      </c>
      <c r="C431" t="s">
        <v>3037</v>
      </c>
      <c r="D431">
        <v>38.635116959999998</v>
      </c>
      <c r="E431" t="s">
        <v>3034</v>
      </c>
      <c r="F431">
        <v>111.1529984</v>
      </c>
      <c r="G431" t="s">
        <v>3035</v>
      </c>
      <c r="H431">
        <v>23079</v>
      </c>
      <c r="I431" t="s">
        <v>3036</v>
      </c>
    </row>
    <row r="432" spans="1:9" x14ac:dyDescent="0.25">
      <c r="A432" t="s">
        <v>3033</v>
      </c>
      <c r="B432" t="s">
        <v>3383</v>
      </c>
      <c r="C432" t="s">
        <v>3037</v>
      </c>
      <c r="D432">
        <v>39.917904180000001</v>
      </c>
      <c r="E432" t="s">
        <v>3034</v>
      </c>
      <c r="F432">
        <v>112.299577</v>
      </c>
      <c r="G432" t="s">
        <v>3035</v>
      </c>
      <c r="H432">
        <v>8468</v>
      </c>
      <c r="I432" t="s">
        <v>3036</v>
      </c>
    </row>
    <row r="433" spans="1:9" x14ac:dyDescent="0.25">
      <c r="A433" t="s">
        <v>3033</v>
      </c>
      <c r="B433" t="s">
        <v>3549</v>
      </c>
      <c r="C433" t="s">
        <v>3037</v>
      </c>
      <c r="D433">
        <v>35.451014020000002</v>
      </c>
      <c r="E433" t="s">
        <v>3034</v>
      </c>
      <c r="F433">
        <v>111.72262910000001</v>
      </c>
      <c r="G433" t="s">
        <v>3035</v>
      </c>
      <c r="H433">
        <v>13659</v>
      </c>
      <c r="I433" t="s">
        <v>3036</v>
      </c>
    </row>
    <row r="434" spans="1:9" x14ac:dyDescent="0.25">
      <c r="A434" t="s">
        <v>3033</v>
      </c>
      <c r="B434" t="s">
        <v>3087</v>
      </c>
      <c r="C434" t="s">
        <v>3037</v>
      </c>
      <c r="D434">
        <v>36.354204449999997</v>
      </c>
      <c r="E434" t="s">
        <v>3034</v>
      </c>
      <c r="F434">
        <v>113.31948439999999</v>
      </c>
      <c r="G434" t="s">
        <v>3035</v>
      </c>
      <c r="H434">
        <v>18849</v>
      </c>
      <c r="I434" t="s">
        <v>3036</v>
      </c>
    </row>
    <row r="435" spans="1:9" x14ac:dyDescent="0.25">
      <c r="A435" t="s">
        <v>3033</v>
      </c>
      <c r="B435" t="s">
        <v>3454</v>
      </c>
      <c r="C435" t="s">
        <v>3037</v>
      </c>
      <c r="D435">
        <v>39.379572150000001</v>
      </c>
      <c r="E435" t="s">
        <v>3034</v>
      </c>
      <c r="F435">
        <v>111.1763275</v>
      </c>
      <c r="G435" t="s">
        <v>3035</v>
      </c>
      <c r="H435">
        <v>74307</v>
      </c>
      <c r="I435" t="s">
        <v>3036</v>
      </c>
    </row>
    <row r="436" spans="1:9" x14ac:dyDescent="0.25">
      <c r="A436" t="s">
        <v>3033</v>
      </c>
      <c r="B436" t="s">
        <v>3348</v>
      </c>
      <c r="C436" t="s">
        <v>3037</v>
      </c>
      <c r="D436">
        <v>37.45053515</v>
      </c>
      <c r="E436" t="s">
        <v>3034</v>
      </c>
      <c r="F436">
        <v>111.4336028</v>
      </c>
      <c r="G436" t="s">
        <v>3035</v>
      </c>
      <c r="H436">
        <v>9158</v>
      </c>
      <c r="I436" t="s">
        <v>3036</v>
      </c>
    </row>
    <row r="437" spans="1:9" x14ac:dyDescent="0.25">
      <c r="A437" t="s">
        <v>3033</v>
      </c>
      <c r="B437" t="s">
        <v>3283</v>
      </c>
      <c r="C437" t="s">
        <v>3037</v>
      </c>
      <c r="D437">
        <v>36.552788489999998</v>
      </c>
      <c r="E437" t="s">
        <v>3034</v>
      </c>
      <c r="F437">
        <v>110.8920657</v>
      </c>
      <c r="G437" t="s">
        <v>3035</v>
      </c>
      <c r="H437">
        <v>10094</v>
      </c>
      <c r="I437" t="s">
        <v>3036</v>
      </c>
    </row>
    <row r="438" spans="1:9" x14ac:dyDescent="0.25">
      <c r="A438" t="s">
        <v>3033</v>
      </c>
      <c r="B438" t="s">
        <v>3284</v>
      </c>
      <c r="C438" t="s">
        <v>3037</v>
      </c>
      <c r="D438">
        <v>36.191584939999998</v>
      </c>
      <c r="E438" t="s">
        <v>3034</v>
      </c>
      <c r="F438">
        <v>111.5444844</v>
      </c>
      <c r="G438" t="s">
        <v>3035</v>
      </c>
      <c r="H438">
        <v>23178</v>
      </c>
      <c r="I438" t="s">
        <v>3036</v>
      </c>
    </row>
    <row r="439" spans="1:9" x14ac:dyDescent="0.25">
      <c r="A439" t="s">
        <v>3033</v>
      </c>
      <c r="B439" t="s">
        <v>3384</v>
      </c>
      <c r="C439" t="s">
        <v>3037</v>
      </c>
      <c r="D439">
        <v>39.782707530000003</v>
      </c>
      <c r="E439" t="s">
        <v>3034</v>
      </c>
      <c r="F439">
        <v>112.8638713</v>
      </c>
      <c r="G439" t="s">
        <v>3035</v>
      </c>
      <c r="H439">
        <v>8117</v>
      </c>
      <c r="I439" t="s">
        <v>3036</v>
      </c>
    </row>
    <row r="440" spans="1:9" x14ac:dyDescent="0.25">
      <c r="A440" t="s">
        <v>3033</v>
      </c>
      <c r="B440" t="s">
        <v>3349</v>
      </c>
      <c r="C440" t="s">
        <v>3037</v>
      </c>
      <c r="D440">
        <v>37.221056390000001</v>
      </c>
      <c r="E440" t="s">
        <v>3034</v>
      </c>
      <c r="F440">
        <v>111.03174989999999</v>
      </c>
      <c r="G440" t="s">
        <v>3035</v>
      </c>
      <c r="H440">
        <v>7585</v>
      </c>
      <c r="I440" t="s">
        <v>3036</v>
      </c>
    </row>
    <row r="441" spans="1:9" x14ac:dyDescent="0.25">
      <c r="A441" t="s">
        <v>3033</v>
      </c>
      <c r="B441" t="s">
        <v>3219</v>
      </c>
      <c r="C441" t="s">
        <v>3037</v>
      </c>
      <c r="D441">
        <v>37.81176997</v>
      </c>
      <c r="E441" t="s">
        <v>3034</v>
      </c>
      <c r="F441">
        <v>112.75162159999999</v>
      </c>
      <c r="G441" t="s">
        <v>3035</v>
      </c>
      <c r="H441">
        <v>33115</v>
      </c>
      <c r="I441" t="s">
        <v>3036</v>
      </c>
    </row>
    <row r="442" spans="1:9" x14ac:dyDescent="0.25">
      <c r="A442" t="s">
        <v>3033</v>
      </c>
      <c r="B442" t="s">
        <v>3120</v>
      </c>
      <c r="C442" t="s">
        <v>3037</v>
      </c>
      <c r="D442">
        <v>39.431608760000003</v>
      </c>
      <c r="E442" t="s">
        <v>3034</v>
      </c>
      <c r="F442">
        <v>114.20292980000001</v>
      </c>
      <c r="G442" t="s">
        <v>3035</v>
      </c>
      <c r="H442">
        <v>121110</v>
      </c>
      <c r="I442" t="s">
        <v>3036</v>
      </c>
    </row>
    <row r="443" spans="1:9" x14ac:dyDescent="0.25">
      <c r="A443" t="s">
        <v>3033</v>
      </c>
      <c r="B443" t="s">
        <v>3350</v>
      </c>
      <c r="C443" t="s">
        <v>3037</v>
      </c>
      <c r="D443">
        <v>37.073948459999997</v>
      </c>
      <c r="E443" t="s">
        <v>3034</v>
      </c>
      <c r="F443">
        <v>111.8208104</v>
      </c>
      <c r="G443" t="s">
        <v>3035</v>
      </c>
      <c r="H443">
        <v>26766</v>
      </c>
      <c r="I443" t="s">
        <v>3036</v>
      </c>
    </row>
    <row r="444" spans="1:9" x14ac:dyDescent="0.25">
      <c r="A444" t="s">
        <v>3033</v>
      </c>
      <c r="B444" t="s">
        <v>3088</v>
      </c>
      <c r="C444" t="s">
        <v>3037</v>
      </c>
      <c r="D444">
        <v>36.417363360000003</v>
      </c>
      <c r="E444" t="s">
        <v>3034</v>
      </c>
      <c r="F444">
        <v>112.7120101</v>
      </c>
      <c r="G444" t="s">
        <v>3035</v>
      </c>
      <c r="H444">
        <v>15530</v>
      </c>
      <c r="I444" t="s">
        <v>3036</v>
      </c>
    </row>
    <row r="445" spans="1:9" x14ac:dyDescent="0.25">
      <c r="A445" t="s">
        <v>3033</v>
      </c>
      <c r="B445" t="s">
        <v>3351</v>
      </c>
      <c r="C445" t="s">
        <v>3037</v>
      </c>
      <c r="D445">
        <v>37.149652469999999</v>
      </c>
      <c r="E445" t="s">
        <v>3034</v>
      </c>
      <c r="F445">
        <v>111.5843995</v>
      </c>
      <c r="G445" t="s">
        <v>3035</v>
      </c>
      <c r="H445">
        <v>18119</v>
      </c>
      <c r="I445" t="s">
        <v>3036</v>
      </c>
    </row>
    <row r="446" spans="1:9" x14ac:dyDescent="0.25">
      <c r="A446" t="s">
        <v>3033</v>
      </c>
      <c r="B446" t="s">
        <v>3166</v>
      </c>
      <c r="C446" t="s">
        <v>3037</v>
      </c>
      <c r="D446">
        <v>35.653922059999999</v>
      </c>
      <c r="E446" t="s">
        <v>3034</v>
      </c>
      <c r="F446">
        <v>112.7167965</v>
      </c>
      <c r="G446" t="s">
        <v>3035</v>
      </c>
      <c r="H446">
        <v>46926</v>
      </c>
      <c r="I446" t="s">
        <v>3036</v>
      </c>
    </row>
    <row r="447" spans="1:9" x14ac:dyDescent="0.25">
      <c r="A447" t="s">
        <v>3033</v>
      </c>
      <c r="B447" t="s">
        <v>3089</v>
      </c>
      <c r="C447" t="s">
        <v>3037</v>
      </c>
      <c r="D447">
        <v>36.527796049999999</v>
      </c>
      <c r="E447" t="s">
        <v>3034</v>
      </c>
      <c r="F447">
        <v>112.8974996</v>
      </c>
      <c r="G447" t="s">
        <v>3035</v>
      </c>
      <c r="H447">
        <v>28829</v>
      </c>
      <c r="I447" t="s">
        <v>3036</v>
      </c>
    </row>
    <row r="448" spans="1:9" x14ac:dyDescent="0.25">
      <c r="A448" t="s">
        <v>3033</v>
      </c>
      <c r="B448" t="s">
        <v>3352</v>
      </c>
      <c r="C448" t="s">
        <v>3037</v>
      </c>
      <c r="D448">
        <v>37.545765189999997</v>
      </c>
      <c r="E448" t="s">
        <v>3034</v>
      </c>
      <c r="F448">
        <v>112.22080529999999</v>
      </c>
      <c r="G448" t="s">
        <v>3035</v>
      </c>
      <c r="H448">
        <v>36525</v>
      </c>
      <c r="I448" t="s">
        <v>3036</v>
      </c>
    </row>
    <row r="449" spans="1:9" x14ac:dyDescent="0.25">
      <c r="A449" t="s">
        <v>3033</v>
      </c>
      <c r="B449" t="s">
        <v>3090</v>
      </c>
      <c r="C449" t="s">
        <v>3037</v>
      </c>
      <c r="D449">
        <v>36.64664441</v>
      </c>
      <c r="E449" t="s">
        <v>3034</v>
      </c>
      <c r="F449">
        <v>113.0966473</v>
      </c>
      <c r="G449" t="s">
        <v>3035</v>
      </c>
      <c r="H449">
        <v>15944</v>
      </c>
      <c r="I449" t="s">
        <v>3036</v>
      </c>
    </row>
    <row r="450" spans="1:9" x14ac:dyDescent="0.25">
      <c r="A450" t="s">
        <v>3033</v>
      </c>
      <c r="B450" t="s">
        <v>3220</v>
      </c>
      <c r="C450" t="s">
        <v>3037</v>
      </c>
      <c r="D450">
        <v>36.852551300000002</v>
      </c>
      <c r="E450" t="s">
        <v>3034</v>
      </c>
      <c r="F450">
        <v>111.6725769</v>
      </c>
      <c r="G450" t="s">
        <v>3035</v>
      </c>
      <c r="H450">
        <v>11653</v>
      </c>
      <c r="I450" t="s">
        <v>3036</v>
      </c>
    </row>
    <row r="451" spans="1:9" x14ac:dyDescent="0.25">
      <c r="A451" t="s">
        <v>3033</v>
      </c>
      <c r="B451" t="s">
        <v>3285</v>
      </c>
      <c r="C451" t="s">
        <v>3037</v>
      </c>
      <c r="D451">
        <v>36.018323070000001</v>
      </c>
      <c r="E451" t="s">
        <v>3034</v>
      </c>
      <c r="F451">
        <v>111.62345809999999</v>
      </c>
      <c r="G451" t="s">
        <v>3035</v>
      </c>
      <c r="H451">
        <v>33518</v>
      </c>
      <c r="I451" t="s">
        <v>3036</v>
      </c>
    </row>
    <row r="452" spans="1:9" x14ac:dyDescent="0.25">
      <c r="A452" t="s">
        <v>3033</v>
      </c>
      <c r="B452" t="s">
        <v>3286</v>
      </c>
      <c r="C452" t="s">
        <v>3037</v>
      </c>
      <c r="D452">
        <v>36.014910159999999</v>
      </c>
      <c r="E452" t="s">
        <v>3034</v>
      </c>
      <c r="F452">
        <v>111.3380983</v>
      </c>
      <c r="G452" t="s">
        <v>3035</v>
      </c>
      <c r="H452">
        <v>40711</v>
      </c>
      <c r="I452" t="s">
        <v>3036</v>
      </c>
    </row>
    <row r="453" spans="1:9" x14ac:dyDescent="0.25">
      <c r="A453" t="s">
        <v>3033</v>
      </c>
      <c r="B453" t="s">
        <v>3287</v>
      </c>
      <c r="C453" t="s">
        <v>3037</v>
      </c>
      <c r="D453">
        <v>35.888782489999997</v>
      </c>
      <c r="E453" t="s">
        <v>3034</v>
      </c>
      <c r="F453">
        <v>111.81135260000001</v>
      </c>
      <c r="G453" t="s">
        <v>3035</v>
      </c>
      <c r="H453">
        <v>16498</v>
      </c>
      <c r="I453" t="s">
        <v>3036</v>
      </c>
    </row>
    <row r="454" spans="1:9" x14ac:dyDescent="0.25">
      <c r="A454" t="s">
        <v>3033</v>
      </c>
      <c r="B454" t="s">
        <v>3406</v>
      </c>
      <c r="C454" t="s">
        <v>3037</v>
      </c>
      <c r="D454">
        <v>37.996307539999997</v>
      </c>
      <c r="E454" t="s">
        <v>3034</v>
      </c>
      <c r="F454">
        <v>112.49146500000001</v>
      </c>
      <c r="G454" t="s">
        <v>3035</v>
      </c>
      <c r="H454">
        <v>17298</v>
      </c>
      <c r="I454" t="s">
        <v>3036</v>
      </c>
    </row>
    <row r="455" spans="1:9" x14ac:dyDescent="0.25">
      <c r="A455" t="s">
        <v>3033</v>
      </c>
      <c r="B455" t="s">
        <v>3455</v>
      </c>
      <c r="C455" t="s">
        <v>3037</v>
      </c>
      <c r="D455">
        <v>39.052461000000001</v>
      </c>
      <c r="E455" t="s">
        <v>3034</v>
      </c>
      <c r="F455">
        <v>111.78842849999999</v>
      </c>
      <c r="G455" t="s">
        <v>3035</v>
      </c>
      <c r="H455">
        <v>4473</v>
      </c>
      <c r="I455" t="s">
        <v>3036</v>
      </c>
    </row>
    <row r="456" spans="1:9" x14ac:dyDescent="0.25">
      <c r="A456" t="s">
        <v>3033</v>
      </c>
      <c r="B456" t="s">
        <v>3353</v>
      </c>
      <c r="C456" t="s">
        <v>3037</v>
      </c>
      <c r="D456">
        <v>37.262840449999999</v>
      </c>
      <c r="E456" t="s">
        <v>3034</v>
      </c>
      <c r="F456">
        <v>111.8766645</v>
      </c>
      <c r="G456" t="s">
        <v>3035</v>
      </c>
      <c r="H456">
        <v>32757</v>
      </c>
      <c r="I456" t="s">
        <v>3036</v>
      </c>
    </row>
    <row r="457" spans="1:9" x14ac:dyDescent="0.25">
      <c r="A457" t="s">
        <v>3033</v>
      </c>
      <c r="B457" t="s">
        <v>3354</v>
      </c>
      <c r="C457" t="s">
        <v>3037</v>
      </c>
      <c r="D457">
        <v>37.122733619999998</v>
      </c>
      <c r="E457" t="s">
        <v>3034</v>
      </c>
      <c r="F457">
        <v>110.6573753</v>
      </c>
      <c r="G457" t="s">
        <v>3035</v>
      </c>
      <c r="H457">
        <v>9310</v>
      </c>
      <c r="I457" t="s">
        <v>3036</v>
      </c>
    </row>
    <row r="458" spans="1:9" x14ac:dyDescent="0.25">
      <c r="A458" t="s">
        <v>3033</v>
      </c>
      <c r="B458" t="s">
        <v>3355</v>
      </c>
      <c r="C458" t="s">
        <v>3037</v>
      </c>
      <c r="D458">
        <v>37.379927899999998</v>
      </c>
      <c r="E458" t="s">
        <v>3034</v>
      </c>
      <c r="F458">
        <v>111.99312310000001</v>
      </c>
      <c r="G458" t="s">
        <v>3035</v>
      </c>
      <c r="H458">
        <v>27981</v>
      </c>
      <c r="I458" t="s">
        <v>3036</v>
      </c>
    </row>
    <row r="459" spans="1:9" x14ac:dyDescent="0.25">
      <c r="A459" t="s">
        <v>3033</v>
      </c>
      <c r="B459" t="s">
        <v>3356</v>
      </c>
      <c r="C459" t="s">
        <v>3037</v>
      </c>
      <c r="D459">
        <v>37.342397750000003</v>
      </c>
      <c r="E459" t="s">
        <v>3034</v>
      </c>
      <c r="F459">
        <v>112.1229775</v>
      </c>
      <c r="G459" t="s">
        <v>3035</v>
      </c>
      <c r="H459">
        <v>39332</v>
      </c>
      <c r="I459" t="s">
        <v>3036</v>
      </c>
    </row>
    <row r="460" spans="1:9" x14ac:dyDescent="0.25">
      <c r="A460" t="s">
        <v>3033</v>
      </c>
      <c r="B460" t="s">
        <v>3385</v>
      </c>
      <c r="C460" t="s">
        <v>3037</v>
      </c>
      <c r="D460">
        <v>39.51828381</v>
      </c>
      <c r="E460" t="s">
        <v>3034</v>
      </c>
      <c r="F460">
        <v>113.2984719</v>
      </c>
      <c r="G460" t="s">
        <v>3035</v>
      </c>
      <c r="H460">
        <v>21781</v>
      </c>
      <c r="I460" t="s">
        <v>3036</v>
      </c>
    </row>
    <row r="461" spans="1:9" x14ac:dyDescent="0.25">
      <c r="A461" t="s">
        <v>3033</v>
      </c>
      <c r="B461" t="s">
        <v>3121</v>
      </c>
      <c r="C461" t="s">
        <v>3037</v>
      </c>
      <c r="D461">
        <v>39.588066060000003</v>
      </c>
      <c r="E461" t="s">
        <v>3034</v>
      </c>
      <c r="F461">
        <v>113.4844173</v>
      </c>
      <c r="G461" t="s">
        <v>3035</v>
      </c>
      <c r="H461">
        <v>13897</v>
      </c>
      <c r="I461" t="s">
        <v>3036</v>
      </c>
    </row>
    <row r="462" spans="1:9" x14ac:dyDescent="0.25">
      <c r="A462" t="s">
        <v>3033</v>
      </c>
      <c r="B462" t="s">
        <v>3167</v>
      </c>
      <c r="C462" t="s">
        <v>3037</v>
      </c>
      <c r="D462">
        <v>35.618429650000003</v>
      </c>
      <c r="E462" t="s">
        <v>3034</v>
      </c>
      <c r="F462">
        <v>113.0992681</v>
      </c>
      <c r="G462" t="s">
        <v>3035</v>
      </c>
      <c r="H462">
        <v>17400</v>
      </c>
      <c r="I462" t="s">
        <v>3036</v>
      </c>
    </row>
    <row r="463" spans="1:9" x14ac:dyDescent="0.25">
      <c r="A463" t="s">
        <v>3033</v>
      </c>
      <c r="B463" t="s">
        <v>3091</v>
      </c>
      <c r="C463" t="s">
        <v>3037</v>
      </c>
      <c r="D463">
        <v>35.90955271</v>
      </c>
      <c r="E463" t="s">
        <v>3034</v>
      </c>
      <c r="F463">
        <v>113.15028030000001</v>
      </c>
      <c r="G463" t="s">
        <v>3035</v>
      </c>
      <c r="H463">
        <v>24945</v>
      </c>
      <c r="I463" t="s">
        <v>3036</v>
      </c>
    </row>
    <row r="464" spans="1:9" x14ac:dyDescent="0.25">
      <c r="A464" t="s">
        <v>3033</v>
      </c>
      <c r="B464" t="s">
        <v>3092</v>
      </c>
      <c r="C464" t="s">
        <v>3037</v>
      </c>
      <c r="D464">
        <v>36.708440539999998</v>
      </c>
      <c r="E464" t="s">
        <v>3034</v>
      </c>
      <c r="F464">
        <v>113.3905293</v>
      </c>
      <c r="G464" t="s">
        <v>3035</v>
      </c>
      <c r="H464">
        <v>25791</v>
      </c>
      <c r="I464" t="s">
        <v>3036</v>
      </c>
    </row>
    <row r="465" spans="1:9" x14ac:dyDescent="0.25">
      <c r="A465" t="s">
        <v>3033</v>
      </c>
      <c r="B465" t="s">
        <v>3221</v>
      </c>
      <c r="C465" t="s">
        <v>3037</v>
      </c>
      <c r="D465">
        <v>37.707964420000003</v>
      </c>
      <c r="E465" t="s">
        <v>3034</v>
      </c>
      <c r="F465">
        <v>112.9942836</v>
      </c>
      <c r="G465" t="s">
        <v>3035</v>
      </c>
      <c r="H465">
        <v>7513</v>
      </c>
      <c r="I465" t="s">
        <v>3036</v>
      </c>
    </row>
    <row r="466" spans="1:9" x14ac:dyDescent="0.25">
      <c r="A466" t="s">
        <v>3033</v>
      </c>
      <c r="B466" t="s">
        <v>3550</v>
      </c>
      <c r="C466" t="s">
        <v>3037</v>
      </c>
      <c r="D466">
        <v>34.77706955</v>
      </c>
      <c r="E466" t="s">
        <v>3034</v>
      </c>
      <c r="F466">
        <v>110.78053730000001</v>
      </c>
      <c r="G466" t="s">
        <v>3035</v>
      </c>
      <c r="H466">
        <v>21656</v>
      </c>
      <c r="I466" t="s">
        <v>3036</v>
      </c>
    </row>
    <row r="467" spans="1:9" x14ac:dyDescent="0.25">
      <c r="A467" t="s">
        <v>3033</v>
      </c>
      <c r="B467" t="s">
        <v>3093</v>
      </c>
      <c r="C467" t="s">
        <v>3037</v>
      </c>
      <c r="D467">
        <v>36.432067529999998</v>
      </c>
      <c r="E467" t="s">
        <v>3034</v>
      </c>
      <c r="F467">
        <v>113.30720410000001</v>
      </c>
      <c r="G467" t="s">
        <v>3035</v>
      </c>
      <c r="H467">
        <v>12444</v>
      </c>
      <c r="I467" t="s">
        <v>3036</v>
      </c>
    </row>
    <row r="468" spans="1:9" x14ac:dyDescent="0.25">
      <c r="A468" t="s">
        <v>3033</v>
      </c>
      <c r="B468" t="s">
        <v>5057</v>
      </c>
      <c r="C468" t="s">
        <v>3037</v>
      </c>
      <c r="D468">
        <v>35.872521730000003</v>
      </c>
      <c r="E468" t="s">
        <v>3034</v>
      </c>
      <c r="F468">
        <v>111.44656929999999</v>
      </c>
      <c r="G468" t="s">
        <v>3035</v>
      </c>
      <c r="H468">
        <v>79814</v>
      </c>
      <c r="I468" t="s">
        <v>3036</v>
      </c>
    </row>
    <row r="469" spans="1:9" x14ac:dyDescent="0.25">
      <c r="A469" t="s">
        <v>3033</v>
      </c>
      <c r="B469" t="s">
        <v>5058</v>
      </c>
      <c r="C469" t="s">
        <v>3037</v>
      </c>
      <c r="D469">
        <v>39.99662344</v>
      </c>
      <c r="E469" t="s">
        <v>3034</v>
      </c>
      <c r="F469">
        <v>112.4644969</v>
      </c>
      <c r="G469" t="s">
        <v>3035</v>
      </c>
      <c r="H469">
        <v>52903</v>
      </c>
      <c r="I469" t="s">
        <v>3036</v>
      </c>
    </row>
    <row r="470" spans="1:9" x14ac:dyDescent="0.25">
      <c r="A470" t="s">
        <v>3033</v>
      </c>
      <c r="B470" t="s">
        <v>5059</v>
      </c>
      <c r="C470" t="s">
        <v>3037</v>
      </c>
      <c r="D470">
        <v>35.329464719999997</v>
      </c>
      <c r="E470" t="s">
        <v>3034</v>
      </c>
      <c r="F470">
        <v>111.6703752</v>
      </c>
      <c r="G470" t="s">
        <v>3035</v>
      </c>
      <c r="H470">
        <v>76386</v>
      </c>
      <c r="I470" t="s">
        <v>3036</v>
      </c>
    </row>
    <row r="471" spans="1:9" x14ac:dyDescent="0.25">
      <c r="A471" t="s">
        <v>3033</v>
      </c>
      <c r="B471" t="s">
        <v>3094</v>
      </c>
      <c r="C471" t="s">
        <v>3037</v>
      </c>
      <c r="D471">
        <v>36.594991280000002</v>
      </c>
      <c r="E471" t="s">
        <v>3034</v>
      </c>
      <c r="F471">
        <v>112.71961210000001</v>
      </c>
      <c r="G471" t="s">
        <v>3035</v>
      </c>
      <c r="H471">
        <v>14838</v>
      </c>
      <c r="I471" t="s">
        <v>3036</v>
      </c>
    </row>
    <row r="472" spans="1:9" x14ac:dyDescent="0.25">
      <c r="A472" t="s">
        <v>3033</v>
      </c>
      <c r="B472" t="s">
        <v>3095</v>
      </c>
      <c r="C472" t="s">
        <v>3037</v>
      </c>
      <c r="D472">
        <v>36.029173520000001</v>
      </c>
      <c r="E472" t="s">
        <v>3034</v>
      </c>
      <c r="F472">
        <v>113.582769</v>
      </c>
      <c r="G472" t="s">
        <v>3035</v>
      </c>
      <c r="H472">
        <v>11866</v>
      </c>
      <c r="I472" t="s">
        <v>3036</v>
      </c>
    </row>
    <row r="473" spans="1:9" x14ac:dyDescent="0.25">
      <c r="A473" t="s">
        <v>3033</v>
      </c>
      <c r="B473" t="s">
        <v>3357</v>
      </c>
      <c r="C473" t="s">
        <v>3037</v>
      </c>
      <c r="D473">
        <v>37.364274649999999</v>
      </c>
      <c r="E473" t="s">
        <v>3034</v>
      </c>
      <c r="F473">
        <v>111.88451019999999</v>
      </c>
      <c r="G473" t="s">
        <v>3035</v>
      </c>
      <c r="H473">
        <v>30546</v>
      </c>
      <c r="I473" t="s">
        <v>3036</v>
      </c>
    </row>
    <row r="474" spans="1:9" x14ac:dyDescent="0.25">
      <c r="A474" t="s">
        <v>3033</v>
      </c>
      <c r="B474" t="s">
        <v>3358</v>
      </c>
      <c r="C474" t="s">
        <v>3037</v>
      </c>
      <c r="D474">
        <v>39.468532359999998</v>
      </c>
      <c r="E474" t="s">
        <v>3034</v>
      </c>
      <c r="F474">
        <v>111.5273438</v>
      </c>
      <c r="G474" t="s">
        <v>3035</v>
      </c>
      <c r="H474">
        <v>54981</v>
      </c>
      <c r="I474" t="s">
        <v>3036</v>
      </c>
    </row>
    <row r="475" spans="1:9" x14ac:dyDescent="0.25">
      <c r="A475" t="s">
        <v>3033</v>
      </c>
      <c r="B475" t="s">
        <v>3358</v>
      </c>
      <c r="C475" t="s">
        <v>3037</v>
      </c>
      <c r="D475">
        <v>37.033675389999999</v>
      </c>
      <c r="E475" t="s">
        <v>3034</v>
      </c>
      <c r="F475">
        <v>110.49987849999999</v>
      </c>
      <c r="G475" t="s">
        <v>3035</v>
      </c>
      <c r="H475">
        <v>8446</v>
      </c>
      <c r="I475" t="s">
        <v>3036</v>
      </c>
    </row>
    <row r="476" spans="1:9" x14ac:dyDescent="0.25">
      <c r="A476" t="s">
        <v>3033</v>
      </c>
      <c r="B476" t="s">
        <v>3122</v>
      </c>
      <c r="C476" t="s">
        <v>3037</v>
      </c>
      <c r="D476">
        <v>40.640872909999999</v>
      </c>
      <c r="E476" t="s">
        <v>3034</v>
      </c>
      <c r="F476">
        <v>114.12570530000001</v>
      </c>
      <c r="G476" t="s">
        <v>3035</v>
      </c>
      <c r="H476">
        <v>12108</v>
      </c>
      <c r="I476" t="s">
        <v>3036</v>
      </c>
    </row>
    <row r="477" spans="1:9" x14ac:dyDescent="0.25">
      <c r="A477" t="s">
        <v>3033</v>
      </c>
      <c r="B477" t="s">
        <v>3123</v>
      </c>
      <c r="C477" t="s">
        <v>3037</v>
      </c>
      <c r="D477">
        <v>40.28707275</v>
      </c>
      <c r="E477" t="s">
        <v>3034</v>
      </c>
      <c r="F477">
        <v>113.161873</v>
      </c>
      <c r="G477" t="s">
        <v>3035</v>
      </c>
      <c r="H477">
        <v>12819</v>
      </c>
      <c r="I477" t="s">
        <v>3036</v>
      </c>
    </row>
    <row r="478" spans="1:9" x14ac:dyDescent="0.25">
      <c r="A478" t="s">
        <v>3033</v>
      </c>
      <c r="B478" t="s">
        <v>3288</v>
      </c>
      <c r="C478" t="s">
        <v>3037</v>
      </c>
      <c r="D478">
        <v>36.489930170000001</v>
      </c>
      <c r="E478" t="s">
        <v>3034</v>
      </c>
      <c r="F478">
        <v>110.7521756</v>
      </c>
      <c r="G478" t="s">
        <v>3035</v>
      </c>
      <c r="H478">
        <v>34666</v>
      </c>
      <c r="I478" t="s">
        <v>3036</v>
      </c>
    </row>
    <row r="479" spans="1:9" x14ac:dyDescent="0.25">
      <c r="A479" t="s">
        <v>3033</v>
      </c>
      <c r="B479" t="s">
        <v>3359</v>
      </c>
      <c r="C479" t="s">
        <v>3037</v>
      </c>
      <c r="D479">
        <v>37.605312339999998</v>
      </c>
      <c r="E479" t="s">
        <v>3034</v>
      </c>
      <c r="F479">
        <v>111.38415019999999</v>
      </c>
      <c r="G479" t="s">
        <v>3035</v>
      </c>
      <c r="H479">
        <v>9689</v>
      </c>
      <c r="I479" t="s">
        <v>3036</v>
      </c>
    </row>
    <row r="480" spans="1:9" x14ac:dyDescent="0.25">
      <c r="A480" t="s">
        <v>3033</v>
      </c>
      <c r="B480" t="s">
        <v>3289</v>
      </c>
      <c r="C480" t="s">
        <v>3037</v>
      </c>
      <c r="D480">
        <v>36.507421970000003</v>
      </c>
      <c r="E480" t="s">
        <v>3034</v>
      </c>
      <c r="F480">
        <v>111.72930700000001</v>
      </c>
      <c r="G480" t="s">
        <v>3035</v>
      </c>
      <c r="H480">
        <v>48543</v>
      </c>
      <c r="I480" t="s">
        <v>3036</v>
      </c>
    </row>
    <row r="481" spans="1:9" x14ac:dyDescent="0.25">
      <c r="A481" t="s">
        <v>3033</v>
      </c>
      <c r="B481" t="s">
        <v>3124</v>
      </c>
      <c r="C481" t="s">
        <v>3037</v>
      </c>
      <c r="D481">
        <v>40.070805800000002</v>
      </c>
      <c r="E481" t="s">
        <v>3034</v>
      </c>
      <c r="F481">
        <v>113.5718806</v>
      </c>
      <c r="G481" t="s">
        <v>3035</v>
      </c>
      <c r="H481">
        <v>27732</v>
      </c>
      <c r="I481" t="s">
        <v>3036</v>
      </c>
    </row>
    <row r="482" spans="1:9" x14ac:dyDescent="0.25">
      <c r="A482" t="s">
        <v>3033</v>
      </c>
      <c r="B482" t="s">
        <v>3290</v>
      </c>
      <c r="C482" t="s">
        <v>3037</v>
      </c>
      <c r="D482">
        <v>35.795361020000001</v>
      </c>
      <c r="E482" t="s">
        <v>3034</v>
      </c>
      <c r="F482">
        <v>110.71745490000001</v>
      </c>
      <c r="G482" t="s">
        <v>3035</v>
      </c>
      <c r="H482">
        <v>15755</v>
      </c>
      <c r="I482" t="s">
        <v>3036</v>
      </c>
    </row>
    <row r="483" spans="1:9" x14ac:dyDescent="0.25">
      <c r="A483" t="s">
        <v>3033</v>
      </c>
      <c r="B483" t="s">
        <v>5060</v>
      </c>
      <c r="C483" t="s">
        <v>3037</v>
      </c>
      <c r="D483">
        <v>37.549847159999999</v>
      </c>
      <c r="E483" t="s">
        <v>3034</v>
      </c>
      <c r="F483">
        <v>111.9396649</v>
      </c>
      <c r="G483" t="s">
        <v>3035</v>
      </c>
      <c r="H483">
        <v>10695</v>
      </c>
      <c r="I483" t="s">
        <v>3036</v>
      </c>
    </row>
    <row r="484" spans="1:9" x14ac:dyDescent="0.25">
      <c r="A484" t="s">
        <v>3033</v>
      </c>
      <c r="B484" t="s">
        <v>5061</v>
      </c>
      <c r="C484" t="s">
        <v>3037</v>
      </c>
      <c r="D484">
        <v>35.701796119999997</v>
      </c>
      <c r="E484" t="s">
        <v>3034</v>
      </c>
      <c r="F484">
        <v>110.987574</v>
      </c>
      <c r="G484" t="s">
        <v>3035</v>
      </c>
      <c r="H484">
        <v>28334</v>
      </c>
      <c r="I484" t="s">
        <v>3036</v>
      </c>
    </row>
    <row r="485" spans="1:9" x14ac:dyDescent="0.25">
      <c r="A485" t="s">
        <v>3033</v>
      </c>
      <c r="B485" t="s">
        <v>3481</v>
      </c>
      <c r="C485" t="s">
        <v>3037</v>
      </c>
      <c r="D485">
        <v>38.090188830000002</v>
      </c>
      <c r="E485" t="s">
        <v>3034</v>
      </c>
      <c r="F485">
        <v>113.3989287</v>
      </c>
      <c r="G485" t="s">
        <v>3035</v>
      </c>
      <c r="H485">
        <v>93013</v>
      </c>
      <c r="I485" t="s">
        <v>3036</v>
      </c>
    </row>
    <row r="486" spans="1:9" x14ac:dyDescent="0.25">
      <c r="A486" t="s">
        <v>3033</v>
      </c>
      <c r="B486" t="s">
        <v>3222</v>
      </c>
      <c r="C486" t="s">
        <v>3037</v>
      </c>
      <c r="D486">
        <v>37.608454879999996</v>
      </c>
      <c r="E486" t="s">
        <v>3034</v>
      </c>
      <c r="F486">
        <v>112.7035771</v>
      </c>
      <c r="G486" t="s">
        <v>3035</v>
      </c>
      <c r="H486">
        <v>29183</v>
      </c>
      <c r="I486" t="s">
        <v>3036</v>
      </c>
    </row>
    <row r="487" spans="1:9" x14ac:dyDescent="0.25">
      <c r="A487" t="s">
        <v>3033</v>
      </c>
      <c r="B487" t="s">
        <v>3360</v>
      </c>
      <c r="C487" t="s">
        <v>3037</v>
      </c>
      <c r="D487">
        <v>37.023877759999998</v>
      </c>
      <c r="E487" t="s">
        <v>3034</v>
      </c>
      <c r="F487">
        <v>111.5142243</v>
      </c>
      <c r="G487" t="s">
        <v>3035</v>
      </c>
      <c r="H487">
        <v>16839</v>
      </c>
      <c r="I487" t="s">
        <v>3036</v>
      </c>
    </row>
    <row r="488" spans="1:9" x14ac:dyDescent="0.25">
      <c r="A488" t="s">
        <v>3033</v>
      </c>
      <c r="B488" t="s">
        <v>3291</v>
      </c>
      <c r="C488" t="s">
        <v>3037</v>
      </c>
      <c r="D488">
        <v>35.500880010000003</v>
      </c>
      <c r="E488" t="s">
        <v>3034</v>
      </c>
      <c r="F488">
        <v>111.8978741</v>
      </c>
      <c r="G488" t="s">
        <v>3035</v>
      </c>
      <c r="H488">
        <v>6054</v>
      </c>
      <c r="I488" t="s">
        <v>3036</v>
      </c>
    </row>
    <row r="489" spans="1:9" x14ac:dyDescent="0.25">
      <c r="A489" t="s">
        <v>3033</v>
      </c>
      <c r="B489" t="s">
        <v>3482</v>
      </c>
      <c r="C489" t="s">
        <v>3037</v>
      </c>
      <c r="D489">
        <v>38.193744260000003</v>
      </c>
      <c r="E489" t="s">
        <v>3034</v>
      </c>
      <c r="F489">
        <v>113.0738978</v>
      </c>
      <c r="G489" t="s">
        <v>3035</v>
      </c>
      <c r="H489">
        <v>18426</v>
      </c>
      <c r="I489" t="s">
        <v>3036</v>
      </c>
    </row>
    <row r="490" spans="1:9" x14ac:dyDescent="0.25">
      <c r="A490" t="s">
        <v>3033</v>
      </c>
      <c r="B490" t="s">
        <v>5062</v>
      </c>
      <c r="C490" t="s">
        <v>3037</v>
      </c>
      <c r="D490">
        <v>36.704781019999999</v>
      </c>
      <c r="E490" t="s">
        <v>3034</v>
      </c>
      <c r="F490">
        <v>113.07488240000001</v>
      </c>
      <c r="G490" t="s">
        <v>3035</v>
      </c>
      <c r="H490">
        <v>10322</v>
      </c>
      <c r="I490" t="s">
        <v>3036</v>
      </c>
    </row>
    <row r="491" spans="1:9" x14ac:dyDescent="0.25">
      <c r="A491" t="s">
        <v>3033</v>
      </c>
      <c r="B491" t="s">
        <v>5063</v>
      </c>
      <c r="C491" t="s">
        <v>3037</v>
      </c>
      <c r="D491">
        <v>37.49555805</v>
      </c>
      <c r="E491" t="s">
        <v>3034</v>
      </c>
      <c r="F491">
        <v>112.1374294</v>
      </c>
      <c r="G491" t="s">
        <v>3035</v>
      </c>
      <c r="H491">
        <v>28563</v>
      </c>
      <c r="I491" t="s">
        <v>3036</v>
      </c>
    </row>
    <row r="492" spans="1:9" x14ac:dyDescent="0.25">
      <c r="A492" t="s">
        <v>3033</v>
      </c>
      <c r="B492" t="s">
        <v>3456</v>
      </c>
      <c r="C492" t="s">
        <v>3037</v>
      </c>
      <c r="D492">
        <v>38.326786579999997</v>
      </c>
      <c r="E492" t="s">
        <v>3034</v>
      </c>
      <c r="F492">
        <v>112.78601740000001</v>
      </c>
      <c r="G492" t="s">
        <v>3035</v>
      </c>
      <c r="H492">
        <v>12754</v>
      </c>
      <c r="I492" t="s">
        <v>3036</v>
      </c>
    </row>
    <row r="493" spans="1:9" x14ac:dyDescent="0.25">
      <c r="A493" t="s">
        <v>3033</v>
      </c>
      <c r="B493" t="s">
        <v>3457</v>
      </c>
      <c r="C493" t="s">
        <v>3037</v>
      </c>
      <c r="D493">
        <v>38.919100520000001</v>
      </c>
      <c r="E493" t="s">
        <v>3034</v>
      </c>
      <c r="F493">
        <v>112.4146825</v>
      </c>
      <c r="G493" t="s">
        <v>3035</v>
      </c>
      <c r="H493">
        <v>19963</v>
      </c>
      <c r="I493" t="s">
        <v>3036</v>
      </c>
    </row>
    <row r="494" spans="1:9" x14ac:dyDescent="0.25">
      <c r="A494" t="s">
        <v>3033</v>
      </c>
      <c r="B494" t="s">
        <v>3361</v>
      </c>
      <c r="C494" t="s">
        <v>3037</v>
      </c>
      <c r="D494">
        <v>37.43477025</v>
      </c>
      <c r="E494" t="s">
        <v>3034</v>
      </c>
      <c r="F494">
        <v>110.7606658</v>
      </c>
      <c r="G494" t="s">
        <v>3035</v>
      </c>
      <c r="H494">
        <v>15173</v>
      </c>
      <c r="I494" t="s">
        <v>3036</v>
      </c>
    </row>
    <row r="495" spans="1:9" x14ac:dyDescent="0.25">
      <c r="A495" t="s">
        <v>3033</v>
      </c>
      <c r="B495" t="s">
        <v>3551</v>
      </c>
      <c r="C495" t="s">
        <v>3037</v>
      </c>
      <c r="D495">
        <v>35.460843609999998</v>
      </c>
      <c r="E495" t="s">
        <v>3034</v>
      </c>
      <c r="F495">
        <v>111.21833549999999</v>
      </c>
      <c r="G495" t="s">
        <v>3035</v>
      </c>
      <c r="H495">
        <v>13612</v>
      </c>
      <c r="I495" t="s">
        <v>3036</v>
      </c>
    </row>
    <row r="496" spans="1:9" x14ac:dyDescent="0.25">
      <c r="A496" t="s">
        <v>3033</v>
      </c>
      <c r="B496" t="s">
        <v>3292</v>
      </c>
      <c r="C496" t="s">
        <v>3037</v>
      </c>
      <c r="D496">
        <v>36.471945159999997</v>
      </c>
      <c r="E496" t="s">
        <v>3034</v>
      </c>
      <c r="F496">
        <v>110.9757511</v>
      </c>
      <c r="G496" t="s">
        <v>3035</v>
      </c>
      <c r="H496">
        <v>5175</v>
      </c>
      <c r="I496" t="s">
        <v>3036</v>
      </c>
    </row>
    <row r="497" spans="1:9" x14ac:dyDescent="0.25">
      <c r="A497" t="s">
        <v>3033</v>
      </c>
      <c r="B497" t="s">
        <v>3407</v>
      </c>
      <c r="C497" t="s">
        <v>3037</v>
      </c>
      <c r="D497">
        <v>37.535619099999998</v>
      </c>
      <c r="E497" t="s">
        <v>3034</v>
      </c>
      <c r="F497">
        <v>112.4933851</v>
      </c>
      <c r="G497" t="s">
        <v>3035</v>
      </c>
      <c r="H497">
        <v>48040</v>
      </c>
      <c r="I497" t="s">
        <v>3036</v>
      </c>
    </row>
    <row r="498" spans="1:9" x14ac:dyDescent="0.25">
      <c r="A498" t="s">
        <v>3033</v>
      </c>
      <c r="B498" t="s">
        <v>3458</v>
      </c>
      <c r="C498" t="s">
        <v>3037</v>
      </c>
      <c r="D498">
        <v>39.299144810000001</v>
      </c>
      <c r="E498" t="s">
        <v>3034</v>
      </c>
      <c r="F498">
        <v>111.2409408</v>
      </c>
      <c r="G498" t="s">
        <v>3035</v>
      </c>
      <c r="H498">
        <v>15044</v>
      </c>
      <c r="I498" t="s">
        <v>3036</v>
      </c>
    </row>
    <row r="499" spans="1:9" x14ac:dyDescent="0.25">
      <c r="A499" t="s">
        <v>3033</v>
      </c>
      <c r="B499" t="s">
        <v>3459</v>
      </c>
      <c r="C499" t="s">
        <v>3037</v>
      </c>
      <c r="D499">
        <v>38.91342839</v>
      </c>
      <c r="E499" t="s">
        <v>3034</v>
      </c>
      <c r="F499">
        <v>111.83131760000001</v>
      </c>
      <c r="G499" t="s">
        <v>3035</v>
      </c>
      <c r="H499">
        <v>44962</v>
      </c>
      <c r="I499" t="s">
        <v>3036</v>
      </c>
    </row>
    <row r="500" spans="1:9" x14ac:dyDescent="0.25">
      <c r="A500" t="s">
        <v>3033</v>
      </c>
      <c r="B500" t="s">
        <v>3552</v>
      </c>
      <c r="C500" t="s">
        <v>3037</v>
      </c>
      <c r="D500">
        <v>34.706376339999998</v>
      </c>
      <c r="E500" t="s">
        <v>3034</v>
      </c>
      <c r="F500">
        <v>110.44894789999999</v>
      </c>
      <c r="G500" t="s">
        <v>3035</v>
      </c>
      <c r="H500">
        <v>36554</v>
      </c>
      <c r="I500" t="s">
        <v>3036</v>
      </c>
    </row>
    <row r="501" spans="1:9" x14ac:dyDescent="0.25">
      <c r="A501" t="s">
        <v>3033</v>
      </c>
      <c r="B501" t="s">
        <v>3168</v>
      </c>
      <c r="C501" t="s">
        <v>3037</v>
      </c>
      <c r="D501">
        <v>35.847866260000004</v>
      </c>
      <c r="E501" t="s">
        <v>3034</v>
      </c>
      <c r="F501">
        <v>113.17732530000001</v>
      </c>
      <c r="G501" t="s">
        <v>3035</v>
      </c>
      <c r="H501">
        <v>16223</v>
      </c>
      <c r="I501" t="s">
        <v>3036</v>
      </c>
    </row>
    <row r="502" spans="1:9" x14ac:dyDescent="0.25">
      <c r="A502" t="s">
        <v>3033</v>
      </c>
      <c r="B502" t="s">
        <v>3460</v>
      </c>
      <c r="C502" t="s">
        <v>3037</v>
      </c>
      <c r="D502">
        <v>39.080189079999997</v>
      </c>
      <c r="E502" t="s">
        <v>3034</v>
      </c>
      <c r="F502">
        <v>112.3448781</v>
      </c>
      <c r="G502" t="s">
        <v>3035</v>
      </c>
      <c r="H502">
        <v>11605</v>
      </c>
      <c r="I502" t="s">
        <v>3036</v>
      </c>
    </row>
    <row r="503" spans="1:9" x14ac:dyDescent="0.25">
      <c r="A503" t="s">
        <v>3033</v>
      </c>
      <c r="B503" t="s">
        <v>3461</v>
      </c>
      <c r="C503" t="s">
        <v>3037</v>
      </c>
      <c r="D503">
        <v>38.966911140000001</v>
      </c>
      <c r="E503" t="s">
        <v>3034</v>
      </c>
      <c r="F503">
        <v>111.0359816</v>
      </c>
      <c r="G503" t="s">
        <v>3035</v>
      </c>
      <c r="H503">
        <v>7874</v>
      </c>
      <c r="I503" t="s">
        <v>3036</v>
      </c>
    </row>
    <row r="504" spans="1:9" x14ac:dyDescent="0.25">
      <c r="A504" t="s">
        <v>3033</v>
      </c>
      <c r="B504" t="s">
        <v>3362</v>
      </c>
      <c r="C504" t="s">
        <v>3037</v>
      </c>
      <c r="D504">
        <v>37.298866070000003</v>
      </c>
      <c r="E504" t="s">
        <v>3034</v>
      </c>
      <c r="F504">
        <v>111.5762951</v>
      </c>
      <c r="G504" t="s">
        <v>3035</v>
      </c>
      <c r="H504">
        <v>14177</v>
      </c>
      <c r="I504" t="s">
        <v>3036</v>
      </c>
    </row>
    <row r="505" spans="1:9" x14ac:dyDescent="0.25">
      <c r="A505" t="s">
        <v>3033</v>
      </c>
      <c r="B505" t="s">
        <v>3462</v>
      </c>
      <c r="C505" t="s">
        <v>3037</v>
      </c>
      <c r="D505">
        <v>39.043285959999999</v>
      </c>
      <c r="E505" t="s">
        <v>3034</v>
      </c>
      <c r="F505">
        <v>112.8253986</v>
      </c>
      <c r="G505" t="s">
        <v>3035</v>
      </c>
      <c r="H505">
        <v>19840</v>
      </c>
      <c r="I505" t="s">
        <v>3036</v>
      </c>
    </row>
    <row r="506" spans="1:9" x14ac:dyDescent="0.25">
      <c r="A506" t="s">
        <v>3033</v>
      </c>
      <c r="B506" t="s">
        <v>3408</v>
      </c>
      <c r="C506" t="s">
        <v>3037</v>
      </c>
      <c r="D506">
        <v>38.001361269999997</v>
      </c>
      <c r="E506" t="s">
        <v>3034</v>
      </c>
      <c r="F506">
        <v>112.5921874</v>
      </c>
      <c r="G506" t="s">
        <v>3035</v>
      </c>
      <c r="H506">
        <v>15799</v>
      </c>
      <c r="I506" t="s">
        <v>3036</v>
      </c>
    </row>
    <row r="507" spans="1:9" x14ac:dyDescent="0.25">
      <c r="A507" t="s">
        <v>3033</v>
      </c>
      <c r="B507" t="s">
        <v>3363</v>
      </c>
      <c r="C507" t="s">
        <v>3037</v>
      </c>
      <c r="D507">
        <v>37.10272501</v>
      </c>
      <c r="E507" t="s">
        <v>3034</v>
      </c>
      <c r="F507">
        <v>111.5068241</v>
      </c>
      <c r="G507" t="s">
        <v>3035</v>
      </c>
      <c r="H507">
        <v>34570</v>
      </c>
      <c r="I507" t="s">
        <v>3036</v>
      </c>
    </row>
    <row r="508" spans="1:9" x14ac:dyDescent="0.25">
      <c r="A508" t="s">
        <v>3033</v>
      </c>
      <c r="B508" t="s">
        <v>3553</v>
      </c>
      <c r="C508" t="s">
        <v>3037</v>
      </c>
      <c r="D508">
        <v>35.496973859999997</v>
      </c>
      <c r="E508" t="s">
        <v>3034</v>
      </c>
      <c r="F508">
        <v>111.0966158</v>
      </c>
      <c r="G508" t="s">
        <v>3035</v>
      </c>
      <c r="H508">
        <v>21766</v>
      </c>
      <c r="I508" t="s">
        <v>3036</v>
      </c>
    </row>
    <row r="509" spans="1:9" x14ac:dyDescent="0.25">
      <c r="A509" t="s">
        <v>3033</v>
      </c>
      <c r="B509" t="s">
        <v>3463</v>
      </c>
      <c r="C509" t="s">
        <v>3037</v>
      </c>
      <c r="D509">
        <v>39.141764479999999</v>
      </c>
      <c r="E509" t="s">
        <v>3034</v>
      </c>
      <c r="F509">
        <v>112.8359512</v>
      </c>
      <c r="G509" t="s">
        <v>3035</v>
      </c>
      <c r="H509">
        <v>7863</v>
      </c>
      <c r="I509" t="s">
        <v>3036</v>
      </c>
    </row>
    <row r="510" spans="1:9" x14ac:dyDescent="0.25">
      <c r="A510" t="s">
        <v>3033</v>
      </c>
      <c r="B510" t="s">
        <v>3364</v>
      </c>
      <c r="C510" t="s">
        <v>3037</v>
      </c>
      <c r="D510">
        <v>37.199598080000001</v>
      </c>
      <c r="E510" t="s">
        <v>3034</v>
      </c>
      <c r="F510">
        <v>111.9128073</v>
      </c>
      <c r="G510" t="s">
        <v>3035</v>
      </c>
      <c r="H510">
        <v>27352</v>
      </c>
      <c r="I510" t="s">
        <v>3036</v>
      </c>
    </row>
    <row r="511" spans="1:9" x14ac:dyDescent="0.25">
      <c r="A511" t="s">
        <v>3033</v>
      </c>
      <c r="B511" t="s">
        <v>3464</v>
      </c>
      <c r="C511" t="s">
        <v>3037</v>
      </c>
      <c r="D511">
        <v>38.634367009999998</v>
      </c>
      <c r="E511" t="s">
        <v>3034</v>
      </c>
      <c r="F511">
        <v>112.58681679999999</v>
      </c>
      <c r="G511" t="s">
        <v>3035</v>
      </c>
      <c r="H511">
        <v>21791</v>
      </c>
      <c r="I511" t="s">
        <v>3036</v>
      </c>
    </row>
    <row r="512" spans="1:9" x14ac:dyDescent="0.25">
      <c r="A512" t="s">
        <v>3033</v>
      </c>
      <c r="B512" t="s">
        <v>3409</v>
      </c>
      <c r="C512" t="s">
        <v>3037</v>
      </c>
      <c r="D512">
        <v>37.671564140000001</v>
      </c>
      <c r="E512" t="s">
        <v>3034</v>
      </c>
      <c r="F512">
        <v>112.371668</v>
      </c>
      <c r="G512" t="s">
        <v>3035</v>
      </c>
      <c r="H512">
        <v>23325</v>
      </c>
      <c r="I512" t="s">
        <v>3036</v>
      </c>
    </row>
    <row r="513" spans="1:9" x14ac:dyDescent="0.25">
      <c r="A513" t="s">
        <v>3033</v>
      </c>
      <c r="B513" t="s">
        <v>3554</v>
      </c>
      <c r="C513" t="s">
        <v>3037</v>
      </c>
      <c r="D513">
        <v>35.121745330000003</v>
      </c>
      <c r="E513" t="s">
        <v>3034</v>
      </c>
      <c r="F513">
        <v>111.2795392</v>
      </c>
      <c r="G513" t="s">
        <v>3035</v>
      </c>
      <c r="H513">
        <v>86435</v>
      </c>
      <c r="I513" t="s">
        <v>3036</v>
      </c>
    </row>
    <row r="514" spans="1:9" x14ac:dyDescent="0.25">
      <c r="A514" t="s">
        <v>3033</v>
      </c>
      <c r="B514" t="s">
        <v>3293</v>
      </c>
      <c r="C514" t="s">
        <v>3037</v>
      </c>
      <c r="D514">
        <v>36.039937569999999</v>
      </c>
      <c r="E514" t="s">
        <v>3034</v>
      </c>
      <c r="F514">
        <v>111.4674758</v>
      </c>
      <c r="G514" t="s">
        <v>3035</v>
      </c>
      <c r="H514">
        <v>37017</v>
      </c>
      <c r="I514" t="s">
        <v>3036</v>
      </c>
    </row>
    <row r="515" spans="1:9" x14ac:dyDescent="0.25">
      <c r="A515" t="s">
        <v>3033</v>
      </c>
      <c r="B515" t="s">
        <v>3169</v>
      </c>
      <c r="C515" t="s">
        <v>3037</v>
      </c>
      <c r="D515">
        <v>35.82661367</v>
      </c>
      <c r="E515" t="s">
        <v>3034</v>
      </c>
      <c r="F515">
        <v>112.7941184</v>
      </c>
      <c r="G515" t="s">
        <v>3035</v>
      </c>
      <c r="H515">
        <v>21027</v>
      </c>
      <c r="I515" t="s">
        <v>3036</v>
      </c>
    </row>
    <row r="516" spans="1:9" x14ac:dyDescent="0.25">
      <c r="A516" t="s">
        <v>3033</v>
      </c>
      <c r="B516" t="s">
        <v>3223</v>
      </c>
      <c r="C516" t="s">
        <v>3037</v>
      </c>
      <c r="D516">
        <v>37.622630979999997</v>
      </c>
      <c r="E516" t="s">
        <v>3034</v>
      </c>
      <c r="F516">
        <v>113.9504342</v>
      </c>
      <c r="G516" t="s">
        <v>3035</v>
      </c>
      <c r="H516">
        <v>12341</v>
      </c>
      <c r="I516" t="s">
        <v>3036</v>
      </c>
    </row>
    <row r="517" spans="1:9" x14ac:dyDescent="0.25">
      <c r="A517" t="s">
        <v>3033</v>
      </c>
      <c r="B517" t="s">
        <v>3483</v>
      </c>
      <c r="C517" t="s">
        <v>3037</v>
      </c>
      <c r="D517">
        <v>37.762338499999998</v>
      </c>
      <c r="E517" t="s">
        <v>3034</v>
      </c>
      <c r="F517">
        <v>113.51055100000001</v>
      </c>
      <c r="G517" t="s">
        <v>3035</v>
      </c>
      <c r="H517">
        <v>14165</v>
      </c>
      <c r="I517" t="s">
        <v>3036</v>
      </c>
    </row>
    <row r="518" spans="1:9" x14ac:dyDescent="0.25">
      <c r="A518" t="s">
        <v>3033</v>
      </c>
      <c r="B518" t="s">
        <v>3224</v>
      </c>
      <c r="C518" t="s">
        <v>3037</v>
      </c>
      <c r="D518">
        <v>37.123627319999997</v>
      </c>
      <c r="E518" t="s">
        <v>3034</v>
      </c>
      <c r="F518">
        <v>111.9799699</v>
      </c>
      <c r="G518" t="s">
        <v>3035</v>
      </c>
      <c r="H518">
        <v>54246</v>
      </c>
      <c r="I518" t="s">
        <v>3036</v>
      </c>
    </row>
    <row r="519" spans="1:9" x14ac:dyDescent="0.25">
      <c r="A519" t="s">
        <v>3033</v>
      </c>
      <c r="B519" t="s">
        <v>3365</v>
      </c>
      <c r="C519" t="s">
        <v>3037</v>
      </c>
      <c r="D519">
        <v>37.0018411</v>
      </c>
      <c r="E519" t="s">
        <v>3034</v>
      </c>
      <c r="F519">
        <v>110.63867430000001</v>
      </c>
      <c r="G519" t="s">
        <v>3035</v>
      </c>
      <c r="H519">
        <v>6759</v>
      </c>
      <c r="I519" t="s">
        <v>3036</v>
      </c>
    </row>
    <row r="520" spans="1:9" x14ac:dyDescent="0.25">
      <c r="A520" t="s">
        <v>3033</v>
      </c>
      <c r="B520" t="s">
        <v>5064</v>
      </c>
      <c r="C520" t="s">
        <v>3037</v>
      </c>
      <c r="D520">
        <v>39.073914330000001</v>
      </c>
      <c r="E520" t="s">
        <v>3034</v>
      </c>
      <c r="F520">
        <v>112.00451839999999</v>
      </c>
      <c r="G520" t="s">
        <v>3035</v>
      </c>
      <c r="H520">
        <v>11723</v>
      </c>
      <c r="I520" t="s">
        <v>3036</v>
      </c>
    </row>
    <row r="521" spans="1:9" x14ac:dyDescent="0.25">
      <c r="A521" t="s">
        <v>3033</v>
      </c>
      <c r="B521" t="s">
        <v>5065</v>
      </c>
      <c r="C521" t="s">
        <v>3037</v>
      </c>
      <c r="D521">
        <v>37.838700000000003</v>
      </c>
      <c r="E521" t="s">
        <v>3034</v>
      </c>
      <c r="F521">
        <v>113.60299999999999</v>
      </c>
      <c r="G521" t="s">
        <v>3035</v>
      </c>
      <c r="H521">
        <v>42211</v>
      </c>
      <c r="I521" t="s">
        <v>3036</v>
      </c>
    </row>
    <row r="522" spans="1:9" x14ac:dyDescent="0.25">
      <c r="A522" t="s">
        <v>3033</v>
      </c>
      <c r="B522" t="s">
        <v>3465</v>
      </c>
      <c r="C522" t="s">
        <v>3037</v>
      </c>
      <c r="D522">
        <v>39.048132649999999</v>
      </c>
      <c r="E522" t="s">
        <v>3034</v>
      </c>
      <c r="F522">
        <v>111.2006935</v>
      </c>
      <c r="G522" t="s">
        <v>3035</v>
      </c>
      <c r="H522">
        <v>15111</v>
      </c>
      <c r="I522" t="s">
        <v>3036</v>
      </c>
    </row>
    <row r="523" spans="1:9" x14ac:dyDescent="0.25">
      <c r="A523" t="s">
        <v>3033</v>
      </c>
      <c r="B523" t="s">
        <v>3096</v>
      </c>
      <c r="C523" t="s">
        <v>3037</v>
      </c>
      <c r="D523">
        <v>35.972307440000002</v>
      </c>
      <c r="E523" t="s">
        <v>3034</v>
      </c>
      <c r="F523">
        <v>113.1105512</v>
      </c>
      <c r="G523" t="s">
        <v>3035</v>
      </c>
      <c r="H523">
        <v>45437</v>
      </c>
      <c r="I523" t="s">
        <v>3036</v>
      </c>
    </row>
    <row r="524" spans="1:9" x14ac:dyDescent="0.25">
      <c r="A524" t="s">
        <v>3033</v>
      </c>
      <c r="B524" t="s">
        <v>3555</v>
      </c>
      <c r="C524" t="s">
        <v>3037</v>
      </c>
      <c r="D524">
        <v>35.17406123</v>
      </c>
      <c r="E524" t="s">
        <v>3034</v>
      </c>
      <c r="F524">
        <v>111.96495729999999</v>
      </c>
      <c r="G524" t="s">
        <v>3035</v>
      </c>
      <c r="H524">
        <v>17664</v>
      </c>
      <c r="I524" t="s">
        <v>3036</v>
      </c>
    </row>
    <row r="525" spans="1:9" x14ac:dyDescent="0.25">
      <c r="A525" t="s">
        <v>3033</v>
      </c>
      <c r="B525" t="s">
        <v>3225</v>
      </c>
      <c r="C525" t="s">
        <v>3037</v>
      </c>
      <c r="D525">
        <v>37.841161589999999</v>
      </c>
      <c r="E525" t="s">
        <v>3034</v>
      </c>
      <c r="F525">
        <v>113.31954469999999</v>
      </c>
      <c r="G525" t="s">
        <v>3035</v>
      </c>
      <c r="H525">
        <v>8915</v>
      </c>
      <c r="I525" t="s">
        <v>3036</v>
      </c>
    </row>
    <row r="526" spans="1:9" x14ac:dyDescent="0.25">
      <c r="A526" t="s">
        <v>3033</v>
      </c>
      <c r="B526" t="s">
        <v>3484</v>
      </c>
      <c r="C526" t="s">
        <v>3037</v>
      </c>
      <c r="D526">
        <v>37.954256829999999</v>
      </c>
      <c r="E526" t="s">
        <v>3034</v>
      </c>
      <c r="F526">
        <v>113.60541310000001</v>
      </c>
      <c r="G526" t="s">
        <v>3035</v>
      </c>
      <c r="H526">
        <v>70614</v>
      </c>
      <c r="I526" t="s">
        <v>3036</v>
      </c>
    </row>
    <row r="527" spans="1:9" x14ac:dyDescent="0.25">
      <c r="A527" t="s">
        <v>3033</v>
      </c>
      <c r="B527" t="s">
        <v>3556</v>
      </c>
      <c r="C527" t="s">
        <v>3037</v>
      </c>
      <c r="D527">
        <v>35.146463420000003</v>
      </c>
      <c r="E527" t="s">
        <v>3034</v>
      </c>
      <c r="F527">
        <v>110.78301690000001</v>
      </c>
      <c r="G527" t="s">
        <v>3035</v>
      </c>
      <c r="H527">
        <v>102090</v>
      </c>
      <c r="I527" t="s">
        <v>3036</v>
      </c>
    </row>
    <row r="528" spans="1:9" x14ac:dyDescent="0.25">
      <c r="A528" t="s">
        <v>3033</v>
      </c>
      <c r="B528" t="s">
        <v>3226</v>
      </c>
      <c r="C528" t="s">
        <v>3037</v>
      </c>
      <c r="D528">
        <v>37.000118299999997</v>
      </c>
      <c r="E528" t="s">
        <v>3034</v>
      </c>
      <c r="F528">
        <v>111.80969930000001</v>
      </c>
      <c r="G528" t="s">
        <v>3035</v>
      </c>
      <c r="H528">
        <v>28237</v>
      </c>
      <c r="I528" t="s">
        <v>3036</v>
      </c>
    </row>
    <row r="529" spans="1:9" x14ac:dyDescent="0.25">
      <c r="A529" t="s">
        <v>3033</v>
      </c>
      <c r="B529" t="s">
        <v>3227</v>
      </c>
      <c r="C529" t="s">
        <v>3037</v>
      </c>
      <c r="D529">
        <v>37.362860099999999</v>
      </c>
      <c r="E529" t="s">
        <v>3034</v>
      </c>
      <c r="F529">
        <v>113.478849</v>
      </c>
      <c r="G529" t="s">
        <v>3035</v>
      </c>
      <c r="H529">
        <v>71271</v>
      </c>
      <c r="I529" t="s">
        <v>3036</v>
      </c>
    </row>
    <row r="530" spans="1:9" x14ac:dyDescent="0.25">
      <c r="A530" t="s">
        <v>3033</v>
      </c>
      <c r="B530" t="s">
        <v>5066</v>
      </c>
      <c r="C530" t="s">
        <v>3037</v>
      </c>
      <c r="D530">
        <v>39.709112079999997</v>
      </c>
      <c r="E530" t="s">
        <v>3034</v>
      </c>
      <c r="F530">
        <v>113.70307409999999</v>
      </c>
      <c r="G530" t="s">
        <v>3035</v>
      </c>
      <c r="H530">
        <v>122851</v>
      </c>
      <c r="I530" t="s">
        <v>3036</v>
      </c>
    </row>
    <row r="531" spans="1:9" x14ac:dyDescent="0.25">
      <c r="A531" t="s">
        <v>3033</v>
      </c>
      <c r="B531" t="s">
        <v>5067</v>
      </c>
      <c r="C531" t="s">
        <v>3037</v>
      </c>
      <c r="D531">
        <v>36.675515939999997</v>
      </c>
      <c r="E531" t="s">
        <v>3034</v>
      </c>
      <c r="F531">
        <v>111.53795839999999</v>
      </c>
      <c r="G531" t="s">
        <v>3035</v>
      </c>
      <c r="H531">
        <v>21125</v>
      </c>
      <c r="I531" t="s">
        <v>3036</v>
      </c>
    </row>
    <row r="532" spans="1:9" x14ac:dyDescent="0.25">
      <c r="A532" t="s">
        <v>3033</v>
      </c>
      <c r="B532" t="s">
        <v>3557</v>
      </c>
      <c r="C532" t="s">
        <v>3037</v>
      </c>
      <c r="D532">
        <v>34.62295992</v>
      </c>
      <c r="E532" t="s">
        <v>3034</v>
      </c>
      <c r="F532">
        <v>110.52885809999999</v>
      </c>
      <c r="G532" t="s">
        <v>3035</v>
      </c>
      <c r="H532">
        <v>22205</v>
      </c>
      <c r="I532" t="s">
        <v>3036</v>
      </c>
    </row>
    <row r="533" spans="1:9" x14ac:dyDescent="0.25">
      <c r="A533" t="s">
        <v>3033</v>
      </c>
      <c r="B533" t="s">
        <v>3386</v>
      </c>
      <c r="C533" t="s">
        <v>3037</v>
      </c>
      <c r="D533">
        <v>40.159406850000003</v>
      </c>
      <c r="E533" t="s">
        <v>3034</v>
      </c>
      <c r="F533">
        <v>112.3679618</v>
      </c>
      <c r="G533" t="s">
        <v>3035</v>
      </c>
      <c r="H533">
        <v>10017</v>
      </c>
      <c r="I533" t="s">
        <v>3036</v>
      </c>
    </row>
    <row r="534" spans="1:9" x14ac:dyDescent="0.25">
      <c r="A534" t="s">
        <v>3033</v>
      </c>
      <c r="B534" t="s">
        <v>3125</v>
      </c>
      <c r="C534" t="s">
        <v>3037</v>
      </c>
      <c r="D534">
        <v>39.90640449</v>
      </c>
      <c r="E534" t="s">
        <v>3034</v>
      </c>
      <c r="F534">
        <v>113.89124</v>
      </c>
      <c r="G534" t="s">
        <v>3035</v>
      </c>
      <c r="H534">
        <v>9017</v>
      </c>
      <c r="I534" t="s">
        <v>3036</v>
      </c>
    </row>
    <row r="535" spans="1:9" x14ac:dyDescent="0.25">
      <c r="A535" t="s">
        <v>3033</v>
      </c>
      <c r="B535" t="s">
        <v>3387</v>
      </c>
      <c r="C535" t="s">
        <v>3037</v>
      </c>
      <c r="D535">
        <v>39.805128840000002</v>
      </c>
      <c r="E535" t="s">
        <v>3034</v>
      </c>
      <c r="F535">
        <v>112.5640808</v>
      </c>
      <c r="G535" t="s">
        <v>3035</v>
      </c>
      <c r="H535">
        <v>11837</v>
      </c>
      <c r="I535" t="s">
        <v>3036</v>
      </c>
    </row>
    <row r="536" spans="1:9" x14ac:dyDescent="0.25">
      <c r="A536" t="s">
        <v>3033</v>
      </c>
      <c r="B536" t="s">
        <v>3366</v>
      </c>
      <c r="C536" t="s">
        <v>3037</v>
      </c>
      <c r="D536">
        <v>37.403072899999998</v>
      </c>
      <c r="E536" t="s">
        <v>3034</v>
      </c>
      <c r="F536">
        <v>111.7196328</v>
      </c>
      <c r="G536" t="s">
        <v>3035</v>
      </c>
      <c r="H536">
        <v>20799</v>
      </c>
      <c r="I536" t="s">
        <v>3036</v>
      </c>
    </row>
    <row r="537" spans="1:9" x14ac:dyDescent="0.25">
      <c r="A537" t="s">
        <v>3033</v>
      </c>
      <c r="B537" t="s">
        <v>3294</v>
      </c>
      <c r="C537" t="s">
        <v>3037</v>
      </c>
      <c r="D537">
        <v>36.321103010000002</v>
      </c>
      <c r="E537" t="s">
        <v>3034</v>
      </c>
      <c r="F537">
        <v>111.94028950000001</v>
      </c>
      <c r="G537" t="s">
        <v>3035</v>
      </c>
      <c r="H537">
        <v>35259</v>
      </c>
      <c r="I537" t="s">
        <v>3036</v>
      </c>
    </row>
    <row r="538" spans="1:9" x14ac:dyDescent="0.25">
      <c r="A538" t="s">
        <v>3033</v>
      </c>
      <c r="B538" t="s">
        <v>3367</v>
      </c>
      <c r="C538" t="s">
        <v>3037</v>
      </c>
      <c r="D538">
        <v>38.433118020000002</v>
      </c>
      <c r="E538" t="s">
        <v>3034</v>
      </c>
      <c r="F538">
        <v>111.1649547</v>
      </c>
      <c r="G538" t="s">
        <v>3035</v>
      </c>
      <c r="H538">
        <v>100615</v>
      </c>
      <c r="I538" t="s">
        <v>3036</v>
      </c>
    </row>
    <row r="539" spans="1:9" x14ac:dyDescent="0.25">
      <c r="A539" t="s">
        <v>3033</v>
      </c>
      <c r="B539" t="s">
        <v>3388</v>
      </c>
      <c r="C539" t="s">
        <v>3037</v>
      </c>
      <c r="D539">
        <v>39.672434969999998</v>
      </c>
      <c r="E539" t="s">
        <v>3034</v>
      </c>
      <c r="F539">
        <v>112.5869136</v>
      </c>
      <c r="G539" t="s">
        <v>3035</v>
      </c>
      <c r="H539">
        <v>11863</v>
      </c>
      <c r="I539" t="s">
        <v>3036</v>
      </c>
    </row>
    <row r="540" spans="1:9" x14ac:dyDescent="0.25">
      <c r="A540" t="s">
        <v>3033</v>
      </c>
      <c r="B540" t="s">
        <v>3368</v>
      </c>
      <c r="C540" t="s">
        <v>3037</v>
      </c>
      <c r="D540">
        <v>37.771037020000001</v>
      </c>
      <c r="E540" t="s">
        <v>3034</v>
      </c>
      <c r="F540">
        <v>111.21165360000001</v>
      </c>
      <c r="G540" t="s">
        <v>3035</v>
      </c>
      <c r="H540">
        <v>25530</v>
      </c>
      <c r="I540" t="s">
        <v>3036</v>
      </c>
    </row>
    <row r="541" spans="1:9" x14ac:dyDescent="0.25">
      <c r="A541" t="s">
        <v>3033</v>
      </c>
      <c r="B541" t="s">
        <v>3228</v>
      </c>
      <c r="C541" t="s">
        <v>3037</v>
      </c>
      <c r="D541">
        <v>37.037911860000001</v>
      </c>
      <c r="E541" t="s">
        <v>3034</v>
      </c>
      <c r="F541">
        <v>112.8504071</v>
      </c>
      <c r="G541" t="s">
        <v>3035</v>
      </c>
      <c r="H541">
        <v>16153</v>
      </c>
      <c r="I541" t="s">
        <v>3036</v>
      </c>
    </row>
    <row r="542" spans="1:9" x14ac:dyDescent="0.25">
      <c r="A542" t="s">
        <v>3033</v>
      </c>
      <c r="B542" t="s">
        <v>3126</v>
      </c>
      <c r="C542" t="s">
        <v>3037</v>
      </c>
      <c r="D542">
        <v>40.112765260000003</v>
      </c>
      <c r="E542" t="s">
        <v>3034</v>
      </c>
      <c r="F542">
        <v>113.1247039</v>
      </c>
      <c r="G542" t="s">
        <v>3035</v>
      </c>
      <c r="H542">
        <v>19766</v>
      </c>
      <c r="I542" t="s">
        <v>3036</v>
      </c>
    </row>
    <row r="543" spans="1:9" x14ac:dyDescent="0.25">
      <c r="A543" t="s">
        <v>3033</v>
      </c>
      <c r="B543" t="s">
        <v>3127</v>
      </c>
      <c r="C543" t="s">
        <v>3037</v>
      </c>
      <c r="D543">
        <v>39.985994060000003</v>
      </c>
      <c r="E543" t="s">
        <v>3034</v>
      </c>
      <c r="F543">
        <v>112.6860077</v>
      </c>
      <c r="G543" t="s">
        <v>3035</v>
      </c>
      <c r="H543">
        <v>73410</v>
      </c>
      <c r="I543" t="s">
        <v>3036</v>
      </c>
    </row>
    <row r="544" spans="1:9" x14ac:dyDescent="0.25">
      <c r="A544" t="s">
        <v>3033</v>
      </c>
      <c r="B544" t="s">
        <v>3389</v>
      </c>
      <c r="C544" t="s">
        <v>3037</v>
      </c>
      <c r="D544">
        <v>39.864607329999998</v>
      </c>
      <c r="E544" t="s">
        <v>3034</v>
      </c>
      <c r="F544">
        <v>113.0565814</v>
      </c>
      <c r="G544" t="s">
        <v>3035</v>
      </c>
      <c r="H544">
        <v>169481</v>
      </c>
      <c r="I544" t="s">
        <v>3036</v>
      </c>
    </row>
    <row r="545" spans="1:9" x14ac:dyDescent="0.25">
      <c r="A545" t="s">
        <v>3033</v>
      </c>
      <c r="B545" t="s">
        <v>3128</v>
      </c>
      <c r="C545" t="s">
        <v>3037</v>
      </c>
      <c r="D545">
        <v>40.413947649999997</v>
      </c>
      <c r="E545" t="s">
        <v>3034</v>
      </c>
      <c r="F545">
        <v>114.1054599</v>
      </c>
      <c r="G545" t="s">
        <v>3035</v>
      </c>
      <c r="H545">
        <v>67449</v>
      </c>
      <c r="I545" t="s">
        <v>3036</v>
      </c>
    </row>
    <row r="546" spans="1:9" x14ac:dyDescent="0.25">
      <c r="A546" t="s">
        <v>3033</v>
      </c>
      <c r="B546" t="s">
        <v>3097</v>
      </c>
      <c r="C546" t="s">
        <v>3037</v>
      </c>
      <c r="D546">
        <v>36.37528623</v>
      </c>
      <c r="E546" t="s">
        <v>3034</v>
      </c>
      <c r="F546">
        <v>112.830927</v>
      </c>
      <c r="G546" t="s">
        <v>3035</v>
      </c>
      <c r="H546">
        <v>18486</v>
      </c>
      <c r="I546" t="s">
        <v>3036</v>
      </c>
    </row>
    <row r="547" spans="1:9" x14ac:dyDescent="0.25">
      <c r="A547" t="s">
        <v>3033</v>
      </c>
      <c r="B547" t="s">
        <v>3558</v>
      </c>
      <c r="C547" t="s">
        <v>3037</v>
      </c>
      <c r="D547">
        <v>34.843457119999997</v>
      </c>
      <c r="E547" t="s">
        <v>3034</v>
      </c>
      <c r="F547">
        <v>110.6535896</v>
      </c>
      <c r="G547" t="s">
        <v>3035</v>
      </c>
      <c r="H547">
        <v>43186</v>
      </c>
      <c r="I547" t="s">
        <v>3036</v>
      </c>
    </row>
    <row r="548" spans="1:9" x14ac:dyDescent="0.25">
      <c r="A548" t="s">
        <v>3033</v>
      </c>
      <c r="B548" t="s">
        <v>3098</v>
      </c>
      <c r="C548" t="s">
        <v>3037</v>
      </c>
      <c r="D548">
        <v>36.355169109999999</v>
      </c>
      <c r="E548" t="s">
        <v>3034</v>
      </c>
      <c r="F548">
        <v>113.0071746</v>
      </c>
      <c r="G548" t="s">
        <v>3035</v>
      </c>
      <c r="H548">
        <v>25992</v>
      </c>
      <c r="I548" t="s">
        <v>3036</v>
      </c>
    </row>
    <row r="549" spans="1:9" x14ac:dyDescent="0.25">
      <c r="A549" t="s">
        <v>3033</v>
      </c>
      <c r="B549" t="s">
        <v>3466</v>
      </c>
      <c r="C549" t="s">
        <v>3037</v>
      </c>
      <c r="D549">
        <v>39.180460779999997</v>
      </c>
      <c r="E549" t="s">
        <v>3034</v>
      </c>
      <c r="F549">
        <v>113.1052287</v>
      </c>
      <c r="G549" t="s">
        <v>3035</v>
      </c>
      <c r="H549">
        <v>18537</v>
      </c>
      <c r="I549" t="s">
        <v>3036</v>
      </c>
    </row>
    <row r="550" spans="1:9" x14ac:dyDescent="0.25">
      <c r="A550" t="s">
        <v>3033</v>
      </c>
      <c r="B550" t="s">
        <v>3559</v>
      </c>
      <c r="C550" t="s">
        <v>3037</v>
      </c>
      <c r="D550">
        <v>35.75933165</v>
      </c>
      <c r="E550" t="s">
        <v>3034</v>
      </c>
      <c r="F550">
        <v>111.1349113</v>
      </c>
      <c r="G550" t="s">
        <v>3035</v>
      </c>
      <c r="H550">
        <v>27773</v>
      </c>
      <c r="I550" t="s">
        <v>3036</v>
      </c>
    </row>
    <row r="551" spans="1:9" x14ac:dyDescent="0.25">
      <c r="A551" t="s">
        <v>3033</v>
      </c>
      <c r="B551" t="s">
        <v>5068</v>
      </c>
      <c r="C551" t="s">
        <v>3037</v>
      </c>
      <c r="D551">
        <v>36.289589700000001</v>
      </c>
      <c r="E551" t="s">
        <v>3034</v>
      </c>
      <c r="F551">
        <v>113.1601852</v>
      </c>
      <c r="G551" t="s">
        <v>3035</v>
      </c>
      <c r="H551">
        <v>21817</v>
      </c>
      <c r="I551" t="s">
        <v>3036</v>
      </c>
    </row>
    <row r="552" spans="1:9" x14ac:dyDescent="0.25">
      <c r="A552" t="s">
        <v>3033</v>
      </c>
      <c r="B552" t="s">
        <v>5069</v>
      </c>
      <c r="C552" t="s">
        <v>3037</v>
      </c>
      <c r="D552">
        <v>35.489780889999999</v>
      </c>
      <c r="E552" t="s">
        <v>3034</v>
      </c>
      <c r="F552">
        <v>110.89223440000001</v>
      </c>
      <c r="G552" t="s">
        <v>3035</v>
      </c>
      <c r="H552">
        <v>37439</v>
      </c>
      <c r="I552" t="s">
        <v>3036</v>
      </c>
    </row>
    <row r="553" spans="1:9" x14ac:dyDescent="0.25">
      <c r="A553" t="s">
        <v>3033</v>
      </c>
      <c r="B553" t="s">
        <v>3560</v>
      </c>
      <c r="C553" t="s">
        <v>3037</v>
      </c>
      <c r="D553">
        <v>34.824976300000003</v>
      </c>
      <c r="E553" t="s">
        <v>3034</v>
      </c>
      <c r="F553">
        <v>111.0759716</v>
      </c>
      <c r="G553" t="s">
        <v>3035</v>
      </c>
      <c r="H553">
        <v>26063</v>
      </c>
      <c r="I553" t="s">
        <v>3036</v>
      </c>
    </row>
    <row r="554" spans="1:9" x14ac:dyDescent="0.25">
      <c r="A554" t="s">
        <v>3033</v>
      </c>
      <c r="B554" t="s">
        <v>5070</v>
      </c>
      <c r="C554" t="s">
        <v>3037</v>
      </c>
      <c r="D554">
        <v>36.345221469999998</v>
      </c>
      <c r="E554" t="s">
        <v>3034</v>
      </c>
      <c r="F554">
        <v>112.56127770000001</v>
      </c>
      <c r="G554" t="s">
        <v>3035</v>
      </c>
      <c r="H554">
        <v>21041</v>
      </c>
      <c r="I554" t="s">
        <v>3036</v>
      </c>
    </row>
    <row r="555" spans="1:9" x14ac:dyDescent="0.25">
      <c r="A555" t="s">
        <v>3033</v>
      </c>
      <c r="B555" t="s">
        <v>5071</v>
      </c>
      <c r="C555" t="s">
        <v>3037</v>
      </c>
      <c r="D555">
        <v>34.974775399999999</v>
      </c>
      <c r="E555" t="s">
        <v>3034</v>
      </c>
      <c r="F555">
        <v>111.2003441</v>
      </c>
      <c r="G555" t="s">
        <v>3035</v>
      </c>
      <c r="H555">
        <v>18339</v>
      </c>
      <c r="I555" t="s">
        <v>3036</v>
      </c>
    </row>
    <row r="556" spans="1:9" x14ac:dyDescent="0.25">
      <c r="A556" t="s">
        <v>3033</v>
      </c>
      <c r="B556" t="s">
        <v>3229</v>
      </c>
      <c r="C556" t="s">
        <v>3037</v>
      </c>
      <c r="D556">
        <v>37.090323929999997</v>
      </c>
      <c r="E556" t="s">
        <v>3034</v>
      </c>
      <c r="F556">
        <v>112.105904</v>
      </c>
      <c r="G556" t="s">
        <v>3035</v>
      </c>
      <c r="H556">
        <v>43151</v>
      </c>
      <c r="I556" t="s">
        <v>3036</v>
      </c>
    </row>
    <row r="557" spans="1:9" x14ac:dyDescent="0.25">
      <c r="A557" t="s">
        <v>3033</v>
      </c>
      <c r="B557" t="s">
        <v>3561</v>
      </c>
      <c r="C557" t="s">
        <v>3037</v>
      </c>
      <c r="D557">
        <v>35.008883249999997</v>
      </c>
      <c r="E557" t="s">
        <v>3034</v>
      </c>
      <c r="F557">
        <v>110.36698579999999</v>
      </c>
      <c r="G557" t="s">
        <v>3035</v>
      </c>
      <c r="H557">
        <v>30721</v>
      </c>
      <c r="I557" t="s">
        <v>3036</v>
      </c>
    </row>
    <row r="558" spans="1:9" x14ac:dyDescent="0.25">
      <c r="A558" t="s">
        <v>3033</v>
      </c>
      <c r="B558" t="s">
        <v>3099</v>
      </c>
      <c r="C558" t="s">
        <v>3037</v>
      </c>
      <c r="D558">
        <v>36.844452199999999</v>
      </c>
      <c r="E558" t="s">
        <v>3034</v>
      </c>
      <c r="F558">
        <v>112.6026438</v>
      </c>
      <c r="G558" t="s">
        <v>3035</v>
      </c>
      <c r="H558">
        <v>13367</v>
      </c>
      <c r="I558" t="s">
        <v>3036</v>
      </c>
    </row>
    <row r="559" spans="1:9" x14ac:dyDescent="0.25">
      <c r="A559" t="s">
        <v>3033</v>
      </c>
      <c r="B559" t="s">
        <v>3485</v>
      </c>
      <c r="C559" t="s">
        <v>3037</v>
      </c>
      <c r="D559">
        <v>37.703733540000002</v>
      </c>
      <c r="E559" t="s">
        <v>3034</v>
      </c>
      <c r="F559">
        <v>113.6904182</v>
      </c>
      <c r="G559" t="s">
        <v>3035</v>
      </c>
      <c r="H559">
        <v>39012</v>
      </c>
      <c r="I559" t="s">
        <v>3036</v>
      </c>
    </row>
    <row r="560" spans="1:9" x14ac:dyDescent="0.25">
      <c r="A560" t="s">
        <v>3033</v>
      </c>
      <c r="B560" t="s">
        <v>3230</v>
      </c>
      <c r="C560" t="s">
        <v>3037</v>
      </c>
      <c r="D560">
        <v>37.634907859999998</v>
      </c>
      <c r="E560" t="s">
        <v>3034</v>
      </c>
      <c r="F560">
        <v>113.4304491</v>
      </c>
      <c r="G560" t="s">
        <v>3035</v>
      </c>
      <c r="H560">
        <v>7808</v>
      </c>
      <c r="I560" t="s">
        <v>3036</v>
      </c>
    </row>
    <row r="561" spans="1:9" x14ac:dyDescent="0.25">
      <c r="A561" t="s">
        <v>3033</v>
      </c>
      <c r="B561" t="s">
        <v>3295</v>
      </c>
      <c r="C561" t="s">
        <v>3037</v>
      </c>
      <c r="D561">
        <v>36.403109669999999</v>
      </c>
      <c r="E561" t="s">
        <v>3034</v>
      </c>
      <c r="F561">
        <v>111.6966903</v>
      </c>
      <c r="G561" t="s">
        <v>3035</v>
      </c>
      <c r="H561">
        <v>78065</v>
      </c>
      <c r="I561" t="s">
        <v>3036</v>
      </c>
    </row>
    <row r="562" spans="1:9" x14ac:dyDescent="0.25">
      <c r="A562" t="s">
        <v>3033</v>
      </c>
      <c r="B562" t="s">
        <v>3296</v>
      </c>
      <c r="C562" t="s">
        <v>3037</v>
      </c>
      <c r="D562">
        <v>35.737000039999998</v>
      </c>
      <c r="E562" t="s">
        <v>3034</v>
      </c>
      <c r="F562">
        <v>111.2387147</v>
      </c>
      <c r="G562" t="s">
        <v>3035</v>
      </c>
      <c r="H562">
        <v>27716</v>
      </c>
      <c r="I562" t="s">
        <v>3036</v>
      </c>
    </row>
    <row r="563" spans="1:9" x14ac:dyDescent="0.25">
      <c r="A563" t="s">
        <v>3033</v>
      </c>
      <c r="B563" t="s">
        <v>3369</v>
      </c>
      <c r="C563" t="s">
        <v>3037</v>
      </c>
      <c r="D563">
        <v>37.672528919999998</v>
      </c>
      <c r="E563" t="s">
        <v>3034</v>
      </c>
      <c r="F563">
        <v>110.9437016</v>
      </c>
      <c r="G563" t="s">
        <v>3035</v>
      </c>
      <c r="H563">
        <v>14342</v>
      </c>
      <c r="I563" t="s">
        <v>3036</v>
      </c>
    </row>
    <row r="564" spans="1:9" x14ac:dyDescent="0.25">
      <c r="A564" t="s">
        <v>3033</v>
      </c>
      <c r="B564" t="s">
        <v>3231</v>
      </c>
      <c r="C564" t="s">
        <v>3037</v>
      </c>
      <c r="D564">
        <v>37.360478069999999</v>
      </c>
      <c r="E564" t="s">
        <v>3034</v>
      </c>
      <c r="F564">
        <v>112.31930060000001</v>
      </c>
      <c r="G564" t="s">
        <v>3035</v>
      </c>
      <c r="H564">
        <v>31685</v>
      </c>
      <c r="I564" t="s">
        <v>3036</v>
      </c>
    </row>
    <row r="565" spans="1:9" x14ac:dyDescent="0.25">
      <c r="A565" t="s">
        <v>3033</v>
      </c>
      <c r="B565" t="s">
        <v>3410</v>
      </c>
      <c r="C565" t="s">
        <v>3037</v>
      </c>
      <c r="D565">
        <v>37.927433870000002</v>
      </c>
      <c r="E565" t="s">
        <v>3034</v>
      </c>
      <c r="F565">
        <v>112.0350351</v>
      </c>
      <c r="G565" t="s">
        <v>3035</v>
      </c>
      <c r="H565">
        <v>9022</v>
      </c>
      <c r="I565" t="s">
        <v>3036</v>
      </c>
    </row>
    <row r="566" spans="1:9" x14ac:dyDescent="0.25">
      <c r="A566" t="s">
        <v>3033</v>
      </c>
      <c r="B566" t="s">
        <v>3170</v>
      </c>
      <c r="C566" t="s">
        <v>3037</v>
      </c>
      <c r="D566">
        <v>35.610215760000003</v>
      </c>
      <c r="E566" t="s">
        <v>3034</v>
      </c>
      <c r="F566">
        <v>112.6001617</v>
      </c>
      <c r="G566" t="s">
        <v>3035</v>
      </c>
      <c r="H566">
        <v>15992</v>
      </c>
      <c r="I566" t="s">
        <v>3036</v>
      </c>
    </row>
    <row r="567" spans="1:9" x14ac:dyDescent="0.25">
      <c r="A567" t="s">
        <v>3033</v>
      </c>
      <c r="B567" t="s">
        <v>3171</v>
      </c>
      <c r="C567" t="s">
        <v>3037</v>
      </c>
      <c r="D567">
        <v>35.791350809999997</v>
      </c>
      <c r="E567" t="s">
        <v>3034</v>
      </c>
      <c r="F567">
        <v>112.32185080000001</v>
      </c>
      <c r="G567" t="s">
        <v>3035</v>
      </c>
      <c r="H567">
        <v>14392</v>
      </c>
      <c r="I567" t="s">
        <v>3036</v>
      </c>
    </row>
    <row r="568" spans="1:9" x14ac:dyDescent="0.25">
      <c r="A568" t="s">
        <v>3033</v>
      </c>
      <c r="B568" t="s">
        <v>3297</v>
      </c>
      <c r="C568" t="s">
        <v>3037</v>
      </c>
      <c r="D568">
        <v>36.761609829999998</v>
      </c>
      <c r="E568" t="s">
        <v>3034</v>
      </c>
      <c r="F568">
        <v>110.6132534</v>
      </c>
      <c r="G568" t="s">
        <v>3035</v>
      </c>
      <c r="H568">
        <v>26218</v>
      </c>
      <c r="I568" t="s">
        <v>3036</v>
      </c>
    </row>
    <row r="569" spans="1:9" x14ac:dyDescent="0.25">
      <c r="A569" t="s">
        <v>3033</v>
      </c>
      <c r="B569" t="s">
        <v>3370</v>
      </c>
      <c r="C569" t="s">
        <v>3037</v>
      </c>
      <c r="D569">
        <v>37.303973939999999</v>
      </c>
      <c r="E569" t="s">
        <v>3034</v>
      </c>
      <c r="F569">
        <v>111.3522282</v>
      </c>
      <c r="G569" t="s">
        <v>3035</v>
      </c>
      <c r="H569">
        <v>6861</v>
      </c>
      <c r="I569" t="s">
        <v>3036</v>
      </c>
    </row>
    <row r="570" spans="1:9" x14ac:dyDescent="0.25">
      <c r="A570" t="s">
        <v>3033</v>
      </c>
      <c r="B570" t="s">
        <v>3100</v>
      </c>
      <c r="C570" t="s">
        <v>3037</v>
      </c>
      <c r="D570">
        <v>36.602140470000002</v>
      </c>
      <c r="E570" t="s">
        <v>3034</v>
      </c>
      <c r="F570">
        <v>112.8232476</v>
      </c>
      <c r="G570" t="s">
        <v>3035</v>
      </c>
      <c r="H570">
        <v>15147</v>
      </c>
      <c r="I570" t="s">
        <v>3036</v>
      </c>
    </row>
    <row r="571" spans="1:9" x14ac:dyDescent="0.25">
      <c r="A571" t="s">
        <v>3033</v>
      </c>
      <c r="B571" t="s">
        <v>3172</v>
      </c>
      <c r="C571" t="s">
        <v>3037</v>
      </c>
      <c r="D571">
        <v>35.522637719999999</v>
      </c>
      <c r="E571" t="s">
        <v>3034</v>
      </c>
      <c r="F571">
        <v>112.0046445</v>
      </c>
      <c r="G571" t="s">
        <v>3035</v>
      </c>
      <c r="H571">
        <v>13053</v>
      </c>
      <c r="I571" t="s">
        <v>3036</v>
      </c>
    </row>
    <row r="572" spans="1:9" x14ac:dyDescent="0.25">
      <c r="A572" t="s">
        <v>3033</v>
      </c>
      <c r="B572" t="s">
        <v>3173</v>
      </c>
      <c r="C572" t="s">
        <v>3037</v>
      </c>
      <c r="D572">
        <v>35.48014732</v>
      </c>
      <c r="E572" t="s">
        <v>3034</v>
      </c>
      <c r="F572">
        <v>112.64968020000001</v>
      </c>
      <c r="G572" t="s">
        <v>3035</v>
      </c>
      <c r="H572">
        <v>23483</v>
      </c>
      <c r="I572" t="s">
        <v>3036</v>
      </c>
    </row>
    <row r="573" spans="1:9" x14ac:dyDescent="0.25">
      <c r="A573" t="s">
        <v>3033</v>
      </c>
      <c r="B573" t="s">
        <v>3129</v>
      </c>
      <c r="C573" t="s">
        <v>3037</v>
      </c>
      <c r="D573">
        <v>40.142311849999999</v>
      </c>
      <c r="E573" t="s">
        <v>3034</v>
      </c>
      <c r="F573">
        <v>113.4677361</v>
      </c>
      <c r="G573" t="s">
        <v>3035</v>
      </c>
      <c r="H573">
        <v>17620</v>
      </c>
      <c r="I573" t="s">
        <v>3036</v>
      </c>
    </row>
    <row r="574" spans="1:9" x14ac:dyDescent="0.25">
      <c r="A574" t="s">
        <v>3033</v>
      </c>
      <c r="B574" t="s">
        <v>3467</v>
      </c>
      <c r="C574" t="s">
        <v>3037</v>
      </c>
      <c r="D574">
        <v>38.281176870000003</v>
      </c>
      <c r="E574" t="s">
        <v>3034</v>
      </c>
      <c r="F574">
        <v>112.5701475</v>
      </c>
      <c r="G574" t="s">
        <v>3035</v>
      </c>
      <c r="H574">
        <v>12233</v>
      </c>
      <c r="I574" t="s">
        <v>3036</v>
      </c>
    </row>
    <row r="575" spans="1:9" x14ac:dyDescent="0.25">
      <c r="A575" t="s">
        <v>3033</v>
      </c>
      <c r="B575" t="s">
        <v>3371</v>
      </c>
      <c r="C575" t="s">
        <v>3037</v>
      </c>
      <c r="D575">
        <v>37.368507860000001</v>
      </c>
      <c r="E575" t="s">
        <v>3034</v>
      </c>
      <c r="F575">
        <v>110.8956393</v>
      </c>
      <c r="G575" t="s">
        <v>3035</v>
      </c>
      <c r="H575">
        <v>18442</v>
      </c>
      <c r="I575" t="s">
        <v>3036</v>
      </c>
    </row>
    <row r="576" spans="1:9" x14ac:dyDescent="0.25">
      <c r="A576" t="s">
        <v>3033</v>
      </c>
      <c r="B576" t="s">
        <v>3372</v>
      </c>
      <c r="C576" t="s">
        <v>3037</v>
      </c>
      <c r="D576">
        <v>37.04783123</v>
      </c>
      <c r="E576" t="s">
        <v>3034</v>
      </c>
      <c r="F576">
        <v>111.6096545</v>
      </c>
      <c r="G576" t="s">
        <v>3035</v>
      </c>
      <c r="H576">
        <v>10445</v>
      </c>
      <c r="I576" t="s">
        <v>3036</v>
      </c>
    </row>
    <row r="577" spans="1:9" x14ac:dyDescent="0.25">
      <c r="A577" t="s">
        <v>3033</v>
      </c>
      <c r="B577" t="s">
        <v>3232</v>
      </c>
      <c r="C577" t="s">
        <v>3037</v>
      </c>
      <c r="D577">
        <v>37.980999840000003</v>
      </c>
      <c r="E577" t="s">
        <v>3034</v>
      </c>
      <c r="F577">
        <v>113.1142729</v>
      </c>
      <c r="G577" t="s">
        <v>3035</v>
      </c>
      <c r="H577">
        <v>11723</v>
      </c>
      <c r="I577" t="s">
        <v>3036</v>
      </c>
    </row>
    <row r="578" spans="1:9" x14ac:dyDescent="0.25">
      <c r="A578" t="s">
        <v>3033</v>
      </c>
      <c r="B578" t="s">
        <v>3562</v>
      </c>
      <c r="C578" t="s">
        <v>3037</v>
      </c>
      <c r="D578">
        <v>35.618491200000001</v>
      </c>
      <c r="E578" t="s">
        <v>3034</v>
      </c>
      <c r="F578">
        <v>111.35624489999999</v>
      </c>
      <c r="G578" t="s">
        <v>3035</v>
      </c>
      <c r="H578">
        <v>162660</v>
      </c>
      <c r="I578" t="s">
        <v>3036</v>
      </c>
    </row>
    <row r="579" spans="1:9" x14ac:dyDescent="0.25">
      <c r="A579" t="s">
        <v>3033</v>
      </c>
      <c r="B579" t="s">
        <v>3563</v>
      </c>
      <c r="C579" t="s">
        <v>3037</v>
      </c>
      <c r="D579">
        <v>36.578527000000001</v>
      </c>
      <c r="E579" t="s">
        <v>3034</v>
      </c>
      <c r="F579">
        <v>111.83175679999999</v>
      </c>
      <c r="G579" t="s">
        <v>3035</v>
      </c>
      <c r="H579">
        <v>98709</v>
      </c>
      <c r="I579" t="s">
        <v>3036</v>
      </c>
    </row>
    <row r="580" spans="1:9" x14ac:dyDescent="0.25">
      <c r="A580" t="s">
        <v>3033</v>
      </c>
      <c r="B580" t="s">
        <v>3564</v>
      </c>
      <c r="C580" t="s">
        <v>3037</v>
      </c>
      <c r="D580">
        <v>36.161301000000002</v>
      </c>
      <c r="E580" t="s">
        <v>3034</v>
      </c>
      <c r="F580">
        <v>111.4692539</v>
      </c>
      <c r="G580" t="s">
        <v>3035</v>
      </c>
      <c r="H580">
        <v>518828</v>
      </c>
      <c r="I580" t="s">
        <v>3036</v>
      </c>
    </row>
    <row r="581" spans="1:9" x14ac:dyDescent="0.25">
      <c r="A581" t="s">
        <v>3033</v>
      </c>
      <c r="B581" t="s">
        <v>3355</v>
      </c>
      <c r="C581" t="s">
        <v>3037</v>
      </c>
      <c r="D581">
        <v>37.131532800000002</v>
      </c>
      <c r="E581" t="s">
        <v>3034</v>
      </c>
      <c r="F581">
        <v>111.6448702</v>
      </c>
      <c r="G581" t="s">
        <v>3035</v>
      </c>
      <c r="H581">
        <v>209432</v>
      </c>
      <c r="I581" t="s">
        <v>3036</v>
      </c>
    </row>
    <row r="582" spans="1:9" x14ac:dyDescent="0.25">
      <c r="A582" t="s">
        <v>3033</v>
      </c>
      <c r="B582" t="s">
        <v>3565</v>
      </c>
      <c r="C582" t="s">
        <v>3037</v>
      </c>
      <c r="D582">
        <v>37.315007199999997</v>
      </c>
      <c r="E582" t="s">
        <v>3034</v>
      </c>
      <c r="F582">
        <v>111.7211288</v>
      </c>
      <c r="G582" t="s">
        <v>3035</v>
      </c>
      <c r="H582">
        <v>77837</v>
      </c>
      <c r="I582" t="s">
        <v>3036</v>
      </c>
    </row>
    <row r="583" spans="1:9" x14ac:dyDescent="0.25">
      <c r="A583" t="s">
        <v>3033</v>
      </c>
      <c r="B583" t="s">
        <v>3566</v>
      </c>
      <c r="C583" t="s">
        <v>3037</v>
      </c>
      <c r="D583">
        <v>37.733112300000002</v>
      </c>
      <c r="E583" t="s">
        <v>3034</v>
      </c>
      <c r="F583">
        <v>111.3433352</v>
      </c>
      <c r="G583" t="s">
        <v>3035</v>
      </c>
      <c r="H583">
        <v>283129</v>
      </c>
      <c r="I583" t="s">
        <v>3036</v>
      </c>
    </row>
    <row r="584" spans="1:9" x14ac:dyDescent="0.25">
      <c r="A584" t="s">
        <v>3033</v>
      </c>
      <c r="B584" t="s">
        <v>3567</v>
      </c>
      <c r="C584" t="s">
        <v>3037</v>
      </c>
      <c r="D584">
        <v>39.896705300000001</v>
      </c>
      <c r="E584" t="s">
        <v>3034</v>
      </c>
      <c r="F584">
        <v>113.5680916</v>
      </c>
      <c r="G584" t="s">
        <v>3035</v>
      </c>
      <c r="H584">
        <v>1297763</v>
      </c>
      <c r="I584" t="s">
        <v>3036</v>
      </c>
    </row>
    <row r="585" spans="1:9" x14ac:dyDescent="0.25">
      <c r="A585" t="s">
        <v>3033</v>
      </c>
      <c r="B585" t="s">
        <v>3502</v>
      </c>
      <c r="C585" t="s">
        <v>3037</v>
      </c>
      <c r="D585">
        <v>37.922238800000002</v>
      </c>
      <c r="E585" t="s">
        <v>3034</v>
      </c>
      <c r="F585">
        <v>112.0320899</v>
      </c>
      <c r="G585" t="s">
        <v>3035</v>
      </c>
      <c r="H585">
        <v>113421</v>
      </c>
      <c r="I585" t="s">
        <v>3036</v>
      </c>
    </row>
    <row r="586" spans="1:9" x14ac:dyDescent="0.25">
      <c r="A586" t="s">
        <v>3033</v>
      </c>
      <c r="B586" t="s">
        <v>3568</v>
      </c>
      <c r="C586" t="s">
        <v>3037</v>
      </c>
      <c r="D586">
        <v>37.931136299999999</v>
      </c>
      <c r="E586" t="s">
        <v>3034</v>
      </c>
      <c r="F586">
        <v>112.32835179999999</v>
      </c>
      <c r="G586" t="s">
        <v>3035</v>
      </c>
      <c r="H586">
        <v>3065874</v>
      </c>
      <c r="I586" t="s">
        <v>3581</v>
      </c>
    </row>
    <row r="587" spans="1:9" x14ac:dyDescent="0.25">
      <c r="A587" t="s">
        <v>3033</v>
      </c>
      <c r="B587" t="s">
        <v>3569</v>
      </c>
      <c r="C587" t="s">
        <v>3037</v>
      </c>
      <c r="D587">
        <v>38.869746200000002</v>
      </c>
      <c r="E587" t="s">
        <v>3034</v>
      </c>
      <c r="F587">
        <v>112.68240729999999</v>
      </c>
      <c r="G587" t="s">
        <v>3035</v>
      </c>
      <c r="H587">
        <v>136792</v>
      </c>
      <c r="I587" t="s">
        <v>3036</v>
      </c>
    </row>
    <row r="588" spans="1:9" x14ac:dyDescent="0.25">
      <c r="A588" t="s">
        <v>3033</v>
      </c>
      <c r="B588" t="s">
        <v>3570</v>
      </c>
      <c r="C588" t="s">
        <v>3037</v>
      </c>
      <c r="D588">
        <v>38.896531899999999</v>
      </c>
      <c r="E588" t="s">
        <v>3034</v>
      </c>
      <c r="F588">
        <v>112.45026780000001</v>
      </c>
      <c r="G588" t="s">
        <v>3035</v>
      </c>
      <c r="H588">
        <v>370799</v>
      </c>
      <c r="I588" t="s">
        <v>3036</v>
      </c>
    </row>
    <row r="589" spans="1:9" x14ac:dyDescent="0.25">
      <c r="A589" t="s">
        <v>3033</v>
      </c>
      <c r="B589" t="s">
        <v>3571</v>
      </c>
      <c r="C589" t="s">
        <v>3037</v>
      </c>
      <c r="D589">
        <v>37.011288299999997</v>
      </c>
      <c r="E589" t="s">
        <v>3034</v>
      </c>
      <c r="F589">
        <v>111.9495582</v>
      </c>
      <c r="G589" t="s">
        <v>3035</v>
      </c>
      <c r="H589">
        <v>113464</v>
      </c>
      <c r="I589" t="s">
        <v>3036</v>
      </c>
    </row>
    <row r="590" spans="1:9" x14ac:dyDescent="0.25">
      <c r="A590" t="s">
        <v>3033</v>
      </c>
      <c r="B590" t="s">
        <v>3572</v>
      </c>
      <c r="C590" t="s">
        <v>3037</v>
      </c>
      <c r="D590">
        <v>37.373890899999999</v>
      </c>
      <c r="E590" t="s">
        <v>3034</v>
      </c>
      <c r="F590">
        <v>112.7666565</v>
      </c>
      <c r="G590" t="s">
        <v>3035</v>
      </c>
      <c r="H590">
        <v>557241</v>
      </c>
      <c r="I590" t="s">
        <v>3036</v>
      </c>
    </row>
    <row r="591" spans="1:9" x14ac:dyDescent="0.25">
      <c r="A591" t="s">
        <v>3033</v>
      </c>
      <c r="B591" t="s">
        <v>3573</v>
      </c>
      <c r="C591" t="s">
        <v>3037</v>
      </c>
      <c r="D591">
        <v>35.818651000000003</v>
      </c>
      <c r="E591" t="s">
        <v>3034</v>
      </c>
      <c r="F591">
        <v>112.9341623</v>
      </c>
      <c r="G591" t="s">
        <v>3035</v>
      </c>
      <c r="H591">
        <v>151539</v>
      </c>
      <c r="I591" t="s">
        <v>3036</v>
      </c>
    </row>
    <row r="592" spans="1:9" x14ac:dyDescent="0.25">
      <c r="A592" t="s">
        <v>3033</v>
      </c>
      <c r="B592" t="s">
        <v>3574</v>
      </c>
      <c r="C592" t="s">
        <v>3037</v>
      </c>
      <c r="D592">
        <v>35.627726299999999</v>
      </c>
      <c r="E592" t="s">
        <v>3034</v>
      </c>
      <c r="F592">
        <v>112.7772681</v>
      </c>
      <c r="G592" t="s">
        <v>3035</v>
      </c>
      <c r="H592">
        <v>653186</v>
      </c>
      <c r="I592" t="s">
        <v>3036</v>
      </c>
    </row>
    <row r="593" spans="1:9" x14ac:dyDescent="0.25">
      <c r="A593" t="s">
        <v>3033</v>
      </c>
      <c r="B593" t="s">
        <v>3575</v>
      </c>
      <c r="C593" t="s">
        <v>3037</v>
      </c>
      <c r="D593">
        <v>39.6915744</v>
      </c>
      <c r="E593" t="s">
        <v>3034</v>
      </c>
      <c r="F593">
        <v>112.727841</v>
      </c>
      <c r="G593" t="s">
        <v>3035</v>
      </c>
      <c r="H593">
        <v>410412</v>
      </c>
      <c r="I593" t="s">
        <v>3036</v>
      </c>
    </row>
    <row r="594" spans="1:9" x14ac:dyDescent="0.25">
      <c r="A594" t="s">
        <v>3033</v>
      </c>
      <c r="B594" t="s">
        <v>3576</v>
      </c>
      <c r="C594" t="s">
        <v>3037</v>
      </c>
      <c r="D594">
        <v>34.866316500000003</v>
      </c>
      <c r="E594" t="s">
        <v>3034</v>
      </c>
      <c r="F594">
        <v>110.4924015</v>
      </c>
      <c r="G594" t="s">
        <v>3035</v>
      </c>
      <c r="H594">
        <v>173551</v>
      </c>
      <c r="I594" t="s">
        <v>3036</v>
      </c>
    </row>
    <row r="595" spans="1:9" x14ac:dyDescent="0.25">
      <c r="A595" t="s">
        <v>3033</v>
      </c>
      <c r="B595" t="s">
        <v>3577</v>
      </c>
      <c r="C595" t="s">
        <v>3037</v>
      </c>
      <c r="D595">
        <v>35.629759900000003</v>
      </c>
      <c r="E595" t="s">
        <v>3034</v>
      </c>
      <c r="F595">
        <v>110.6861612</v>
      </c>
      <c r="G595" t="s">
        <v>3035</v>
      </c>
      <c r="H595">
        <v>169430</v>
      </c>
      <c r="I595" t="s">
        <v>3036</v>
      </c>
    </row>
    <row r="596" spans="1:9" x14ac:dyDescent="0.25">
      <c r="A596" t="s">
        <v>3033</v>
      </c>
      <c r="B596" t="s">
        <v>3578</v>
      </c>
      <c r="C596" t="s">
        <v>3037</v>
      </c>
      <c r="D596">
        <v>35.201877400000001</v>
      </c>
      <c r="E596" t="s">
        <v>3034</v>
      </c>
      <c r="F596">
        <v>111.1474285</v>
      </c>
      <c r="G596" t="s">
        <v>3035</v>
      </c>
      <c r="H596">
        <v>493068</v>
      </c>
      <c r="I596" t="s">
        <v>3036</v>
      </c>
    </row>
    <row r="597" spans="1:9" x14ac:dyDescent="0.25">
      <c r="A597" t="s">
        <v>3033</v>
      </c>
      <c r="B597" t="s">
        <v>3579</v>
      </c>
      <c r="C597" t="s">
        <v>3037</v>
      </c>
      <c r="D597">
        <v>36.473796900000004</v>
      </c>
      <c r="E597" t="s">
        <v>3034</v>
      </c>
      <c r="F597">
        <v>112.85481420000001</v>
      </c>
      <c r="G597" t="s">
        <v>3035</v>
      </c>
      <c r="H597">
        <v>844690</v>
      </c>
      <c r="I597" t="s">
        <v>3036</v>
      </c>
    </row>
    <row r="598" spans="1:9" x14ac:dyDescent="0.25">
      <c r="A598" t="s">
        <v>3033</v>
      </c>
      <c r="B598" t="s">
        <v>3580</v>
      </c>
      <c r="C598" t="s">
        <v>3037</v>
      </c>
      <c r="D598">
        <v>38.091079800000003</v>
      </c>
      <c r="E598" t="s">
        <v>3034</v>
      </c>
      <c r="F598">
        <v>113.47821039999999</v>
      </c>
      <c r="G598" t="s">
        <v>3035</v>
      </c>
      <c r="H598">
        <v>293709</v>
      </c>
      <c r="I598" t="s">
        <v>3036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6BC2F-1E86-4FC3-A21A-DC5E5F1DB31D}">
  <dimension ref="A1:G130"/>
  <sheetViews>
    <sheetView workbookViewId="0">
      <selection activeCell="A2" sqref="A2:G130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3020</v>
      </c>
      <c r="F1" t="s">
        <v>3021</v>
      </c>
      <c r="G1" t="s">
        <v>3023</v>
      </c>
    </row>
    <row r="2" spans="1:7" ht="15.75" thickBot="1" x14ac:dyDescent="0.3">
      <c r="A2" t="s">
        <v>2876</v>
      </c>
      <c r="B2" s="3" t="s">
        <v>2877</v>
      </c>
      <c r="C2" s="3" t="s">
        <v>2878</v>
      </c>
      <c r="D2" s="4">
        <v>3138991</v>
      </c>
      <c r="E2" s="4">
        <v>3334565</v>
      </c>
      <c r="F2" s="4">
        <v>3180884</v>
      </c>
      <c r="G2" s="10" t="str" cm="1">
        <f t="array" aca="1" ref="G2" ca="1">IF(Background=36,C2,G1)</f>
        <v>长治市</v>
      </c>
    </row>
    <row r="3" spans="1:7" ht="15.75" thickBot="1" x14ac:dyDescent="0.3">
      <c r="A3" t="s">
        <v>11</v>
      </c>
      <c r="B3" s="1" t="s">
        <v>2879</v>
      </c>
      <c r="C3" s="1" t="s">
        <v>2880</v>
      </c>
      <c r="D3" s="2">
        <v>337354</v>
      </c>
      <c r="E3" s="2">
        <v>353266</v>
      </c>
      <c r="F3" s="2">
        <v>298690</v>
      </c>
      <c r="G3" s="2" t="str" cm="1">
        <f t="array" aca="1" ref="G3" ca="1">IF(Background=36,C3,G2)</f>
        <v>长治市</v>
      </c>
    </row>
    <row r="4" spans="1:7" ht="15.75" thickBot="1" x14ac:dyDescent="0.3">
      <c r="A4" t="s">
        <v>8</v>
      </c>
      <c r="B4" s="1" t="s">
        <v>2879</v>
      </c>
      <c r="C4" s="1" t="s">
        <v>2881</v>
      </c>
      <c r="D4" s="2">
        <v>282564</v>
      </c>
      <c r="E4" s="2">
        <v>291609</v>
      </c>
      <c r="F4" s="2">
        <v>240109</v>
      </c>
      <c r="G4" s="2" t="str" cm="1">
        <f t="array" aca="1" ref="G4" ca="1">IF(Background=36,C4,G3)</f>
        <v>长治市</v>
      </c>
    </row>
    <row r="5" spans="1:7" ht="15.75" thickBot="1" x14ac:dyDescent="0.3">
      <c r="A5" t="s">
        <v>47</v>
      </c>
      <c r="B5" s="1" t="s">
        <v>2879</v>
      </c>
      <c r="C5" s="1" t="s">
        <v>2882</v>
      </c>
      <c r="D5" s="2">
        <v>155075</v>
      </c>
      <c r="E5" s="2">
        <v>158541</v>
      </c>
      <c r="F5" s="2">
        <v>134186</v>
      </c>
      <c r="G5" s="2" t="str" cm="1">
        <f t="array" aca="1" ref="G5" ca="1">IF(Background=36,C5,G4)</f>
        <v>长治市</v>
      </c>
    </row>
    <row r="6" spans="1:7" ht="15.75" thickBot="1" x14ac:dyDescent="0.3">
      <c r="A6" t="s">
        <v>44</v>
      </c>
      <c r="B6" s="1" t="s">
        <v>2883</v>
      </c>
      <c r="C6" s="1" t="s">
        <v>2884</v>
      </c>
      <c r="D6" s="2">
        <v>213944</v>
      </c>
      <c r="E6" s="2">
        <v>226874</v>
      </c>
      <c r="F6" s="2">
        <v>219256</v>
      </c>
      <c r="G6" s="2" t="str" cm="1">
        <f t="array" aca="1" ref="G6" ca="1">IF(Background=36,C6,G5)</f>
        <v>长治市</v>
      </c>
    </row>
    <row r="7" spans="1:7" ht="15.75" thickBot="1" x14ac:dyDescent="0.3">
      <c r="A7" t="s">
        <v>32</v>
      </c>
      <c r="B7" s="1" t="s">
        <v>2883</v>
      </c>
      <c r="C7" s="1" t="s">
        <v>2885</v>
      </c>
      <c r="D7" s="2">
        <v>648981</v>
      </c>
      <c r="E7" s="2">
        <v>764841</v>
      </c>
      <c r="F7" s="2">
        <v>895280</v>
      </c>
      <c r="G7" s="2" t="str" cm="1">
        <f t="array" aca="1" ref="G7" ca="1">IF(Background=36,C7,G6)</f>
        <v>长治市</v>
      </c>
    </row>
    <row r="8" spans="1:7" ht="15.75" thickBot="1" x14ac:dyDescent="0.3">
      <c r="A8" t="s">
        <v>20</v>
      </c>
      <c r="B8" s="1" t="s">
        <v>2879</v>
      </c>
      <c r="C8" s="1" t="s">
        <v>2886</v>
      </c>
      <c r="D8" s="2">
        <v>160868</v>
      </c>
      <c r="E8" s="2">
        <v>150955</v>
      </c>
      <c r="F8" s="2">
        <v>115927</v>
      </c>
      <c r="G8" s="2" t="str" cm="1">
        <f t="array" aca="1" ref="G8" ca="1">IF(Background=36,C8,G7)</f>
        <v>长治市</v>
      </c>
    </row>
    <row r="9" spans="1:7" ht="15.75" thickBot="1" x14ac:dyDescent="0.3">
      <c r="A9" t="s">
        <v>28</v>
      </c>
      <c r="B9" s="1" t="s">
        <v>2879</v>
      </c>
      <c r="C9" s="1" t="s">
        <v>2887</v>
      </c>
      <c r="D9" s="2">
        <v>169959</v>
      </c>
      <c r="E9" s="2">
        <v>172205</v>
      </c>
      <c r="F9" s="2">
        <v>138578</v>
      </c>
      <c r="G9" s="2" t="str" cm="1">
        <f t="array" aca="1" ref="G9" ca="1">IF(Background=36,C9,G8)</f>
        <v>长治市</v>
      </c>
    </row>
    <row r="10" spans="1:7" ht="15.75" thickBot="1" x14ac:dyDescent="0.3">
      <c r="A10" t="s">
        <v>50</v>
      </c>
      <c r="B10" s="1" t="s">
        <v>2879</v>
      </c>
      <c r="C10" s="1" t="s">
        <v>2888</v>
      </c>
      <c r="D10" s="2">
        <v>154305</v>
      </c>
      <c r="E10" s="2">
        <v>158702</v>
      </c>
      <c r="F10" s="2">
        <v>149975</v>
      </c>
      <c r="G10" s="2" t="str" cm="1">
        <f t="array" aca="1" ref="G10" ca="1">IF(Background=36,C10,G9)</f>
        <v>长治市</v>
      </c>
    </row>
    <row r="11" spans="1:7" ht="15.75" thickBot="1" x14ac:dyDescent="0.3">
      <c r="A11" t="s">
        <v>14</v>
      </c>
      <c r="B11" s="1" t="s">
        <v>2883</v>
      </c>
      <c r="C11" s="1" t="s">
        <v>2889</v>
      </c>
      <c r="D11" s="2">
        <v>323236</v>
      </c>
      <c r="E11" s="2">
        <v>340963</v>
      </c>
      <c r="F11" s="2">
        <v>319660</v>
      </c>
      <c r="G11" s="2" t="str" cm="1">
        <f t="array" aca="1" ref="G11" ca="1">IF(Background=36,C11,G10)</f>
        <v>长治市</v>
      </c>
    </row>
    <row r="12" spans="1:7" ht="15.75" thickBot="1" x14ac:dyDescent="0.3">
      <c r="A12" t="s">
        <v>88</v>
      </c>
      <c r="B12" s="1" t="s">
        <v>2883</v>
      </c>
      <c r="C12" s="1" t="s">
        <v>2890</v>
      </c>
      <c r="D12" s="2">
        <v>248225</v>
      </c>
      <c r="E12" s="2">
        <v>263844</v>
      </c>
      <c r="F12" s="2">
        <v>253756</v>
      </c>
      <c r="G12" s="2" t="str" cm="1">
        <f t="array" aca="1" ref="G12" ca="1">IF(Background=36,C12,G11)</f>
        <v>长治市</v>
      </c>
    </row>
    <row r="13" spans="1:7" ht="15.75" thickBot="1" x14ac:dyDescent="0.3">
      <c r="A13" t="s">
        <v>65</v>
      </c>
      <c r="B13" s="1" t="s">
        <v>2879</v>
      </c>
      <c r="C13" s="1" t="s">
        <v>2891</v>
      </c>
      <c r="D13" s="2">
        <v>196097</v>
      </c>
      <c r="E13" s="2">
        <v>182549</v>
      </c>
      <c r="F13" s="2">
        <v>155386</v>
      </c>
      <c r="G13" s="2" t="str" cm="1">
        <f t="array" aca="1" ref="G13" ca="1">IF(Background=36,C13,G12)</f>
        <v>长治市</v>
      </c>
    </row>
    <row r="14" spans="1:7" ht="15.75" thickBot="1" x14ac:dyDescent="0.3">
      <c r="A14" t="s">
        <v>23</v>
      </c>
      <c r="B14" s="1" t="s">
        <v>2879</v>
      </c>
      <c r="C14" s="1" t="s">
        <v>2892</v>
      </c>
      <c r="D14" s="2">
        <v>248383</v>
      </c>
      <c r="E14" s="2">
        <v>270216</v>
      </c>
      <c r="F14" s="2">
        <v>260081</v>
      </c>
      <c r="G14" s="2" t="str" cm="1">
        <f t="array" aca="1" ref="G14" ca="1">IF(Background=36,C14,G13)</f>
        <v>长治市</v>
      </c>
    </row>
    <row r="15" spans="1:7" ht="15.75" thickBot="1" x14ac:dyDescent="0.3">
      <c r="A15" t="s">
        <v>2893</v>
      </c>
      <c r="B15" s="3" t="s">
        <v>2877</v>
      </c>
      <c r="C15" s="3" t="s">
        <v>2894</v>
      </c>
      <c r="D15" s="4">
        <v>3001508</v>
      </c>
      <c r="E15" s="4">
        <v>3318054</v>
      </c>
      <c r="F15" s="4">
        <v>3105591</v>
      </c>
      <c r="G15" s="2" t="str" cm="1">
        <f t="array" aca="1" ref="G15" ca="1">IF(Background=36,C15,G14)</f>
        <v>大同市</v>
      </c>
    </row>
    <row r="16" spans="1:7" ht="15.75" thickBot="1" x14ac:dyDescent="0.3">
      <c r="A16" t="s">
        <v>410</v>
      </c>
      <c r="B16" s="1" t="s">
        <v>2879</v>
      </c>
      <c r="C16" s="1" t="s">
        <v>2895</v>
      </c>
      <c r="D16" s="2">
        <v>162548</v>
      </c>
      <c r="E16" s="2">
        <v>182613</v>
      </c>
      <c r="F16" s="2">
        <v>154253</v>
      </c>
      <c r="G16" s="2" t="str" cm="1">
        <f t="array" aca="1" ref="G16" ca="1">IF(Background=36,C16,G15)</f>
        <v>大同市</v>
      </c>
    </row>
    <row r="17" spans="1:7" ht="15.75" thickBot="1" x14ac:dyDescent="0.3">
      <c r="A17" t="s">
        <v>347</v>
      </c>
      <c r="B17" s="1" t="s">
        <v>2879</v>
      </c>
      <c r="C17" s="1" t="s">
        <v>2896</v>
      </c>
      <c r="D17" s="2">
        <v>325763</v>
      </c>
      <c r="E17" s="2">
        <v>343486</v>
      </c>
      <c r="F17" s="2">
        <v>237749</v>
      </c>
      <c r="G17" s="2" t="str" cm="1">
        <f t="array" aca="1" ref="G17" ca="1">IF(Background=36,C17,G16)</f>
        <v>大同市</v>
      </c>
    </row>
    <row r="18" spans="1:7" ht="15.75" thickBot="1" x14ac:dyDescent="0.3">
      <c r="A18" t="s">
        <v>331</v>
      </c>
      <c r="B18" s="1" t="s">
        <v>2879</v>
      </c>
      <c r="C18" s="1" t="s">
        <v>2897</v>
      </c>
      <c r="D18" s="2">
        <v>209713</v>
      </c>
      <c r="E18" s="2">
        <v>234004</v>
      </c>
      <c r="F18" s="2">
        <v>212771</v>
      </c>
      <c r="G18" s="2" t="str" cm="1">
        <f t="array" aca="1" ref="G18" ca="1">IF(Background=36,C18,G17)</f>
        <v>大同市</v>
      </c>
    </row>
    <row r="19" spans="1:7" ht="15.75" thickBot="1" x14ac:dyDescent="0.3">
      <c r="A19" t="s">
        <v>337</v>
      </c>
      <c r="B19" s="1" t="s">
        <v>2883</v>
      </c>
      <c r="C19" s="1" t="s">
        <v>2898</v>
      </c>
      <c r="D19" s="2">
        <v>728778</v>
      </c>
      <c r="E19" s="2">
        <v>941972</v>
      </c>
      <c r="F19" s="2">
        <v>1105699</v>
      </c>
      <c r="G19" s="2" t="str" cm="1">
        <f t="array" aca="1" ref="G19" ca="1">IF(Background=36,C19,G18)</f>
        <v>大同市</v>
      </c>
    </row>
    <row r="20" spans="1:7" ht="15.75" thickBot="1" x14ac:dyDescent="0.3">
      <c r="A20" t="s">
        <v>395</v>
      </c>
      <c r="B20" s="1" t="s">
        <v>2879</v>
      </c>
      <c r="C20" s="1" t="s">
        <v>2899</v>
      </c>
      <c r="D20" s="2">
        <v>202680</v>
      </c>
      <c r="E20" s="2">
        <v>220220</v>
      </c>
      <c r="F20" s="2">
        <v>160691</v>
      </c>
      <c r="G20" s="2" t="str" cm="1">
        <f t="array" aca="1" ref="G20" ca="1">IF(Background=36,C20,G19)</f>
        <v>大同市</v>
      </c>
    </row>
    <row r="21" spans="1:7" ht="15.75" thickBot="1" x14ac:dyDescent="0.3">
      <c r="A21" t="s">
        <v>334</v>
      </c>
      <c r="B21" s="1" t="s">
        <v>2883</v>
      </c>
      <c r="C21" s="1" t="s">
        <v>2900</v>
      </c>
      <c r="D21" s="2">
        <v>122415</v>
      </c>
      <c r="E21" s="2">
        <v>123926</v>
      </c>
      <c r="F21" s="2">
        <v>88664</v>
      </c>
      <c r="G21" s="2" t="str" cm="1">
        <f t="array" aca="1" ref="G21" ca="1">IF(Background=36,C21,G20)</f>
        <v>大同市</v>
      </c>
    </row>
    <row r="22" spans="1:7" ht="15.75" thickBot="1" x14ac:dyDescent="0.3">
      <c r="A22" t="s">
        <v>325</v>
      </c>
      <c r="B22" s="1" t="s">
        <v>2879</v>
      </c>
      <c r="C22" s="1" t="s">
        <v>2901</v>
      </c>
      <c r="D22" s="2">
        <v>247717</v>
      </c>
      <c r="E22" s="2">
        <v>258277</v>
      </c>
      <c r="F22" s="2">
        <v>191981</v>
      </c>
      <c r="G22" s="2" t="str" cm="1">
        <f t="array" aca="1" ref="G22" ca="1">IF(Background=36,C22,G21)</f>
        <v>大同市</v>
      </c>
    </row>
    <row r="23" spans="1:7" ht="15.75" thickBot="1" x14ac:dyDescent="0.3">
      <c r="A23" t="s">
        <v>328</v>
      </c>
      <c r="B23" s="1" t="s">
        <v>2883</v>
      </c>
      <c r="C23" s="1" t="s">
        <v>2902</v>
      </c>
      <c r="D23" s="2">
        <v>675551</v>
      </c>
      <c r="E23" s="2">
        <v>671616</v>
      </c>
      <c r="F23" s="2">
        <v>684753</v>
      </c>
      <c r="G23" s="2" t="str" cm="1">
        <f t="array" aca="1" ref="G23" ca="1">IF(Background=36,C23,G22)</f>
        <v>大同市</v>
      </c>
    </row>
    <row r="24" spans="1:7" ht="15.75" thickBot="1" x14ac:dyDescent="0.3">
      <c r="A24" t="s">
        <v>340</v>
      </c>
      <c r="B24" s="1" t="s">
        <v>2883</v>
      </c>
      <c r="C24" s="1" t="s">
        <v>2903</v>
      </c>
      <c r="D24" s="2">
        <v>162977</v>
      </c>
      <c r="E24" s="2">
        <v>185777</v>
      </c>
      <c r="F24" s="2">
        <v>151087</v>
      </c>
      <c r="G24" s="2" t="str" cm="1">
        <f t="array" aca="1" ref="G24" ca="1">IF(Background=36,C24,G23)</f>
        <v>大同市</v>
      </c>
    </row>
    <row r="25" spans="1:7" ht="15.75" thickBot="1" x14ac:dyDescent="0.3">
      <c r="A25" t="s">
        <v>364</v>
      </c>
      <c r="B25" s="1" t="s">
        <v>2879</v>
      </c>
      <c r="C25" s="1" t="s">
        <v>2904</v>
      </c>
      <c r="D25" s="2">
        <v>163366</v>
      </c>
      <c r="E25" s="2">
        <v>156163</v>
      </c>
      <c r="F25" s="2">
        <v>117943</v>
      </c>
      <c r="G25" s="2" t="str" cm="1">
        <f t="array" aca="1" ref="G25" ca="1">IF(Background=36,C25,G24)</f>
        <v>大同市</v>
      </c>
    </row>
    <row r="26" spans="1:7" ht="15.75" thickBot="1" x14ac:dyDescent="0.3">
      <c r="A26" t="s">
        <v>2905</v>
      </c>
      <c r="B26" s="3" t="s">
        <v>2877</v>
      </c>
      <c r="C26" s="3" t="s">
        <v>2906</v>
      </c>
      <c r="D26" s="4">
        <v>2160984</v>
      </c>
      <c r="E26" s="4">
        <v>2279146</v>
      </c>
      <c r="F26" s="4">
        <v>2194545</v>
      </c>
      <c r="G26" s="2" t="str" cm="1">
        <f t="array" aca="1" ref="G26" ca="1">IF(Background=36,C26,G25)</f>
        <v>晋城市</v>
      </c>
    </row>
    <row r="27" spans="1:7" ht="15.75" thickBot="1" x14ac:dyDescent="0.3">
      <c r="A27" t="s">
        <v>624</v>
      </c>
      <c r="B27" s="1" t="s">
        <v>2883</v>
      </c>
      <c r="C27" s="1" t="s">
        <v>814</v>
      </c>
      <c r="D27" s="2">
        <v>304221</v>
      </c>
      <c r="E27" s="2">
        <v>476945</v>
      </c>
      <c r="F27" s="2">
        <v>574665</v>
      </c>
      <c r="G27" s="2" t="str" cm="1">
        <f t="array" aca="1" ref="G27" ca="1">IF(Background=36,C27,G26)</f>
        <v>晋城市</v>
      </c>
    </row>
    <row r="28" spans="1:7" ht="15.75" thickBot="1" x14ac:dyDescent="0.3">
      <c r="A28" t="s">
        <v>623</v>
      </c>
      <c r="B28" s="1" t="s">
        <v>2907</v>
      </c>
      <c r="C28" s="1" t="s">
        <v>2908</v>
      </c>
      <c r="D28" s="2">
        <v>471671</v>
      </c>
      <c r="E28" s="2">
        <v>484862</v>
      </c>
      <c r="F28" s="2">
        <v>453054</v>
      </c>
      <c r="G28" s="2" t="str" cm="1">
        <f t="array" aca="1" ref="G28" ca="1">IF(Background=36,C28,G27)</f>
        <v>晋城市</v>
      </c>
    </row>
    <row r="29" spans="1:7" ht="15.75" thickBot="1" x14ac:dyDescent="0.3">
      <c r="A29" t="s">
        <v>637</v>
      </c>
      <c r="B29" s="1" t="s">
        <v>2879</v>
      </c>
      <c r="C29" s="1" t="s">
        <v>2909</v>
      </c>
      <c r="D29" s="2">
        <v>249782</v>
      </c>
      <c r="E29" s="2">
        <v>231360</v>
      </c>
      <c r="F29" s="2">
        <v>204825</v>
      </c>
      <c r="G29" s="2" t="str" cm="1">
        <f t="array" aca="1" ref="G29" ca="1">IF(Background=36,C29,G28)</f>
        <v>晋城市</v>
      </c>
    </row>
    <row r="30" spans="1:7" ht="15.75" thickBot="1" x14ac:dyDescent="0.3">
      <c r="A30" t="s">
        <v>659</v>
      </c>
      <c r="B30" s="1" t="s">
        <v>2879</v>
      </c>
      <c r="C30" s="1" t="s">
        <v>2910</v>
      </c>
      <c r="D30" s="2">
        <v>211440</v>
      </c>
      <c r="E30" s="2">
        <v>213016</v>
      </c>
      <c r="F30" s="2">
        <v>196528</v>
      </c>
      <c r="G30" s="2" t="str" cm="1">
        <f t="array" aca="1" ref="G30" ca="1">IF(Background=36,C30,G29)</f>
        <v>晋城市</v>
      </c>
    </row>
    <row r="31" spans="1:7" ht="15.75" thickBot="1" x14ac:dyDescent="0.3">
      <c r="A31" t="s">
        <v>620</v>
      </c>
      <c r="B31" s="1" t="s">
        <v>2879</v>
      </c>
      <c r="C31" s="1" t="s">
        <v>2911</v>
      </c>
      <c r="D31" s="2">
        <v>406708</v>
      </c>
      <c r="E31" s="2">
        <v>388789</v>
      </c>
      <c r="F31" s="2">
        <v>350474</v>
      </c>
      <c r="G31" s="2" t="str" cm="1">
        <f t="array" aca="1" ref="G31" ca="1">IF(Background=36,C31,G30)</f>
        <v>晋城市</v>
      </c>
    </row>
    <row r="32" spans="1:7" ht="15.75" thickBot="1" x14ac:dyDescent="0.3">
      <c r="A32" t="s">
        <v>617</v>
      </c>
      <c r="B32" s="1" t="s">
        <v>2879</v>
      </c>
      <c r="C32" s="1" t="s">
        <v>2912</v>
      </c>
      <c r="D32" s="2">
        <v>517162</v>
      </c>
      <c r="E32" s="2">
        <v>484174</v>
      </c>
      <c r="F32" s="2">
        <v>414999</v>
      </c>
      <c r="G32" s="2" t="str" cm="1">
        <f t="array" aca="1" ref="G32" ca="1">IF(Background=36,C32,G31)</f>
        <v>晋城市</v>
      </c>
    </row>
    <row r="33" spans="1:7" ht="15.75" thickBot="1" x14ac:dyDescent="0.3">
      <c r="A33" t="s">
        <v>2913</v>
      </c>
      <c r="B33" s="3" t="s">
        <v>2877</v>
      </c>
      <c r="C33" s="3" t="s">
        <v>2914</v>
      </c>
      <c r="D33" s="4">
        <v>3016536</v>
      </c>
      <c r="E33" s="4">
        <v>3249425</v>
      </c>
      <c r="F33" s="4">
        <v>3379498</v>
      </c>
      <c r="G33" s="2" t="str" cm="1">
        <f t="array" aca="1" ref="G33" ca="1">IF(Background=36,C33,G32)</f>
        <v>晋中市</v>
      </c>
    </row>
    <row r="34" spans="1:7" ht="15.75" thickBot="1" x14ac:dyDescent="0.3">
      <c r="A34" t="s">
        <v>861</v>
      </c>
      <c r="B34" s="1" t="s">
        <v>2879</v>
      </c>
      <c r="C34" s="1" t="s">
        <v>2915</v>
      </c>
      <c r="D34" s="2">
        <v>134522</v>
      </c>
      <c r="E34" s="2">
        <v>144178</v>
      </c>
      <c r="F34" s="2">
        <v>121617</v>
      </c>
      <c r="G34" s="2" t="str" cm="1">
        <f t="array" aca="1" ref="G34" ca="1">IF(Background=36,C34,G33)</f>
        <v>晋中市</v>
      </c>
    </row>
    <row r="35" spans="1:7" ht="15.75" thickBot="1" x14ac:dyDescent="0.3">
      <c r="A35" t="s">
        <v>789</v>
      </c>
      <c r="B35" s="1" t="s">
        <v>2907</v>
      </c>
      <c r="C35" s="1" t="s">
        <v>2916</v>
      </c>
      <c r="D35" s="2">
        <v>372993</v>
      </c>
      <c r="E35" s="2">
        <v>406517</v>
      </c>
      <c r="F35" s="2">
        <v>432095</v>
      </c>
      <c r="G35" s="2" t="str" cm="1">
        <f t="array" aca="1" ref="G35" ca="1">IF(Background=36,C35,G34)</f>
        <v>晋中市</v>
      </c>
    </row>
    <row r="36" spans="1:7" ht="15.75" thickBot="1" x14ac:dyDescent="0.3">
      <c r="A36" t="s">
        <v>788</v>
      </c>
      <c r="B36" s="1" t="s">
        <v>2879</v>
      </c>
      <c r="C36" s="1" t="s">
        <v>2917</v>
      </c>
      <c r="D36" s="2">
        <v>243734</v>
      </c>
      <c r="E36" s="2">
        <v>261402</v>
      </c>
      <c r="F36" s="2">
        <v>246491</v>
      </c>
      <c r="G36" s="2" t="str" cm="1">
        <f t="array" aca="1" ref="G36" ca="1">IF(Background=36,C36,G35)</f>
        <v>晋中市</v>
      </c>
    </row>
    <row r="37" spans="1:7" ht="15.75" thickBot="1" x14ac:dyDescent="0.3">
      <c r="A37" t="s">
        <v>802</v>
      </c>
      <c r="B37" s="1" t="s">
        <v>2879</v>
      </c>
      <c r="C37" s="1" t="s">
        <v>2918</v>
      </c>
      <c r="D37" s="2">
        <v>477373</v>
      </c>
      <c r="E37" s="2">
        <v>502712</v>
      </c>
      <c r="F37" s="2">
        <v>450697</v>
      </c>
      <c r="G37" s="2" t="str" cm="1">
        <f t="array" aca="1" ref="G37" ca="1">IF(Background=36,C37,G36)</f>
        <v>晋中市</v>
      </c>
    </row>
    <row r="38" spans="1:7" ht="15.75" thickBot="1" x14ac:dyDescent="0.3">
      <c r="A38" t="s">
        <v>807</v>
      </c>
      <c r="B38" s="1" t="s">
        <v>2879</v>
      </c>
      <c r="C38" s="1" t="s">
        <v>2919</v>
      </c>
      <c r="D38" s="2">
        <v>253829</v>
      </c>
      <c r="E38" s="2">
        <v>265310</v>
      </c>
      <c r="F38" s="2">
        <v>254535</v>
      </c>
      <c r="G38" s="2" t="str" cm="1">
        <f t="array" aca="1" ref="G38" ca="1">IF(Background=36,C38,G37)</f>
        <v>晋中市</v>
      </c>
    </row>
    <row r="39" spans="1:7" ht="15.75" thickBot="1" x14ac:dyDescent="0.3">
      <c r="A39" t="s">
        <v>810</v>
      </c>
      <c r="B39" s="1" t="s">
        <v>2879</v>
      </c>
      <c r="C39" s="1" t="s">
        <v>2920</v>
      </c>
      <c r="D39" s="2">
        <v>210184</v>
      </c>
      <c r="E39" s="2">
        <v>211014</v>
      </c>
      <c r="F39" s="2">
        <v>200352</v>
      </c>
      <c r="G39" s="2" t="str" cm="1">
        <f t="array" aca="1" ref="G39" ca="1">IF(Background=36,C39,G38)</f>
        <v>晋中市</v>
      </c>
    </row>
    <row r="40" spans="1:7" ht="15.75" thickBot="1" x14ac:dyDescent="0.3">
      <c r="A40" t="s">
        <v>796</v>
      </c>
      <c r="B40" s="1" t="s">
        <v>2883</v>
      </c>
      <c r="C40" s="1" t="s">
        <v>2921</v>
      </c>
      <c r="D40" s="2">
        <v>285807</v>
      </c>
      <c r="E40" s="2">
        <v>298783</v>
      </c>
      <c r="F40" s="2">
        <v>322099</v>
      </c>
      <c r="G40" s="2" t="str" cm="1">
        <f t="array" aca="1" ref="G40" ca="1">IF(Background=36,C40,G39)</f>
        <v>晋中市</v>
      </c>
    </row>
    <row r="41" spans="1:7" ht="15.75" thickBot="1" x14ac:dyDescent="0.3">
      <c r="A41" t="s">
        <v>824</v>
      </c>
      <c r="B41" s="1" t="s">
        <v>2879</v>
      </c>
      <c r="C41" s="1" t="s">
        <v>2922</v>
      </c>
      <c r="D41" s="2">
        <v>221361</v>
      </c>
      <c r="E41" s="2">
        <v>227896</v>
      </c>
      <c r="F41" s="2">
        <v>190861</v>
      </c>
      <c r="G41" s="2" t="str" cm="1">
        <f t="array" aca="1" ref="G41" ca="1">IF(Background=36,C41,G40)</f>
        <v>晋中市</v>
      </c>
    </row>
    <row r="42" spans="1:7" ht="15.75" thickBot="1" x14ac:dyDescent="0.3">
      <c r="A42" t="s">
        <v>785</v>
      </c>
      <c r="B42" s="1" t="s">
        <v>2883</v>
      </c>
      <c r="C42" s="1" t="s">
        <v>2923</v>
      </c>
      <c r="D42" s="2">
        <v>534357</v>
      </c>
      <c r="E42" s="2">
        <v>635651</v>
      </c>
      <c r="F42" s="2">
        <v>904518</v>
      </c>
      <c r="G42" s="2" t="str" cm="1">
        <f t="array" aca="1" ref="G42" ca="1">IF(Background=36,C42,G41)</f>
        <v>晋中市</v>
      </c>
    </row>
    <row r="43" spans="1:7" ht="15.75" thickBot="1" x14ac:dyDescent="0.3">
      <c r="A43" t="s">
        <v>799</v>
      </c>
      <c r="B43" s="1" t="s">
        <v>2879</v>
      </c>
      <c r="C43" s="1" t="s">
        <v>2924</v>
      </c>
      <c r="D43" s="2">
        <v>126173</v>
      </c>
      <c r="E43" s="2">
        <v>134648</v>
      </c>
      <c r="F43" s="2">
        <v>111714</v>
      </c>
      <c r="G43" s="2" t="str" cm="1">
        <f t="array" aca="1" ref="G43" ca="1">IF(Background=36,C43,G42)</f>
        <v>晋中市</v>
      </c>
    </row>
    <row r="44" spans="1:7" ht="15.75" thickBot="1" x14ac:dyDescent="0.3">
      <c r="A44" t="s">
        <v>815</v>
      </c>
      <c r="B44" s="1" t="s">
        <v>2879</v>
      </c>
      <c r="C44" s="1" t="s">
        <v>2925</v>
      </c>
      <c r="D44" s="2">
        <v>156203</v>
      </c>
      <c r="E44" s="2">
        <v>161314</v>
      </c>
      <c r="F44" s="2">
        <v>144519</v>
      </c>
      <c r="G44" s="2" t="str" cm="1">
        <f t="array" aca="1" ref="G44" ca="1">IF(Background=36,C44,G43)</f>
        <v>晋中市</v>
      </c>
    </row>
    <row r="45" spans="1:7" ht="15.75" thickBot="1" x14ac:dyDescent="0.3">
      <c r="A45" t="s">
        <v>2926</v>
      </c>
      <c r="B45" s="3" t="s">
        <v>2877</v>
      </c>
      <c r="C45" s="3" t="s">
        <v>2927</v>
      </c>
      <c r="D45" s="4">
        <v>3950845</v>
      </c>
      <c r="E45" s="4">
        <v>4316610</v>
      </c>
      <c r="F45" s="4">
        <v>3976481</v>
      </c>
      <c r="G45" s="2" t="str" cm="1">
        <f t="array" aca="1" ref="G45" ca="1">IF(Background=36,C45,G44)</f>
        <v>临汾市</v>
      </c>
    </row>
    <row r="46" spans="1:7" ht="15.75" thickBot="1" x14ac:dyDescent="0.3">
      <c r="A46" t="s">
        <v>1126</v>
      </c>
      <c r="B46" s="1" t="s">
        <v>2879</v>
      </c>
      <c r="C46" s="1" t="s">
        <v>2928</v>
      </c>
      <c r="D46" s="2">
        <v>76139</v>
      </c>
      <c r="E46" s="2">
        <v>82012</v>
      </c>
      <c r="F46" s="2">
        <v>75574</v>
      </c>
      <c r="G46" s="2" t="str" cm="1">
        <f t="array" aca="1" ref="G46" ca="1">IF(Background=36,C46,G45)</f>
        <v>临汾市</v>
      </c>
    </row>
    <row r="47" spans="1:7" ht="15.75" thickBot="1" x14ac:dyDescent="0.3">
      <c r="A47" t="s">
        <v>1260</v>
      </c>
      <c r="B47" s="1" t="s">
        <v>2879</v>
      </c>
      <c r="C47" s="1" t="s">
        <v>2929</v>
      </c>
      <c r="D47" s="2">
        <v>56037</v>
      </c>
      <c r="E47" s="2">
        <v>64501</v>
      </c>
      <c r="F47" s="2">
        <v>52166</v>
      </c>
      <c r="G47" s="2" t="str" cm="1">
        <f t="array" aca="1" ref="G47" ca="1">IF(Background=36,C47,G46)</f>
        <v>临汾市</v>
      </c>
    </row>
    <row r="48" spans="1:7" ht="15.75" thickBot="1" x14ac:dyDescent="0.3">
      <c r="A48" t="s">
        <v>1113</v>
      </c>
      <c r="B48" s="1" t="s">
        <v>2879</v>
      </c>
      <c r="C48" s="1" t="s">
        <v>2930</v>
      </c>
      <c r="D48" s="2">
        <v>133836</v>
      </c>
      <c r="E48" s="2">
        <v>144791</v>
      </c>
      <c r="F48" s="2">
        <v>104627</v>
      </c>
      <c r="G48" s="2" t="str" cm="1">
        <f t="array" aca="1" ref="G48" ca="1">IF(Background=36,C48,G47)</f>
        <v>临汾市</v>
      </c>
    </row>
    <row r="49" spans="1:7" ht="15.75" thickBot="1" x14ac:dyDescent="0.3">
      <c r="A49" t="s">
        <v>1077</v>
      </c>
      <c r="B49" s="1" t="s">
        <v>2879</v>
      </c>
      <c r="C49" s="1" t="s">
        <v>2931</v>
      </c>
      <c r="D49" s="2">
        <v>121323</v>
      </c>
      <c r="E49" s="2">
        <v>127831</v>
      </c>
      <c r="F49" s="2">
        <v>98833</v>
      </c>
      <c r="G49" s="2" t="str" cm="1">
        <f t="array" aca="1" ref="G49" ca="1">IF(Background=36,C49,G48)</f>
        <v>临汾市</v>
      </c>
    </row>
    <row r="50" spans="1:7" ht="15.75" thickBot="1" x14ac:dyDescent="0.3">
      <c r="A50" t="s">
        <v>1082</v>
      </c>
      <c r="B50" s="1" t="s">
        <v>2879</v>
      </c>
      <c r="C50" s="1" t="s">
        <v>2932</v>
      </c>
      <c r="D50" s="2">
        <v>84696</v>
      </c>
      <c r="E50" s="2">
        <v>91798</v>
      </c>
      <c r="F50" s="2">
        <v>79816</v>
      </c>
      <c r="G50" s="2" t="str" cm="1">
        <f t="array" aca="1" ref="G50" ca="1">IF(Background=36,C50,G49)</f>
        <v>临汾市</v>
      </c>
    </row>
    <row r="51" spans="1:7" ht="15.75" thickBot="1" x14ac:dyDescent="0.3">
      <c r="A51" t="s">
        <v>1103</v>
      </c>
      <c r="B51" s="1" t="s">
        <v>2879</v>
      </c>
      <c r="C51" s="1" t="s">
        <v>2933</v>
      </c>
      <c r="D51" s="2">
        <v>693261</v>
      </c>
      <c r="E51" s="2">
        <v>733420</v>
      </c>
      <c r="F51" s="2">
        <v>637812</v>
      </c>
      <c r="G51" s="2" t="str" cm="1">
        <f t="array" aca="1" ref="G51" ca="1">IF(Background=36,C51,G50)</f>
        <v>临汾市</v>
      </c>
    </row>
    <row r="52" spans="1:7" ht="15.75" thickBot="1" x14ac:dyDescent="0.3">
      <c r="A52" t="s">
        <v>1133</v>
      </c>
      <c r="B52" s="1" t="s">
        <v>2907</v>
      </c>
      <c r="C52" s="1" t="s">
        <v>2934</v>
      </c>
      <c r="D52" s="2">
        <v>225123</v>
      </c>
      <c r="E52" s="2">
        <v>240005</v>
      </c>
      <c r="F52" s="2">
        <v>257854</v>
      </c>
      <c r="G52" s="2" t="str" cm="1">
        <f t="array" aca="1" ref="G52" ca="1">IF(Background=36,C52,G51)</f>
        <v>临汾市</v>
      </c>
    </row>
    <row r="53" spans="1:7" ht="15.75" thickBot="1" x14ac:dyDescent="0.3">
      <c r="A53" t="s">
        <v>1068</v>
      </c>
      <c r="B53" s="1" t="s">
        <v>2907</v>
      </c>
      <c r="C53" s="1" t="s">
        <v>2935</v>
      </c>
      <c r="D53" s="2">
        <v>274955</v>
      </c>
      <c r="E53" s="2">
        <v>282905</v>
      </c>
      <c r="F53" s="2">
        <v>272987</v>
      </c>
      <c r="G53" s="2" t="str" cm="1">
        <f t="array" aca="1" ref="G53" ca="1">IF(Background=36,C53,G52)</f>
        <v>临汾市</v>
      </c>
    </row>
    <row r="54" spans="1:7" ht="15.75" thickBot="1" x14ac:dyDescent="0.3">
      <c r="A54" t="s">
        <v>1071</v>
      </c>
      <c r="B54" s="1" t="s">
        <v>2879</v>
      </c>
      <c r="C54" s="1" t="s">
        <v>2936</v>
      </c>
      <c r="D54" s="2">
        <v>97096</v>
      </c>
      <c r="E54" s="2">
        <v>106407</v>
      </c>
      <c r="F54" s="2">
        <v>87374</v>
      </c>
      <c r="G54" s="2" t="str" cm="1">
        <f t="array" aca="1" ref="G54" ca="1">IF(Background=36,C54,G53)</f>
        <v>临汾市</v>
      </c>
    </row>
    <row r="55" spans="1:7" ht="15.75" thickBot="1" x14ac:dyDescent="0.3">
      <c r="A55" t="s">
        <v>1160</v>
      </c>
      <c r="B55" s="1" t="s">
        <v>2879</v>
      </c>
      <c r="C55" s="1" t="s">
        <v>2937</v>
      </c>
      <c r="D55" s="2">
        <v>98860</v>
      </c>
      <c r="E55" s="2">
        <v>107339</v>
      </c>
      <c r="F55" s="2">
        <v>95679</v>
      </c>
      <c r="G55" s="2" t="str" cm="1">
        <f t="array" aca="1" ref="G55" ca="1">IF(Background=36,C55,G54)</f>
        <v>临汾市</v>
      </c>
    </row>
    <row r="56" spans="1:7" ht="15.75" thickBot="1" x14ac:dyDescent="0.3">
      <c r="A56" t="s">
        <v>1074</v>
      </c>
      <c r="B56" s="1" t="s">
        <v>2879</v>
      </c>
      <c r="C56" s="1" t="s">
        <v>2938</v>
      </c>
      <c r="D56" s="2">
        <v>222391</v>
      </c>
      <c r="E56" s="2">
        <v>237033</v>
      </c>
      <c r="F56" s="2">
        <v>216595</v>
      </c>
      <c r="G56" s="2" t="str" cm="1">
        <f t="array" aca="1" ref="G56" ca="1">IF(Background=36,C56,G55)</f>
        <v>临汾市</v>
      </c>
    </row>
    <row r="57" spans="1:7" ht="15.75" thickBot="1" x14ac:dyDescent="0.3">
      <c r="A57" t="s">
        <v>1100</v>
      </c>
      <c r="B57" s="1" t="s">
        <v>2879</v>
      </c>
      <c r="C57" s="1" t="s">
        <v>2939</v>
      </c>
      <c r="D57" s="2">
        <v>466163</v>
      </c>
      <c r="E57" s="2">
        <v>442614</v>
      </c>
      <c r="F57" s="2">
        <v>425553</v>
      </c>
      <c r="G57" s="2" t="str" cm="1">
        <f t="array" aca="1" ref="G57" ca="1">IF(Background=36,C57,G56)</f>
        <v>临汾市</v>
      </c>
    </row>
    <row r="58" spans="1:7" ht="15.75" thickBot="1" x14ac:dyDescent="0.3">
      <c r="A58" t="s">
        <v>1090</v>
      </c>
      <c r="B58" s="1" t="s">
        <v>2879</v>
      </c>
      <c r="C58" s="1" t="s">
        <v>2940</v>
      </c>
      <c r="D58" s="2">
        <v>216408</v>
      </c>
      <c r="E58" s="2">
        <v>233167</v>
      </c>
      <c r="F58" s="2">
        <v>206892</v>
      </c>
      <c r="G58" s="2" t="str" cm="1">
        <f t="array" aca="1" ref="G58" ca="1">IF(Background=36,C58,G57)</f>
        <v>临汾市</v>
      </c>
    </row>
    <row r="59" spans="1:7" ht="15.75" thickBot="1" x14ac:dyDescent="0.3">
      <c r="A59" t="s">
        <v>1095</v>
      </c>
      <c r="B59" s="1" t="s">
        <v>2879</v>
      </c>
      <c r="C59" s="1" t="s">
        <v>2941</v>
      </c>
      <c r="D59" s="2">
        <v>95895</v>
      </c>
      <c r="E59" s="2">
        <v>103617</v>
      </c>
      <c r="F59" s="2">
        <v>91394</v>
      </c>
      <c r="G59" s="2" t="str" cm="1">
        <f t="array" aca="1" ref="G59" ca="1">IF(Background=36,C59,G58)</f>
        <v>临汾市</v>
      </c>
    </row>
    <row r="60" spans="1:7" ht="15.75" thickBot="1" x14ac:dyDescent="0.3">
      <c r="A60" t="s">
        <v>1087</v>
      </c>
      <c r="B60" s="1" t="s">
        <v>2883</v>
      </c>
      <c r="C60" s="1" t="s">
        <v>2942</v>
      </c>
      <c r="D60" s="2">
        <v>724403</v>
      </c>
      <c r="E60" s="2">
        <v>944050</v>
      </c>
      <c r="F60" s="2">
        <v>959198</v>
      </c>
      <c r="G60" s="2" t="str" cm="1">
        <f t="array" aca="1" ref="G60" ca="1">IF(Background=36,C60,G59)</f>
        <v>临汾市</v>
      </c>
    </row>
    <row r="61" spans="1:7" ht="15.75" thickBot="1" x14ac:dyDescent="0.3">
      <c r="A61" t="s">
        <v>1187</v>
      </c>
      <c r="B61" s="1" t="s">
        <v>2879</v>
      </c>
      <c r="C61" s="1" t="s">
        <v>2943</v>
      </c>
      <c r="D61" s="2">
        <v>303258</v>
      </c>
      <c r="E61" s="2">
        <v>311471</v>
      </c>
      <c r="F61" s="2">
        <v>264181</v>
      </c>
      <c r="G61" s="2" t="str" cm="1">
        <f t="array" aca="1" ref="G61" ca="1">IF(Background=36,C61,G60)</f>
        <v>临汾市</v>
      </c>
    </row>
    <row r="62" spans="1:7" ht="15.75" thickBot="1" x14ac:dyDescent="0.3">
      <c r="A62" t="s">
        <v>1106</v>
      </c>
      <c r="B62" s="1" t="s">
        <v>2879</v>
      </c>
      <c r="C62" s="1" t="s">
        <v>2944</v>
      </c>
      <c r="D62" s="2">
        <v>61001</v>
      </c>
      <c r="E62" s="2">
        <v>63649</v>
      </c>
      <c r="F62" s="2">
        <v>49946</v>
      </c>
      <c r="G62" s="2" t="str" cm="1">
        <f t="array" aca="1" ref="G62" ca="1">IF(Background=36,C62,G61)</f>
        <v>临汾市</v>
      </c>
    </row>
    <row r="63" spans="1:7" ht="15.75" thickBot="1" x14ac:dyDescent="0.3">
      <c r="A63" t="s">
        <v>2945</v>
      </c>
      <c r="B63" s="3" t="s">
        <v>2877</v>
      </c>
      <c r="C63" s="3" t="s">
        <v>2946</v>
      </c>
      <c r="D63" s="4">
        <v>3382280</v>
      </c>
      <c r="E63" s="4">
        <v>3727068</v>
      </c>
      <c r="F63" s="4">
        <v>3398431</v>
      </c>
      <c r="G63" s="2" t="str" cm="1">
        <f t="array" aca="1" ref="G63" ca="1">IF(Background=36,C63,G62)</f>
        <v>吕梁市</v>
      </c>
    </row>
    <row r="64" spans="1:7" ht="15.75" thickBot="1" x14ac:dyDescent="0.3">
      <c r="A64" t="s">
        <v>1423</v>
      </c>
      <c r="B64" s="1" t="s">
        <v>2879</v>
      </c>
      <c r="C64" s="1" t="s">
        <v>2947</v>
      </c>
      <c r="D64" s="2">
        <v>135598</v>
      </c>
      <c r="E64" s="2">
        <v>143809</v>
      </c>
      <c r="F64" s="2">
        <v>112692</v>
      </c>
      <c r="G64" s="2" t="str" cm="1">
        <f t="array" aca="1" ref="G64" ca="1">IF(Background=36,C64,G63)</f>
        <v>吕梁市</v>
      </c>
    </row>
    <row r="65" spans="1:7" ht="15.75" thickBot="1" x14ac:dyDescent="0.3">
      <c r="A65" t="s">
        <v>1507</v>
      </c>
      <c r="B65" s="1" t="s">
        <v>2907</v>
      </c>
      <c r="C65" s="1" t="s">
        <v>2948</v>
      </c>
      <c r="D65" s="2">
        <v>387046</v>
      </c>
      <c r="E65" s="2">
        <v>416212</v>
      </c>
      <c r="F65" s="2">
        <v>407647</v>
      </c>
      <c r="G65" s="2" t="str" cm="1">
        <f t="array" aca="1" ref="G65" ca="1">IF(Background=36,C65,G64)</f>
        <v>吕梁市</v>
      </c>
    </row>
    <row r="66" spans="1:7" ht="15.75" thickBot="1" x14ac:dyDescent="0.3">
      <c r="A66" t="s">
        <v>1469</v>
      </c>
      <c r="B66" s="1" t="s">
        <v>2879</v>
      </c>
      <c r="C66" s="1" t="s">
        <v>2949</v>
      </c>
      <c r="D66" s="2">
        <v>207404</v>
      </c>
      <c r="E66" s="2">
        <v>230521</v>
      </c>
      <c r="F66" s="2">
        <v>226768</v>
      </c>
      <c r="G66" s="2" t="str" cm="1">
        <f t="array" aca="1" ref="G66" ca="1">IF(Background=36,C66,G65)</f>
        <v>吕梁市</v>
      </c>
    </row>
    <row r="67" spans="1:7" ht="15.75" thickBot="1" x14ac:dyDescent="0.3">
      <c r="A67" t="s">
        <v>1502</v>
      </c>
      <c r="B67" s="1" t="s">
        <v>2879</v>
      </c>
      <c r="C67" s="1" t="s">
        <v>2950</v>
      </c>
      <c r="D67" s="2">
        <v>107461</v>
      </c>
      <c r="E67" s="2">
        <v>119918</v>
      </c>
      <c r="F67" s="2">
        <v>95313</v>
      </c>
      <c r="G67" s="2" t="str" cm="1">
        <f t="array" aca="1" ref="G67" ca="1">IF(Background=36,C67,G66)</f>
        <v>吕梁市</v>
      </c>
    </row>
    <row r="68" spans="1:7" ht="15.75" thickBot="1" x14ac:dyDescent="0.3">
      <c r="A68" t="s">
        <v>1456</v>
      </c>
      <c r="B68" s="1" t="s">
        <v>2879</v>
      </c>
      <c r="C68" s="1" t="s">
        <v>2951</v>
      </c>
      <c r="D68" s="2">
        <v>163897</v>
      </c>
      <c r="E68" s="2">
        <v>174182</v>
      </c>
      <c r="F68" s="2">
        <v>148315</v>
      </c>
      <c r="G68" s="2" t="str" cm="1">
        <f t="array" aca="1" ref="G68" ca="1">IF(Background=36,C68,G67)</f>
        <v>吕梁市</v>
      </c>
    </row>
    <row r="69" spans="1:7" ht="15.75" thickBot="1" x14ac:dyDescent="0.3">
      <c r="A69" t="s">
        <v>1411</v>
      </c>
      <c r="B69" s="1" t="s">
        <v>2879</v>
      </c>
      <c r="C69" s="1" t="s">
        <v>2952</v>
      </c>
      <c r="D69" s="2">
        <v>553440</v>
      </c>
      <c r="E69" s="2">
        <v>579077</v>
      </c>
      <c r="F69" s="2">
        <v>394713</v>
      </c>
      <c r="G69" s="2" t="str" cm="1">
        <f t="array" aca="1" ref="G69" ca="1">IF(Background=36,C69,G68)</f>
        <v>吕梁市</v>
      </c>
    </row>
    <row r="70" spans="1:7" ht="15.75" thickBot="1" x14ac:dyDescent="0.3">
      <c r="A70" t="s">
        <v>1427</v>
      </c>
      <c r="B70" s="1" t="s">
        <v>2883</v>
      </c>
      <c r="C70" s="1" t="s">
        <v>2953</v>
      </c>
      <c r="D70" s="2">
        <v>235678</v>
      </c>
      <c r="E70" s="2">
        <v>320142</v>
      </c>
      <c r="F70" s="2">
        <v>456355</v>
      </c>
      <c r="G70" s="2" t="str" cm="1">
        <f t="array" aca="1" ref="G70" ca="1">IF(Background=36,C70,G69)</f>
        <v>吕梁市</v>
      </c>
    </row>
    <row r="71" spans="1:7" ht="15.75" thickBot="1" x14ac:dyDescent="0.3">
      <c r="A71" t="s">
        <v>1444</v>
      </c>
      <c r="B71" s="1" t="s">
        <v>2879</v>
      </c>
      <c r="C71" s="1" t="s">
        <v>2954</v>
      </c>
      <c r="D71" s="2">
        <v>282840</v>
      </c>
      <c r="E71" s="2">
        <v>320676</v>
      </c>
      <c r="F71" s="2">
        <v>287969</v>
      </c>
      <c r="G71" s="2" t="str" cm="1">
        <f t="array" aca="1" ref="G71" ca="1">IF(Background=36,C71,G70)</f>
        <v>吕梁市</v>
      </c>
    </row>
    <row r="72" spans="1:7" ht="15.75" thickBot="1" x14ac:dyDescent="0.3">
      <c r="A72" t="s">
        <v>1434</v>
      </c>
      <c r="B72" s="1" t="s">
        <v>2879</v>
      </c>
      <c r="C72" s="1" t="s">
        <v>2955</v>
      </c>
      <c r="D72" s="2">
        <v>101858</v>
      </c>
      <c r="E72" s="2">
        <v>111815</v>
      </c>
      <c r="F72" s="2">
        <v>96808</v>
      </c>
      <c r="G72" s="2" t="str" cm="1">
        <f t="array" aca="1" ref="G72" ca="1">IF(Background=36,C72,G71)</f>
        <v>吕梁市</v>
      </c>
    </row>
    <row r="73" spans="1:7" ht="15.75" thickBot="1" x14ac:dyDescent="0.3">
      <c r="A73" t="s">
        <v>1426</v>
      </c>
      <c r="B73" s="1" t="s">
        <v>2879</v>
      </c>
      <c r="C73" s="1" t="s">
        <v>2956</v>
      </c>
      <c r="D73" s="2">
        <v>401641</v>
      </c>
      <c r="E73" s="2">
        <v>421199</v>
      </c>
      <c r="F73" s="2">
        <v>372580</v>
      </c>
      <c r="G73" s="2" t="str" cm="1">
        <f t="array" aca="1" ref="G73" ca="1">IF(Background=36,C73,G72)</f>
        <v>吕梁市</v>
      </c>
    </row>
    <row r="74" spans="1:7" ht="15.75" thickBot="1" x14ac:dyDescent="0.3">
      <c r="A74" t="s">
        <v>1451</v>
      </c>
      <c r="B74" s="1" t="s">
        <v>2907</v>
      </c>
      <c r="C74" s="1" t="s">
        <v>2957</v>
      </c>
      <c r="D74" s="2">
        <v>414154</v>
      </c>
      <c r="E74" s="2">
        <v>468770</v>
      </c>
      <c r="F74" s="2">
        <v>477289</v>
      </c>
      <c r="G74" s="2" t="str" cm="1">
        <f t="array" aca="1" ref="G74" ca="1">IF(Background=36,C74,G73)</f>
        <v>吕梁市</v>
      </c>
    </row>
    <row r="75" spans="1:7" ht="15.75" thickBot="1" x14ac:dyDescent="0.3">
      <c r="A75" t="s">
        <v>1416</v>
      </c>
      <c r="B75" s="1" t="s">
        <v>2879</v>
      </c>
      <c r="C75" s="1" t="s">
        <v>2958</v>
      </c>
      <c r="D75" s="2">
        <v>259451</v>
      </c>
      <c r="E75" s="2">
        <v>279373</v>
      </c>
      <c r="F75" s="2">
        <v>183484</v>
      </c>
      <c r="G75" s="2" t="str" cm="1">
        <f t="array" aca="1" ref="G75" ca="1">IF(Background=36,C75,G74)</f>
        <v>吕梁市</v>
      </c>
    </row>
    <row r="76" spans="1:7" ht="15.75" thickBot="1" x14ac:dyDescent="0.3">
      <c r="A76" t="s">
        <v>1439</v>
      </c>
      <c r="B76" s="1" t="s">
        <v>2879</v>
      </c>
      <c r="C76" s="1" t="s">
        <v>2959</v>
      </c>
      <c r="D76" s="2">
        <v>131812</v>
      </c>
      <c r="E76" s="2">
        <v>141374</v>
      </c>
      <c r="F76" s="2">
        <v>138498</v>
      </c>
      <c r="G76" s="2" t="str" cm="1">
        <f t="array" aca="1" ref="G76" ca="1">IF(Background=36,C76,G75)</f>
        <v>吕梁市</v>
      </c>
    </row>
    <row r="77" spans="1:7" ht="15.75" thickBot="1" x14ac:dyDescent="0.3">
      <c r="A77" t="s">
        <v>2960</v>
      </c>
      <c r="B77" s="3" t="s">
        <v>2877</v>
      </c>
      <c r="C77" s="3" t="s">
        <v>2961</v>
      </c>
      <c r="D77" s="4">
        <v>1451875</v>
      </c>
      <c r="E77" s="4">
        <v>1714857</v>
      </c>
      <c r="F77" s="4">
        <v>1593444</v>
      </c>
      <c r="G77" s="2" t="str" cm="1">
        <f t="array" aca="1" ref="G77" ca="1">IF(Background=36,C77,G76)</f>
        <v>朔州市</v>
      </c>
    </row>
    <row r="78" spans="1:7" ht="15.75" thickBot="1" x14ac:dyDescent="0.3">
      <c r="A78" t="s">
        <v>1771</v>
      </c>
      <c r="B78" s="1" t="s">
        <v>2907</v>
      </c>
      <c r="C78" s="1" t="s">
        <v>2962</v>
      </c>
      <c r="D78" s="2">
        <v>286054</v>
      </c>
      <c r="E78" s="2">
        <v>326849</v>
      </c>
      <c r="F78" s="2">
        <v>348470</v>
      </c>
      <c r="G78" s="2" t="str" cm="1">
        <f t="array" aca="1" ref="G78" ca="1">IF(Background=36,C78,G77)</f>
        <v>朔州市</v>
      </c>
    </row>
    <row r="79" spans="1:7" ht="15.75" thickBot="1" x14ac:dyDescent="0.3">
      <c r="A79" t="s">
        <v>1742</v>
      </c>
      <c r="B79" s="1" t="s">
        <v>2883</v>
      </c>
      <c r="C79" s="1" t="s">
        <v>2963</v>
      </c>
      <c r="D79" s="2">
        <v>175258</v>
      </c>
      <c r="E79" s="2">
        <v>203793</v>
      </c>
      <c r="F79" s="2">
        <v>148212</v>
      </c>
      <c r="G79" s="2" t="str" cm="1">
        <f t="array" aca="1" ref="G79" ca="1">IF(Background=36,C79,G78)</f>
        <v>朔州市</v>
      </c>
    </row>
    <row r="80" spans="1:7" ht="15.75" thickBot="1" x14ac:dyDescent="0.3">
      <c r="A80" t="s">
        <v>1736</v>
      </c>
      <c r="B80" s="1" t="s">
        <v>2879</v>
      </c>
      <c r="C80" s="1" t="s">
        <v>2964</v>
      </c>
      <c r="D80" s="2">
        <v>217299</v>
      </c>
      <c r="E80" s="2">
        <v>238885</v>
      </c>
      <c r="F80" s="2">
        <v>199505</v>
      </c>
      <c r="G80" s="2" t="str" cm="1">
        <f t="array" aca="1" ref="G80" ca="1">IF(Background=36,C80,G79)</f>
        <v>朔州市</v>
      </c>
    </row>
    <row r="81" spans="1:7" ht="15.75" thickBot="1" x14ac:dyDescent="0.3">
      <c r="A81" t="s">
        <v>1746</v>
      </c>
      <c r="B81" s="1" t="s">
        <v>2883</v>
      </c>
      <c r="C81" s="1" t="s">
        <v>2965</v>
      </c>
      <c r="D81" s="2">
        <v>388638</v>
      </c>
      <c r="E81" s="2">
        <v>505294</v>
      </c>
      <c r="F81" s="2">
        <v>565075</v>
      </c>
      <c r="G81" s="2" t="str" cm="1">
        <f t="array" aca="1" ref="G81" ca="1">IF(Background=36,C81,G80)</f>
        <v>朔州市</v>
      </c>
    </row>
    <row r="82" spans="1:7" ht="15.75" thickBot="1" x14ac:dyDescent="0.3">
      <c r="A82" t="s">
        <v>1739</v>
      </c>
      <c r="B82" s="1" t="s">
        <v>2879</v>
      </c>
      <c r="C82" s="1" t="s">
        <v>2966</v>
      </c>
      <c r="D82" s="2">
        <v>279483</v>
      </c>
      <c r="E82" s="2">
        <v>327973</v>
      </c>
      <c r="F82" s="2">
        <v>243970</v>
      </c>
      <c r="G82" s="2" t="str" cm="1">
        <f t="array" aca="1" ref="G82" ca="1">IF(Background=36,C82,G81)</f>
        <v>朔州市</v>
      </c>
    </row>
    <row r="83" spans="1:7" ht="15.75" thickBot="1" x14ac:dyDescent="0.3">
      <c r="A83" t="s">
        <v>1745</v>
      </c>
      <c r="B83" s="1" t="s">
        <v>2879</v>
      </c>
      <c r="C83" s="1" t="s">
        <v>2967</v>
      </c>
      <c r="D83" s="2">
        <v>105143</v>
      </c>
      <c r="E83" s="2">
        <v>112063</v>
      </c>
      <c r="F83" s="2">
        <v>88212</v>
      </c>
      <c r="G83" s="2" t="str" cm="1">
        <f t="array" aca="1" ref="G83" ca="1">IF(Background=36,C83,G82)</f>
        <v>朔州市</v>
      </c>
    </row>
    <row r="84" spans="1:7" ht="15.75" thickBot="1" x14ac:dyDescent="0.3">
      <c r="A84" t="s">
        <v>2968</v>
      </c>
      <c r="B84" s="3" t="s">
        <v>2877</v>
      </c>
      <c r="C84" s="3" t="s">
        <v>2969</v>
      </c>
      <c r="D84" s="4">
        <v>3344392</v>
      </c>
      <c r="E84" s="4">
        <v>4201592</v>
      </c>
      <c r="F84" s="4">
        <v>5304061</v>
      </c>
      <c r="G84" s="2" t="str" cm="1">
        <f t="array" aca="1" ref="G84" ca="1">IF(Background=36,C84,G83)</f>
        <v>太原市</v>
      </c>
    </row>
    <row r="85" spans="1:7" ht="15.75" thickBot="1" x14ac:dyDescent="0.3">
      <c r="A85" t="s">
        <v>1903</v>
      </c>
      <c r="B85" s="1" t="s">
        <v>2907</v>
      </c>
      <c r="C85" s="1" t="s">
        <v>2970</v>
      </c>
      <c r="D85" s="2">
        <v>205702</v>
      </c>
      <c r="E85" s="2">
        <v>205143</v>
      </c>
      <c r="F85" s="2">
        <v>210757</v>
      </c>
      <c r="G85" s="2" t="str" cm="1">
        <f t="array" aca="1" ref="G85" ca="1">IF(Background=36,C85,G84)</f>
        <v>太原市</v>
      </c>
    </row>
    <row r="86" spans="1:7" ht="15.75" thickBot="1" x14ac:dyDescent="0.3">
      <c r="A86" t="s">
        <v>1884</v>
      </c>
      <c r="B86" s="1" t="s">
        <v>2883</v>
      </c>
      <c r="C86" s="1" t="s">
        <v>2971</v>
      </c>
      <c r="D86" s="2">
        <v>338417</v>
      </c>
      <c r="E86" s="2">
        <v>415705</v>
      </c>
      <c r="F86" s="2">
        <v>530499</v>
      </c>
      <c r="G86" s="2" t="str" cm="1">
        <f t="array" aca="1" ref="G86" ca="1">IF(Background=36,C86,G85)</f>
        <v>太原市</v>
      </c>
    </row>
    <row r="87" spans="1:7" ht="15.75" thickBot="1" x14ac:dyDescent="0.3">
      <c r="A87" t="s">
        <v>1961</v>
      </c>
      <c r="B87" s="1" t="s">
        <v>2883</v>
      </c>
      <c r="C87" s="1" t="s">
        <v>2972</v>
      </c>
      <c r="D87" s="2">
        <v>180165</v>
      </c>
      <c r="E87" s="2">
        <v>221431</v>
      </c>
      <c r="F87" s="2">
        <v>316445</v>
      </c>
      <c r="G87" s="2" t="str" cm="1">
        <f t="array" aca="1" ref="G87" ca="1">IF(Background=36,C87,G86)</f>
        <v>太原市</v>
      </c>
    </row>
    <row r="88" spans="1:7" ht="15.75" thickBot="1" x14ac:dyDescent="0.3">
      <c r="A88" t="s">
        <v>1925</v>
      </c>
      <c r="B88" s="1" t="s">
        <v>2879</v>
      </c>
      <c r="C88" s="1" t="s">
        <v>2973</v>
      </c>
      <c r="D88" s="2">
        <v>109412</v>
      </c>
      <c r="E88" s="2">
        <v>105841</v>
      </c>
      <c r="F88" s="2">
        <v>91208</v>
      </c>
      <c r="G88" s="2" t="str" cm="1">
        <f t="array" aca="1" ref="G88" ca="1">IF(Background=36,C88,G87)</f>
        <v>太原市</v>
      </c>
    </row>
    <row r="89" spans="1:7" ht="15.75" thickBot="1" x14ac:dyDescent="0.3">
      <c r="A89" t="s">
        <v>1920</v>
      </c>
      <c r="B89" s="1" t="s">
        <v>2879</v>
      </c>
      <c r="C89" s="1" t="s">
        <v>2974</v>
      </c>
      <c r="D89" s="2">
        <v>328787</v>
      </c>
      <c r="E89" s="2">
        <v>343861</v>
      </c>
      <c r="F89" s="2">
        <v>344472</v>
      </c>
      <c r="G89" s="2" t="str" cm="1">
        <f t="array" aca="1" ref="G89" ca="1">IF(Background=36,C89,G88)</f>
        <v>太原市</v>
      </c>
    </row>
    <row r="90" spans="1:7" ht="15.75" thickBot="1" x14ac:dyDescent="0.3">
      <c r="A90" t="s">
        <v>1887</v>
      </c>
      <c r="B90" s="1" t="s">
        <v>2883</v>
      </c>
      <c r="C90" s="1" t="s">
        <v>2975</v>
      </c>
      <c r="D90" s="2">
        <v>556931</v>
      </c>
      <c r="E90" s="2">
        <v>749255</v>
      </c>
      <c r="F90" s="2">
        <v>951238</v>
      </c>
      <c r="G90" s="2" t="str" cm="1">
        <f t="array" aca="1" ref="G90" ca="1">IF(Background=36,C90,G89)</f>
        <v>太原市</v>
      </c>
    </row>
    <row r="91" spans="1:7" ht="15.75" thickBot="1" x14ac:dyDescent="0.3">
      <c r="A91" t="s">
        <v>1893</v>
      </c>
      <c r="B91" s="1" t="s">
        <v>2883</v>
      </c>
      <c r="C91" s="1" t="s">
        <v>2976</v>
      </c>
      <c r="D91" s="2">
        <v>491250</v>
      </c>
      <c r="E91" s="2">
        <v>804537</v>
      </c>
      <c r="F91" s="2">
        <v>1357242</v>
      </c>
      <c r="G91" s="2" t="str" cm="1">
        <f t="array" aca="1" ref="G91" ca="1">IF(Background=36,C91,G90)</f>
        <v>太原市</v>
      </c>
    </row>
    <row r="92" spans="1:7" ht="15.75" thickBot="1" x14ac:dyDescent="0.3">
      <c r="A92" t="s">
        <v>1890</v>
      </c>
      <c r="B92" s="1" t="s">
        <v>2883</v>
      </c>
      <c r="C92" s="1" t="s">
        <v>2977</v>
      </c>
      <c r="D92" s="2">
        <v>520702</v>
      </c>
      <c r="E92" s="2">
        <v>643584</v>
      </c>
      <c r="F92" s="2">
        <v>779479</v>
      </c>
      <c r="G92" s="2" t="str" cm="1">
        <f t="array" aca="1" ref="G92" ca="1">IF(Background=36,C92,G91)</f>
        <v>太原市</v>
      </c>
    </row>
    <row r="93" spans="1:7" ht="15.75" thickBot="1" x14ac:dyDescent="0.3">
      <c r="A93" t="s">
        <v>1896</v>
      </c>
      <c r="B93" s="1" t="s">
        <v>2879</v>
      </c>
      <c r="C93" s="1" t="s">
        <v>2978</v>
      </c>
      <c r="D93" s="2">
        <v>142109</v>
      </c>
      <c r="E93" s="2">
        <v>120228</v>
      </c>
      <c r="F93" s="2">
        <v>128483</v>
      </c>
      <c r="G93" s="2" t="str" cm="1">
        <f t="array" aca="1" ref="G93" ca="1">IF(Background=36,C93,G92)</f>
        <v>太原市</v>
      </c>
    </row>
    <row r="94" spans="1:7" ht="15.75" thickBot="1" x14ac:dyDescent="0.3">
      <c r="A94" t="s">
        <v>1938</v>
      </c>
      <c r="B94" s="1" t="s">
        <v>2883</v>
      </c>
      <c r="C94" s="1" t="s">
        <v>2979</v>
      </c>
      <c r="D94" s="2">
        <v>470917</v>
      </c>
      <c r="E94" s="2">
        <v>592007</v>
      </c>
      <c r="F94" s="2">
        <v>594238</v>
      </c>
      <c r="G94" s="2" t="str" cm="1">
        <f t="array" aca="1" ref="G94" ca="1">IF(Background=36,C94,G93)</f>
        <v>太原市</v>
      </c>
    </row>
    <row r="95" spans="1:7" ht="15.75" thickBot="1" x14ac:dyDescent="0.3">
      <c r="A95" t="s">
        <v>2980</v>
      </c>
      <c r="B95" s="3" t="s">
        <v>2877</v>
      </c>
      <c r="C95" s="3" t="s">
        <v>2981</v>
      </c>
      <c r="D95" s="4">
        <v>2938344</v>
      </c>
      <c r="E95" s="4">
        <v>3067503</v>
      </c>
      <c r="F95" s="4">
        <v>2689668</v>
      </c>
      <c r="G95" s="2" t="str" cm="1">
        <f t="array" aca="1" ref="G95" ca="1">IF(Background=36,C95,G94)</f>
        <v>忻州市</v>
      </c>
    </row>
    <row r="96" spans="1:7" ht="15.75" thickBot="1" x14ac:dyDescent="0.3">
      <c r="A96" t="s">
        <v>2158</v>
      </c>
      <c r="B96" s="1" t="s">
        <v>2879</v>
      </c>
      <c r="C96" s="1" t="s">
        <v>2982</v>
      </c>
      <c r="D96" s="2">
        <v>146995</v>
      </c>
      <c r="E96" s="2">
        <v>160035</v>
      </c>
      <c r="F96" s="2">
        <v>144218</v>
      </c>
      <c r="G96" s="2" t="str" cm="1">
        <f t="array" aca="1" ref="G96" ca="1">IF(Background=36,C96,G95)</f>
        <v>忻州市</v>
      </c>
    </row>
    <row r="97" spans="1:7" ht="15.75" thickBot="1" x14ac:dyDescent="0.3">
      <c r="A97" t="s">
        <v>2190</v>
      </c>
      <c r="B97" s="1" t="s">
        <v>2879</v>
      </c>
      <c r="C97" s="1" t="s">
        <v>2983</v>
      </c>
      <c r="D97" s="2">
        <v>203311</v>
      </c>
      <c r="E97" s="2">
        <v>214091</v>
      </c>
      <c r="F97" s="2">
        <v>178870</v>
      </c>
      <c r="G97" s="2" t="str" cm="1">
        <f t="array" aca="1" ref="G97" ca="1">IF(Background=36,C97,G96)</f>
        <v>忻州市</v>
      </c>
    </row>
    <row r="98" spans="1:7" ht="15.75" thickBot="1" x14ac:dyDescent="0.3">
      <c r="A98" t="s">
        <v>2221</v>
      </c>
      <c r="B98" s="1" t="s">
        <v>2879</v>
      </c>
      <c r="C98" s="1" t="s">
        <v>2984</v>
      </c>
      <c r="D98" s="2">
        <v>211104</v>
      </c>
      <c r="E98" s="2">
        <v>217468</v>
      </c>
      <c r="F98" s="2">
        <v>193997</v>
      </c>
      <c r="G98" s="2" t="str" cm="1">
        <f t="array" aca="1" ref="G98" ca="1">IF(Background=36,C98,G97)</f>
        <v>忻州市</v>
      </c>
    </row>
    <row r="99" spans="1:7" ht="15.75" thickBot="1" x14ac:dyDescent="0.3">
      <c r="A99" t="s">
        <v>2106</v>
      </c>
      <c r="B99" s="1" t="s">
        <v>2879</v>
      </c>
      <c r="C99" s="1" t="s">
        <v>2985</v>
      </c>
      <c r="D99" s="2">
        <v>241938</v>
      </c>
      <c r="E99" s="2">
        <v>266800</v>
      </c>
      <c r="F99" s="2">
        <v>250409</v>
      </c>
      <c r="G99" s="2" t="str" cm="1">
        <f t="array" aca="1" ref="G99" ca="1">IF(Background=36,C99,G98)</f>
        <v>忻州市</v>
      </c>
    </row>
    <row r="100" spans="1:7" ht="15.75" thickBot="1" x14ac:dyDescent="0.3">
      <c r="A100" t="s">
        <v>2147</v>
      </c>
      <c r="B100" s="1" t="s">
        <v>2879</v>
      </c>
      <c r="C100" s="1" t="s">
        <v>2986</v>
      </c>
      <c r="D100" s="2">
        <v>138811</v>
      </c>
      <c r="E100" s="2">
        <v>145136</v>
      </c>
      <c r="F100" s="2">
        <v>123505</v>
      </c>
      <c r="G100" s="2" t="str" cm="1">
        <f t="array" aca="1" ref="G100" ca="1">IF(Background=36,C100,G99)</f>
        <v>忻州市</v>
      </c>
    </row>
    <row r="101" spans="1:7" ht="15.75" thickBot="1" x14ac:dyDescent="0.3">
      <c r="A101" t="s">
        <v>2137</v>
      </c>
      <c r="B101" s="1" t="s">
        <v>2879</v>
      </c>
      <c r="C101" s="1" t="s">
        <v>2987</v>
      </c>
      <c r="D101" s="2">
        <v>155740</v>
      </c>
      <c r="E101" s="2">
        <v>156846</v>
      </c>
      <c r="F101" s="2">
        <v>119277</v>
      </c>
      <c r="G101" s="2" t="str" cm="1">
        <f t="array" aca="1" ref="G101" ca="1">IF(Background=36,C101,G100)</f>
        <v>忻州市</v>
      </c>
    </row>
    <row r="102" spans="1:7" ht="15.75" thickBot="1" x14ac:dyDescent="0.3">
      <c r="A102" t="s">
        <v>2140</v>
      </c>
      <c r="B102" s="1" t="s">
        <v>2879</v>
      </c>
      <c r="C102" s="1" t="s">
        <v>2988</v>
      </c>
      <c r="D102" s="2">
        <v>80760</v>
      </c>
      <c r="E102" s="2">
        <v>84395</v>
      </c>
      <c r="F102" s="2">
        <v>69324</v>
      </c>
      <c r="G102" s="2" t="str" cm="1">
        <f t="array" aca="1" ref="G102" ca="1">IF(Background=36,C102,G101)</f>
        <v>忻州市</v>
      </c>
    </row>
    <row r="103" spans="1:7" ht="15.75" thickBot="1" x14ac:dyDescent="0.3">
      <c r="A103" t="s">
        <v>2121</v>
      </c>
      <c r="B103" s="1" t="s">
        <v>2879</v>
      </c>
      <c r="C103" s="1" t="s">
        <v>2989</v>
      </c>
      <c r="D103" s="2">
        <v>152938</v>
      </c>
      <c r="E103" s="2">
        <v>161164</v>
      </c>
      <c r="F103" s="2">
        <v>136470</v>
      </c>
      <c r="G103" s="2" t="str" cm="1">
        <f t="array" aca="1" ref="G103" ca="1">IF(Background=36,C103,G102)</f>
        <v>忻州市</v>
      </c>
    </row>
    <row r="104" spans="1:7" ht="15.75" thickBot="1" x14ac:dyDescent="0.3">
      <c r="A104" t="s">
        <v>2132</v>
      </c>
      <c r="B104" s="1" t="s">
        <v>2879</v>
      </c>
      <c r="C104" s="1" t="s">
        <v>2990</v>
      </c>
      <c r="D104" s="2">
        <v>112324</v>
      </c>
      <c r="E104" s="2">
        <v>112111</v>
      </c>
      <c r="F104" s="2">
        <v>73382</v>
      </c>
      <c r="G104" s="2" t="str" cm="1">
        <f t="array" aca="1" ref="G104" ca="1">IF(Background=36,C104,G103)</f>
        <v>忻州市</v>
      </c>
    </row>
    <row r="105" spans="1:7" ht="15.75" thickBot="1" x14ac:dyDescent="0.3">
      <c r="A105" t="s">
        <v>2112</v>
      </c>
      <c r="B105" s="1" t="s">
        <v>2879</v>
      </c>
      <c r="C105" s="1" t="s">
        <v>2991</v>
      </c>
      <c r="D105" s="2">
        <v>103990</v>
      </c>
      <c r="E105" s="2">
        <v>106538</v>
      </c>
      <c r="F105" s="2">
        <v>75757</v>
      </c>
      <c r="G105" s="2" t="str" cm="1">
        <f t="array" aca="1" ref="G105" ca="1">IF(Background=36,C105,G104)</f>
        <v>忻州市</v>
      </c>
    </row>
    <row r="106" spans="1:7" ht="15.75" thickBot="1" x14ac:dyDescent="0.3">
      <c r="A106" t="s">
        <v>2109</v>
      </c>
      <c r="B106" s="1" t="s">
        <v>2879</v>
      </c>
      <c r="C106" s="1" t="s">
        <v>2992</v>
      </c>
      <c r="D106" s="2">
        <v>313321</v>
      </c>
      <c r="E106" s="2">
        <v>299391</v>
      </c>
      <c r="F106" s="2">
        <v>233228</v>
      </c>
      <c r="G106" s="2" t="str" cm="1">
        <f t="array" aca="1" ref="G106" ca="1">IF(Background=36,C106,G105)</f>
        <v>忻州市</v>
      </c>
    </row>
    <row r="107" spans="1:7" ht="15.75" thickBot="1" x14ac:dyDescent="0.3">
      <c r="A107" t="s">
        <v>2173</v>
      </c>
      <c r="B107" s="1" t="s">
        <v>2879</v>
      </c>
      <c r="C107" s="1" t="s">
        <v>2993</v>
      </c>
      <c r="D107" s="2">
        <v>108651</v>
      </c>
      <c r="E107" s="2">
        <v>107632</v>
      </c>
      <c r="F107" s="2">
        <v>100220</v>
      </c>
      <c r="G107" s="2" t="str" cm="1">
        <f t="array" aca="1" ref="G107" ca="1">IF(Background=36,C107,G106)</f>
        <v>忻州市</v>
      </c>
    </row>
    <row r="108" spans="1:7" ht="15.75" thickBot="1" x14ac:dyDescent="0.3">
      <c r="A108" t="s">
        <v>2116</v>
      </c>
      <c r="B108" s="1" t="s">
        <v>2883</v>
      </c>
      <c r="C108" s="1" t="s">
        <v>2994</v>
      </c>
      <c r="D108" s="2">
        <v>496608</v>
      </c>
      <c r="E108" s="2">
        <v>544683</v>
      </c>
      <c r="F108" s="2">
        <v>577089</v>
      </c>
      <c r="G108" s="2" t="str" cm="1">
        <f t="array" aca="1" ref="G108" ca="1">IF(Background=36,C108,G107)</f>
        <v>忻州市</v>
      </c>
    </row>
    <row r="109" spans="1:7" ht="15.75" thickBot="1" x14ac:dyDescent="0.3">
      <c r="A109" t="s">
        <v>2113</v>
      </c>
      <c r="B109" s="1" t="s">
        <v>2907</v>
      </c>
      <c r="C109" s="1" t="s">
        <v>2995</v>
      </c>
      <c r="D109" s="2">
        <v>471853</v>
      </c>
      <c r="E109" s="2">
        <v>491213</v>
      </c>
      <c r="F109" s="2">
        <v>413922</v>
      </c>
      <c r="G109" s="2" t="str" cm="1">
        <f t="array" aca="1" ref="G109" ca="1">IF(Background=36,C109,G108)</f>
        <v>忻州市</v>
      </c>
    </row>
    <row r="110" spans="1:7" ht="15.75" thickBot="1" x14ac:dyDescent="0.3">
      <c r="A110" t="s">
        <v>2996</v>
      </c>
      <c r="B110" s="3" t="s">
        <v>2877</v>
      </c>
      <c r="C110" s="3" t="s">
        <v>2997</v>
      </c>
      <c r="D110" s="4">
        <v>1273126</v>
      </c>
      <c r="E110" s="4">
        <v>1368502</v>
      </c>
      <c r="F110" s="4">
        <v>1318505</v>
      </c>
      <c r="G110" s="2" t="str" cm="1">
        <f t="array" aca="1" ref="G110" ca="1">IF(Background=36,C110,G109)</f>
        <v>阳泉市</v>
      </c>
    </row>
    <row r="111" spans="1:7" ht="15.75" thickBot="1" x14ac:dyDescent="0.3">
      <c r="A111" t="s">
        <v>624</v>
      </c>
      <c r="B111" s="1" t="s">
        <v>2883</v>
      </c>
      <c r="C111" s="1" t="s">
        <v>814</v>
      </c>
      <c r="D111" s="2">
        <v>200160</v>
      </c>
      <c r="E111" s="2">
        <v>235317</v>
      </c>
      <c r="F111" s="2">
        <v>225443</v>
      </c>
      <c r="G111" s="2" t="str" cm="1">
        <f t="array" aca="1" ref="G111" ca="1">IF(Background=36,C111,G110)</f>
        <v>阳泉市</v>
      </c>
    </row>
    <row r="112" spans="1:7" ht="15.75" thickBot="1" x14ac:dyDescent="0.3">
      <c r="A112" t="s">
        <v>2513</v>
      </c>
      <c r="B112" s="1" t="s">
        <v>2883</v>
      </c>
      <c r="C112" s="1" t="s">
        <v>2998</v>
      </c>
      <c r="D112" s="2">
        <v>237565</v>
      </c>
      <c r="E112" s="2">
        <v>243844</v>
      </c>
      <c r="F112" s="2">
        <v>275094</v>
      </c>
      <c r="G112" s="2" t="str" cm="1">
        <f t="array" aca="1" ref="G112" ca="1">IF(Background=36,C112,G111)</f>
        <v>阳泉市</v>
      </c>
    </row>
    <row r="113" spans="1:7" ht="15.75" thickBot="1" x14ac:dyDescent="0.3">
      <c r="A113" t="s">
        <v>2500</v>
      </c>
      <c r="B113" s="1" t="s">
        <v>2883</v>
      </c>
      <c r="C113" s="1" t="s">
        <v>2999</v>
      </c>
      <c r="D113" s="2">
        <v>217592</v>
      </c>
      <c r="E113" s="2">
        <v>242994</v>
      </c>
      <c r="F113" s="2">
        <v>230691</v>
      </c>
      <c r="G113" s="2" t="str" cm="1">
        <f t="array" aca="1" ref="G113" ca="1">IF(Background=36,C113,G112)</f>
        <v>阳泉市</v>
      </c>
    </row>
    <row r="114" spans="1:7" ht="15.75" thickBot="1" x14ac:dyDescent="0.3">
      <c r="A114" t="s">
        <v>2492</v>
      </c>
      <c r="B114" s="1" t="s">
        <v>2879</v>
      </c>
      <c r="C114" s="1" t="s">
        <v>3000</v>
      </c>
      <c r="D114" s="2">
        <v>323633</v>
      </c>
      <c r="E114" s="2">
        <v>335265</v>
      </c>
      <c r="F114" s="2">
        <v>306228</v>
      </c>
      <c r="G114" s="2" t="str" cm="1">
        <f t="array" aca="1" ref="G114" ca="1">IF(Background=36,C114,G113)</f>
        <v>阳泉市</v>
      </c>
    </row>
    <row r="115" spans="1:7" ht="15.75" thickBot="1" x14ac:dyDescent="0.3">
      <c r="A115" t="s">
        <v>2497</v>
      </c>
      <c r="B115" s="1" t="s">
        <v>2879</v>
      </c>
      <c r="C115" s="1" t="s">
        <v>3001</v>
      </c>
      <c r="D115" s="2">
        <v>294176</v>
      </c>
      <c r="E115" s="2">
        <v>311082</v>
      </c>
      <c r="F115" s="2">
        <v>281049</v>
      </c>
      <c r="G115" s="2" t="str" cm="1">
        <f t="array" aca="1" ref="G115" ca="1">IF(Background=36,C115,G114)</f>
        <v>阳泉市</v>
      </c>
    </row>
    <row r="116" spans="1:7" ht="15.75" thickBot="1" x14ac:dyDescent="0.3">
      <c r="A116" t="s">
        <v>3002</v>
      </c>
      <c r="B116" s="3" t="s">
        <v>2877</v>
      </c>
      <c r="C116" s="3" t="s">
        <v>3003</v>
      </c>
      <c r="D116" s="4">
        <v>4812361</v>
      </c>
      <c r="E116" s="4">
        <v>5134779</v>
      </c>
      <c r="F116" s="4">
        <v>4774508</v>
      </c>
      <c r="G116" s="2" t="str" cm="1">
        <f t="array" aca="1" ref="G116" ca="1">IF(Background=36,C116,G115)</f>
        <v>运城市</v>
      </c>
    </row>
    <row r="117" spans="1:7" ht="15.75" thickBot="1" x14ac:dyDescent="0.3">
      <c r="A117" t="s">
        <v>2602</v>
      </c>
      <c r="B117" s="1" t="s">
        <v>2907</v>
      </c>
      <c r="C117" s="1" t="s">
        <v>3004</v>
      </c>
      <c r="D117" s="2">
        <v>368572</v>
      </c>
      <c r="E117" s="2">
        <v>395527</v>
      </c>
      <c r="F117" s="2">
        <v>392561</v>
      </c>
      <c r="G117" s="2" t="str" cm="1">
        <f t="array" aca="1" ref="G117" ca="1">IF(Background=36,C117,G116)</f>
        <v>运城市</v>
      </c>
    </row>
    <row r="118" spans="1:7" ht="15.75" thickBot="1" x14ac:dyDescent="0.3">
      <c r="A118" t="s">
        <v>2581</v>
      </c>
      <c r="B118" s="1" t="s">
        <v>2879</v>
      </c>
      <c r="C118" s="1" t="s">
        <v>3005</v>
      </c>
      <c r="D118" s="2">
        <v>264708</v>
      </c>
      <c r="E118" s="2">
        <v>281643</v>
      </c>
      <c r="F118" s="2">
        <v>226871</v>
      </c>
      <c r="G118" s="2" t="str" cm="1">
        <f t="array" aca="1" ref="G118" ca="1">IF(Background=36,C118,G117)</f>
        <v>运城市</v>
      </c>
    </row>
    <row r="119" spans="1:7" ht="15.75" thickBot="1" x14ac:dyDescent="0.3">
      <c r="A119" t="s">
        <v>2597</v>
      </c>
      <c r="B119" s="1" t="s">
        <v>2879</v>
      </c>
      <c r="C119" s="1" t="s">
        <v>3006</v>
      </c>
      <c r="D119" s="2">
        <v>324812</v>
      </c>
      <c r="E119" s="2">
        <v>347425</v>
      </c>
      <c r="F119" s="2">
        <v>316114</v>
      </c>
      <c r="G119" s="2" t="str" cm="1">
        <f t="array" aca="1" ref="G119" ca="1">IF(Background=36,C119,G118)</f>
        <v>运城市</v>
      </c>
    </row>
    <row r="120" spans="1:7" ht="15.75" thickBot="1" x14ac:dyDescent="0.3">
      <c r="A120" t="s">
        <v>2584</v>
      </c>
      <c r="B120" s="1" t="s">
        <v>2879</v>
      </c>
      <c r="C120" s="1" t="s">
        <v>3007</v>
      </c>
      <c r="D120" s="2">
        <v>536518</v>
      </c>
      <c r="E120" s="2">
        <v>572508</v>
      </c>
      <c r="F120" s="2">
        <v>482559</v>
      </c>
      <c r="G120" s="2" t="str" cm="1">
        <f t="array" aca="1" ref="G120" ca="1">IF(Background=36,C120,G119)</f>
        <v>运城市</v>
      </c>
    </row>
    <row r="121" spans="1:7" ht="15.75" thickBot="1" x14ac:dyDescent="0.3">
      <c r="A121" t="s">
        <v>2594</v>
      </c>
      <c r="B121" s="1" t="s">
        <v>2879</v>
      </c>
      <c r="C121" s="1" t="s">
        <v>3008</v>
      </c>
      <c r="D121" s="2">
        <v>241879</v>
      </c>
      <c r="E121" s="2">
        <v>258241</v>
      </c>
      <c r="F121" s="2">
        <v>205080</v>
      </c>
      <c r="G121" s="2" t="str" cm="1">
        <f t="array" aca="1" ref="G121" ca="1">IF(Background=36,C121,G120)</f>
        <v>运城市</v>
      </c>
    </row>
    <row r="122" spans="1:7" ht="15.75" thickBot="1" x14ac:dyDescent="0.3">
      <c r="A122" t="s">
        <v>2625</v>
      </c>
      <c r="B122" s="1" t="s">
        <v>2879</v>
      </c>
      <c r="C122" s="1" t="s">
        <v>3009</v>
      </c>
      <c r="D122" s="2">
        <v>372773</v>
      </c>
      <c r="E122" s="2">
        <v>394849</v>
      </c>
      <c r="F122" s="2">
        <v>342889</v>
      </c>
      <c r="G122" s="2" t="str" cm="1">
        <f t="array" aca="1" ref="G122" ca="1">IF(Background=36,C122,G121)</f>
        <v>运城市</v>
      </c>
    </row>
    <row r="123" spans="1:7" ht="15.75" thickBot="1" x14ac:dyDescent="0.3">
      <c r="A123" t="s">
        <v>2647</v>
      </c>
      <c r="B123" s="1" t="s">
        <v>2879</v>
      </c>
      <c r="C123" s="1" t="s">
        <v>3010</v>
      </c>
      <c r="D123" s="2">
        <v>425598</v>
      </c>
      <c r="E123" s="2">
        <v>439364</v>
      </c>
      <c r="F123" s="2">
        <v>361956</v>
      </c>
      <c r="G123" s="2" t="str" cm="1">
        <f t="array" aca="1" ref="G123" ca="1">IF(Background=36,C123,G122)</f>
        <v>运城市</v>
      </c>
    </row>
    <row r="124" spans="1:7" ht="15.75" thickBot="1" x14ac:dyDescent="0.3">
      <c r="A124" t="s">
        <v>2636</v>
      </c>
      <c r="B124" s="1" t="s">
        <v>2879</v>
      </c>
      <c r="C124" s="1" t="s">
        <v>3011</v>
      </c>
      <c r="D124" s="2">
        <v>377572</v>
      </c>
      <c r="E124" s="2">
        <v>404150</v>
      </c>
      <c r="F124" s="2">
        <v>355269</v>
      </c>
      <c r="G124" s="2" t="str" cm="1">
        <f t="array" aca="1" ref="G124" ca="1">IF(Background=36,C124,G123)</f>
        <v>运城市</v>
      </c>
    </row>
    <row r="125" spans="1:7" ht="15.75" thickBot="1" x14ac:dyDescent="0.3">
      <c r="A125" t="s">
        <v>2684</v>
      </c>
      <c r="B125" s="1" t="s">
        <v>2879</v>
      </c>
      <c r="C125" s="1" t="s">
        <v>3012</v>
      </c>
      <c r="D125" s="2">
        <v>342870</v>
      </c>
      <c r="E125" s="2">
        <v>352821</v>
      </c>
      <c r="F125" s="2">
        <v>287938</v>
      </c>
      <c r="G125" s="2" t="str" cm="1">
        <f t="array" aca="1" ref="G125" ca="1">IF(Background=36,C125,G124)</f>
        <v>运城市</v>
      </c>
    </row>
    <row r="126" spans="1:7" ht="15.75" thickBot="1" x14ac:dyDescent="0.3">
      <c r="A126" t="s">
        <v>2591</v>
      </c>
      <c r="B126" s="1" t="s">
        <v>2879</v>
      </c>
      <c r="C126" s="1" t="s">
        <v>3013</v>
      </c>
      <c r="D126" s="2">
        <v>312063</v>
      </c>
      <c r="E126" s="2">
        <v>332473</v>
      </c>
      <c r="F126" s="2">
        <v>282230</v>
      </c>
      <c r="G126" s="2" t="str" cm="1">
        <f t="array" aca="1" ref="G126" ca="1">IF(Background=36,C126,G125)</f>
        <v>运城市</v>
      </c>
    </row>
    <row r="127" spans="1:7" ht="15.75" thickBot="1" x14ac:dyDescent="0.3">
      <c r="A127" t="s">
        <v>2578</v>
      </c>
      <c r="B127" s="1" t="s">
        <v>2883</v>
      </c>
      <c r="C127" s="1" t="s">
        <v>3014</v>
      </c>
      <c r="D127" s="2">
        <v>604381</v>
      </c>
      <c r="E127" s="2">
        <v>680036</v>
      </c>
      <c r="F127" s="2">
        <v>928334</v>
      </c>
      <c r="G127" s="2" t="str" cm="1">
        <f t="array" aca="1" ref="G127" ca="1">IF(Background=36,C127,G126)</f>
        <v>运城市</v>
      </c>
    </row>
    <row r="128" spans="1:7" ht="15.75" thickBot="1" x14ac:dyDescent="0.3">
      <c r="A128" t="s">
        <v>2610</v>
      </c>
      <c r="B128" s="1" t="s">
        <v>2907</v>
      </c>
      <c r="C128" s="1" t="s">
        <v>3015</v>
      </c>
      <c r="D128" s="2">
        <v>421244</v>
      </c>
      <c r="E128" s="2">
        <v>444724</v>
      </c>
      <c r="F128" s="2">
        <v>394935</v>
      </c>
      <c r="G128" s="2" t="str" cm="1">
        <f t="array" aca="1" ref="G128" ca="1">IF(Background=36,C128,G127)</f>
        <v>运城市</v>
      </c>
    </row>
    <row r="129" spans="1:7" ht="15.75" thickBot="1" x14ac:dyDescent="0.3">
      <c r="A129" t="s">
        <v>2607</v>
      </c>
      <c r="B129" s="1" t="s">
        <v>2879</v>
      </c>
      <c r="C129" s="1" t="s">
        <v>3016</v>
      </c>
      <c r="D129" s="2">
        <v>219371</v>
      </c>
      <c r="E129" s="2">
        <v>231018</v>
      </c>
      <c r="F129" s="2">
        <v>197772</v>
      </c>
      <c r="G129" s="2" t="str" cm="1">
        <f t="array" aca="1" ref="G129" ca="1">IF(Background=36,C129,G128)</f>
        <v>运城市</v>
      </c>
    </row>
    <row r="130" spans="1:7" x14ac:dyDescent="0.25">
      <c r="A130" s="5" t="s">
        <v>3017</v>
      </c>
      <c r="B130" s="5" t="s">
        <v>3018</v>
      </c>
      <c r="C130" s="5" t="s">
        <v>3019</v>
      </c>
      <c r="D130" s="6">
        <v>32471242</v>
      </c>
      <c r="E130" s="6">
        <v>35712101</v>
      </c>
      <c r="F130" s="6">
        <v>34915616</v>
      </c>
      <c r="G130" s="11" t="str" cm="1">
        <f t="array" aca="1" ref="G130" ca="1">IF(Background=36,C130,G129)</f>
        <v>运城市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changzhi</vt:lpstr>
      <vt:lpstr>datong</vt:lpstr>
      <vt:lpstr>jincheng</vt:lpstr>
      <vt:lpstr>jinzhong</vt:lpstr>
      <vt:lpstr>linfen</vt:lpstr>
      <vt:lpstr>luliang</vt:lpstr>
      <vt:lpstr>shuozhou</vt:lpstr>
      <vt:lpstr>taiyuan</vt:lpstr>
      <vt:lpstr>xinzhou</vt:lpstr>
      <vt:lpstr>yangquan</vt:lpstr>
      <vt:lpstr>yuncheng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2024-04-02T23:45:35Z</dcterms:created>
  <dcterms:modified xsi:type="dcterms:W3CDTF">2024-05-04T16:00:20Z</dcterms:modified>
</cp:coreProperties>
</file>